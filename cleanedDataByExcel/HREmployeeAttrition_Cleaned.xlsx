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orange\nadeen\cleaned+explain\"/>
    </mc:Choice>
  </mc:AlternateContent>
  <xr:revisionPtr revIDLastSave="0" documentId="13_ncr:9_{DF96E12E-45B4-490F-A68F-CAE00FB3A583}" xr6:coauthVersionLast="47" xr6:coauthVersionMax="47" xr10:uidLastSave="{00000000-0000-0000-0000-000000000000}"/>
  <bookViews>
    <workbookView xWindow="-108" yWindow="-108" windowWidth="23256" windowHeight="12576" tabRatio="745" firstSheet="5" activeTab="10" xr2:uid="{3616AF2C-413C-4E30-80F8-837901CDC7B4}"/>
  </bookViews>
  <sheets>
    <sheet name="WA_Fn-UseC_-HR-Employee-Attriti" sheetId="1" r:id="rId1"/>
    <sheet name="Dataset_Overview" sheetId="2" r:id="rId2"/>
    <sheet name="Cleaning_Log" sheetId="4" r:id="rId3"/>
    <sheet name="Data_RawIssues" sheetId="3" r:id="rId4"/>
    <sheet name="Data_Cleaned" sheetId="5" r:id="rId5"/>
    <sheet name="EDA_Summary" sheetId="6" r:id="rId6"/>
    <sheet name="ML_Model" sheetId="7" r:id="rId7"/>
    <sheet name="Business_Insights" sheetId="8" r:id="rId8"/>
    <sheet name="AI_Insights" sheetId="9" r:id="rId9"/>
    <sheet name="KPIs" sheetId="10" r:id="rId10"/>
    <sheet name="Final_Report" sheetId="12" r:id="rId11"/>
  </sheets>
  <definedNames>
    <definedName name="_xlchart.v1.0" hidden="1">EDA_Summary!$M$2:$M$1471</definedName>
    <definedName name="_xlchart.v1.1" hidden="1">EDA_Summary!$N$1</definedName>
    <definedName name="_xlchart.v1.2" hidden="1">EDA_Summary!$N$2:$N$1471</definedName>
  </definedNames>
  <calcPr calcId="0"/>
</workbook>
</file>

<file path=xl/calcChain.xml><?xml version="1.0" encoding="utf-8"?>
<calcChain xmlns="http://schemas.openxmlformats.org/spreadsheetml/2006/main">
  <c r="G7" i="10" l="1"/>
  <c r="D7" i="10"/>
  <c r="G6" i="10"/>
  <c r="D6" i="10"/>
  <c r="G5" i="10"/>
  <c r="D5" i="10"/>
  <c r="G4" i="10"/>
  <c r="D4" i="10"/>
  <c r="C4" i="8"/>
  <c r="B169" i="6"/>
  <c r="AI5" i="6"/>
  <c r="AH5" i="6"/>
  <c r="AI4" i="6"/>
  <c r="AH4" i="6"/>
  <c r="AI3" i="6"/>
  <c r="AH3" i="6"/>
  <c r="AI2" i="6"/>
  <c r="AH2" i="6"/>
  <c r="AF3" i="6"/>
  <c r="AF2" i="6"/>
  <c r="AC10" i="6"/>
  <c r="AB10" i="6"/>
  <c r="AC9" i="6"/>
  <c r="AB9" i="6"/>
  <c r="AC8" i="6"/>
  <c r="AB8" i="6"/>
  <c r="AC7" i="6"/>
  <c r="AB7" i="6"/>
  <c r="AC6" i="6"/>
  <c r="AB6" i="6"/>
  <c r="AC5" i="6"/>
  <c r="AB5" i="6"/>
  <c r="AC4" i="6"/>
  <c r="AB4" i="6"/>
  <c r="AC3" i="6"/>
  <c r="AB3" i="6"/>
  <c r="AC2" i="6"/>
  <c r="AB2" i="6"/>
  <c r="Z4" i="6"/>
  <c r="Y4" i="6"/>
  <c r="Z3" i="6"/>
  <c r="Y3" i="6"/>
  <c r="Z2" i="6"/>
  <c r="Y2" i="6"/>
  <c r="W6" i="6"/>
  <c r="W5" i="6"/>
  <c r="W4" i="6"/>
  <c r="W3" i="6"/>
  <c r="W2" i="6"/>
  <c r="S2" i="6" a="1"/>
  <c r="R2" i="6" a="1"/>
  <c r="Q2" i="6" a="1"/>
  <c r="P2" i="6" a="1"/>
  <c r="M3" i="6"/>
  <c r="N3" i="6"/>
  <c r="M4" i="6"/>
  <c r="N4" i="6"/>
  <c r="M5" i="6"/>
  <c r="N5" i="6"/>
  <c r="M6" i="6"/>
  <c r="N6" i="6"/>
  <c r="M7" i="6"/>
  <c r="N7" i="6"/>
  <c r="M8" i="6"/>
  <c r="N8" i="6"/>
  <c r="M9" i="6"/>
  <c r="N9" i="6"/>
  <c r="M10" i="6"/>
  <c r="N10" i="6"/>
  <c r="M11" i="6"/>
  <c r="N11" i="6"/>
  <c r="M12" i="6"/>
  <c r="N12" i="6"/>
  <c r="M13" i="6"/>
  <c r="N13" i="6"/>
  <c r="M14" i="6"/>
  <c r="N14" i="6"/>
  <c r="M15" i="6"/>
  <c r="N15" i="6"/>
  <c r="M16" i="6"/>
  <c r="N16" i="6"/>
  <c r="M17" i="6"/>
  <c r="N17" i="6"/>
  <c r="M18" i="6"/>
  <c r="N18" i="6"/>
  <c r="M19" i="6"/>
  <c r="N19" i="6"/>
  <c r="M20" i="6"/>
  <c r="N20" i="6"/>
  <c r="M21" i="6"/>
  <c r="N21" i="6"/>
  <c r="M22" i="6"/>
  <c r="N22" i="6"/>
  <c r="M23" i="6"/>
  <c r="N23" i="6"/>
  <c r="M24" i="6"/>
  <c r="N24" i="6"/>
  <c r="M25" i="6"/>
  <c r="N25" i="6"/>
  <c r="M26" i="6"/>
  <c r="N26" i="6"/>
  <c r="M27" i="6"/>
  <c r="N27" i="6"/>
  <c r="M28" i="6"/>
  <c r="N28" i="6"/>
  <c r="M29" i="6"/>
  <c r="N29" i="6"/>
  <c r="M30" i="6"/>
  <c r="N30" i="6"/>
  <c r="M31" i="6"/>
  <c r="N31" i="6"/>
  <c r="M32" i="6"/>
  <c r="N32" i="6"/>
  <c r="M33" i="6"/>
  <c r="N33" i="6"/>
  <c r="M34" i="6"/>
  <c r="N34" i="6"/>
  <c r="M35" i="6"/>
  <c r="N35" i="6"/>
  <c r="M36" i="6"/>
  <c r="N36" i="6"/>
  <c r="M37" i="6"/>
  <c r="N37" i="6"/>
  <c r="M38" i="6"/>
  <c r="N38" i="6"/>
  <c r="M39" i="6"/>
  <c r="N39" i="6"/>
  <c r="M40" i="6"/>
  <c r="N40" i="6"/>
  <c r="M41" i="6"/>
  <c r="N41" i="6"/>
  <c r="M42" i="6"/>
  <c r="N42" i="6"/>
  <c r="M43" i="6"/>
  <c r="N43" i="6"/>
  <c r="M44" i="6"/>
  <c r="N44" i="6"/>
  <c r="M45" i="6"/>
  <c r="N45" i="6"/>
  <c r="M46" i="6"/>
  <c r="N46" i="6"/>
  <c r="M47" i="6"/>
  <c r="N47" i="6"/>
  <c r="M48" i="6"/>
  <c r="N48" i="6"/>
  <c r="M49" i="6"/>
  <c r="N49" i="6"/>
  <c r="M50" i="6"/>
  <c r="N50" i="6"/>
  <c r="M51" i="6"/>
  <c r="N51" i="6"/>
  <c r="M52" i="6"/>
  <c r="N52" i="6"/>
  <c r="M53" i="6"/>
  <c r="N53" i="6"/>
  <c r="M54" i="6"/>
  <c r="N54" i="6"/>
  <c r="M55" i="6"/>
  <c r="N55" i="6"/>
  <c r="M56" i="6"/>
  <c r="N56" i="6"/>
  <c r="M57" i="6"/>
  <c r="N57" i="6"/>
  <c r="M58" i="6"/>
  <c r="N58" i="6"/>
  <c r="M59" i="6"/>
  <c r="N59" i="6"/>
  <c r="M60" i="6"/>
  <c r="N60" i="6"/>
  <c r="M61" i="6"/>
  <c r="N61" i="6"/>
  <c r="M62" i="6"/>
  <c r="N62" i="6"/>
  <c r="M63" i="6"/>
  <c r="N63" i="6"/>
  <c r="M64" i="6"/>
  <c r="N64" i="6"/>
  <c r="M65" i="6"/>
  <c r="N65" i="6"/>
  <c r="M66" i="6"/>
  <c r="N66" i="6"/>
  <c r="M67" i="6"/>
  <c r="N67" i="6"/>
  <c r="M68" i="6"/>
  <c r="N68" i="6"/>
  <c r="M69" i="6"/>
  <c r="N69" i="6"/>
  <c r="M70" i="6"/>
  <c r="N70" i="6"/>
  <c r="M71" i="6"/>
  <c r="N71" i="6"/>
  <c r="M72" i="6"/>
  <c r="N72" i="6"/>
  <c r="M73" i="6"/>
  <c r="N73" i="6"/>
  <c r="M74" i="6"/>
  <c r="N74" i="6"/>
  <c r="M75" i="6"/>
  <c r="N75" i="6"/>
  <c r="M76" i="6"/>
  <c r="N76" i="6"/>
  <c r="M77" i="6"/>
  <c r="N77" i="6"/>
  <c r="M78" i="6"/>
  <c r="N78" i="6"/>
  <c r="M79" i="6"/>
  <c r="N79" i="6"/>
  <c r="M80" i="6"/>
  <c r="N80" i="6"/>
  <c r="M81" i="6"/>
  <c r="N81" i="6"/>
  <c r="M82" i="6"/>
  <c r="N82" i="6"/>
  <c r="M83" i="6"/>
  <c r="N83" i="6"/>
  <c r="M84" i="6"/>
  <c r="N84" i="6"/>
  <c r="M85" i="6"/>
  <c r="N85" i="6"/>
  <c r="M86" i="6"/>
  <c r="N86" i="6"/>
  <c r="M87" i="6"/>
  <c r="N87" i="6"/>
  <c r="M88" i="6"/>
  <c r="N88" i="6"/>
  <c r="M89" i="6"/>
  <c r="N89" i="6"/>
  <c r="M90" i="6"/>
  <c r="N90" i="6"/>
  <c r="M91" i="6"/>
  <c r="N91" i="6"/>
  <c r="M92" i="6"/>
  <c r="N92" i="6"/>
  <c r="M93" i="6"/>
  <c r="N93" i="6"/>
  <c r="M94" i="6"/>
  <c r="N94" i="6"/>
  <c r="M95" i="6"/>
  <c r="N95" i="6"/>
  <c r="M96" i="6"/>
  <c r="N96" i="6"/>
  <c r="M97" i="6"/>
  <c r="N97" i="6"/>
  <c r="M98" i="6"/>
  <c r="N98" i="6"/>
  <c r="M99" i="6"/>
  <c r="N99" i="6"/>
  <c r="M100" i="6"/>
  <c r="N100" i="6"/>
  <c r="M101" i="6"/>
  <c r="N101" i="6"/>
  <c r="M102" i="6"/>
  <c r="N102" i="6"/>
  <c r="M103" i="6"/>
  <c r="N103" i="6"/>
  <c r="M104" i="6"/>
  <c r="N104" i="6"/>
  <c r="M105" i="6"/>
  <c r="N105" i="6"/>
  <c r="M106" i="6"/>
  <c r="N106" i="6"/>
  <c r="M107" i="6"/>
  <c r="N107" i="6"/>
  <c r="M108" i="6"/>
  <c r="N108" i="6"/>
  <c r="M109" i="6"/>
  <c r="N109" i="6"/>
  <c r="M110" i="6"/>
  <c r="N110" i="6"/>
  <c r="M111" i="6"/>
  <c r="N111" i="6"/>
  <c r="M112" i="6"/>
  <c r="N112" i="6"/>
  <c r="M113" i="6"/>
  <c r="N113" i="6"/>
  <c r="M114" i="6"/>
  <c r="N114" i="6"/>
  <c r="M115" i="6"/>
  <c r="N115" i="6"/>
  <c r="M116" i="6"/>
  <c r="N116" i="6"/>
  <c r="M117" i="6"/>
  <c r="N117" i="6"/>
  <c r="M118" i="6"/>
  <c r="N118" i="6"/>
  <c r="M119" i="6"/>
  <c r="N119" i="6"/>
  <c r="M120" i="6"/>
  <c r="N120" i="6"/>
  <c r="M121" i="6"/>
  <c r="N121" i="6"/>
  <c r="M122" i="6"/>
  <c r="N122" i="6"/>
  <c r="M123" i="6"/>
  <c r="N123" i="6"/>
  <c r="M124" i="6"/>
  <c r="N124" i="6"/>
  <c r="M125" i="6"/>
  <c r="N125" i="6"/>
  <c r="M126" i="6"/>
  <c r="N126" i="6"/>
  <c r="M127" i="6"/>
  <c r="N127" i="6"/>
  <c r="M128" i="6"/>
  <c r="N128" i="6"/>
  <c r="M129" i="6"/>
  <c r="N129" i="6"/>
  <c r="M130" i="6"/>
  <c r="N130" i="6"/>
  <c r="M131" i="6"/>
  <c r="N131" i="6"/>
  <c r="M132" i="6"/>
  <c r="N132" i="6"/>
  <c r="M133" i="6"/>
  <c r="N133" i="6"/>
  <c r="M134" i="6"/>
  <c r="N134" i="6"/>
  <c r="M135" i="6"/>
  <c r="N135" i="6"/>
  <c r="M136" i="6"/>
  <c r="N136" i="6"/>
  <c r="M137" i="6"/>
  <c r="N137" i="6"/>
  <c r="M138" i="6"/>
  <c r="N138" i="6"/>
  <c r="M139" i="6"/>
  <c r="N139" i="6"/>
  <c r="M140" i="6"/>
  <c r="N140" i="6"/>
  <c r="M141" i="6"/>
  <c r="N141" i="6"/>
  <c r="M142" i="6"/>
  <c r="N142" i="6"/>
  <c r="M143" i="6"/>
  <c r="N143" i="6"/>
  <c r="M144" i="6"/>
  <c r="N144" i="6"/>
  <c r="M145" i="6"/>
  <c r="N145" i="6"/>
  <c r="M146" i="6"/>
  <c r="N146" i="6"/>
  <c r="M147" i="6"/>
  <c r="N147" i="6"/>
  <c r="M148" i="6"/>
  <c r="N148" i="6"/>
  <c r="M149" i="6"/>
  <c r="N149" i="6"/>
  <c r="M150" i="6"/>
  <c r="N150" i="6"/>
  <c r="M151" i="6"/>
  <c r="N151" i="6"/>
  <c r="M152" i="6"/>
  <c r="N152" i="6"/>
  <c r="M153" i="6"/>
  <c r="N153" i="6"/>
  <c r="M154" i="6"/>
  <c r="N154" i="6"/>
  <c r="M155" i="6"/>
  <c r="N155" i="6"/>
  <c r="M156" i="6"/>
  <c r="N156" i="6"/>
  <c r="M157" i="6"/>
  <c r="N157" i="6"/>
  <c r="M158" i="6"/>
  <c r="N158" i="6"/>
  <c r="M159" i="6"/>
  <c r="N159" i="6"/>
  <c r="M160" i="6"/>
  <c r="N160" i="6"/>
  <c r="M161" i="6"/>
  <c r="N161" i="6"/>
  <c r="M162" i="6"/>
  <c r="N162" i="6"/>
  <c r="M163" i="6"/>
  <c r="N163" i="6"/>
  <c r="M164" i="6"/>
  <c r="N164" i="6"/>
  <c r="M165" i="6"/>
  <c r="N165" i="6"/>
  <c r="M166" i="6"/>
  <c r="N166" i="6"/>
  <c r="M167" i="6"/>
  <c r="N167" i="6"/>
  <c r="M168" i="6"/>
  <c r="N168" i="6"/>
  <c r="M169" i="6"/>
  <c r="N169" i="6"/>
  <c r="M170" i="6"/>
  <c r="N170" i="6"/>
  <c r="M171" i="6"/>
  <c r="N171" i="6"/>
  <c r="M172" i="6"/>
  <c r="N172" i="6"/>
  <c r="M173" i="6"/>
  <c r="N173" i="6"/>
  <c r="M174" i="6"/>
  <c r="N174" i="6"/>
  <c r="M175" i="6"/>
  <c r="N175" i="6"/>
  <c r="M176" i="6"/>
  <c r="N176" i="6"/>
  <c r="M177" i="6"/>
  <c r="N177" i="6"/>
  <c r="M178" i="6"/>
  <c r="N178" i="6"/>
  <c r="M179" i="6"/>
  <c r="N179" i="6"/>
  <c r="M180" i="6"/>
  <c r="N180" i="6"/>
  <c r="M181" i="6"/>
  <c r="N181" i="6"/>
  <c r="M182" i="6"/>
  <c r="N182" i="6"/>
  <c r="M183" i="6"/>
  <c r="N183" i="6"/>
  <c r="M184" i="6"/>
  <c r="N184" i="6"/>
  <c r="M185" i="6"/>
  <c r="N185" i="6"/>
  <c r="M186" i="6"/>
  <c r="N186" i="6"/>
  <c r="M187" i="6"/>
  <c r="N187" i="6"/>
  <c r="M188" i="6"/>
  <c r="N188" i="6"/>
  <c r="M189" i="6"/>
  <c r="N189" i="6"/>
  <c r="M190" i="6"/>
  <c r="N190" i="6"/>
  <c r="M191" i="6"/>
  <c r="N191" i="6"/>
  <c r="M192" i="6"/>
  <c r="N192" i="6"/>
  <c r="M193" i="6"/>
  <c r="N193" i="6"/>
  <c r="M194" i="6"/>
  <c r="N194" i="6"/>
  <c r="M195" i="6"/>
  <c r="N195" i="6"/>
  <c r="M196" i="6"/>
  <c r="N196" i="6"/>
  <c r="M197" i="6"/>
  <c r="N197" i="6"/>
  <c r="M198" i="6"/>
  <c r="N198" i="6"/>
  <c r="M199" i="6"/>
  <c r="N199" i="6"/>
  <c r="M200" i="6"/>
  <c r="N200" i="6"/>
  <c r="M201" i="6"/>
  <c r="N201" i="6"/>
  <c r="M202" i="6"/>
  <c r="N202" i="6"/>
  <c r="M203" i="6"/>
  <c r="N203" i="6"/>
  <c r="M204" i="6"/>
  <c r="N204" i="6"/>
  <c r="M205" i="6"/>
  <c r="N205" i="6"/>
  <c r="M206" i="6"/>
  <c r="N206" i="6"/>
  <c r="M207" i="6"/>
  <c r="N207" i="6"/>
  <c r="M208" i="6"/>
  <c r="N208" i="6"/>
  <c r="M209" i="6"/>
  <c r="N209" i="6"/>
  <c r="M210" i="6"/>
  <c r="N210" i="6"/>
  <c r="M211" i="6"/>
  <c r="N211" i="6"/>
  <c r="M212" i="6"/>
  <c r="N212" i="6"/>
  <c r="M213" i="6"/>
  <c r="N213" i="6"/>
  <c r="M214" i="6"/>
  <c r="N214" i="6"/>
  <c r="M215" i="6"/>
  <c r="N215" i="6"/>
  <c r="M216" i="6"/>
  <c r="N216" i="6"/>
  <c r="M217" i="6"/>
  <c r="N217" i="6"/>
  <c r="M218" i="6"/>
  <c r="N218" i="6"/>
  <c r="M219" i="6"/>
  <c r="N219" i="6"/>
  <c r="M220" i="6"/>
  <c r="N220" i="6"/>
  <c r="M221" i="6"/>
  <c r="N221" i="6"/>
  <c r="M222" i="6"/>
  <c r="N222" i="6"/>
  <c r="M223" i="6"/>
  <c r="N223" i="6"/>
  <c r="M224" i="6"/>
  <c r="N224" i="6"/>
  <c r="M225" i="6"/>
  <c r="N225" i="6"/>
  <c r="M226" i="6"/>
  <c r="N226" i="6"/>
  <c r="M227" i="6"/>
  <c r="N227" i="6"/>
  <c r="M228" i="6"/>
  <c r="N228" i="6"/>
  <c r="M229" i="6"/>
  <c r="N229" i="6"/>
  <c r="M230" i="6"/>
  <c r="N230" i="6"/>
  <c r="M231" i="6"/>
  <c r="N231" i="6"/>
  <c r="M232" i="6"/>
  <c r="N232" i="6"/>
  <c r="M233" i="6"/>
  <c r="N233" i="6"/>
  <c r="M234" i="6"/>
  <c r="N234" i="6"/>
  <c r="M235" i="6"/>
  <c r="N235" i="6"/>
  <c r="M236" i="6"/>
  <c r="N236" i="6"/>
  <c r="M237" i="6"/>
  <c r="N237" i="6"/>
  <c r="M238" i="6"/>
  <c r="N238" i="6"/>
  <c r="M239" i="6"/>
  <c r="N239" i="6"/>
  <c r="M240" i="6"/>
  <c r="N240" i="6"/>
  <c r="M241" i="6"/>
  <c r="N241" i="6"/>
  <c r="M242" i="6"/>
  <c r="N242" i="6"/>
  <c r="M243" i="6"/>
  <c r="N243" i="6"/>
  <c r="M244" i="6"/>
  <c r="N244" i="6"/>
  <c r="M245" i="6"/>
  <c r="N245" i="6"/>
  <c r="M246" i="6"/>
  <c r="N246" i="6"/>
  <c r="M247" i="6"/>
  <c r="N247" i="6"/>
  <c r="M248" i="6"/>
  <c r="N248" i="6"/>
  <c r="M249" i="6"/>
  <c r="N249" i="6"/>
  <c r="M250" i="6"/>
  <c r="N250" i="6"/>
  <c r="M251" i="6"/>
  <c r="N251" i="6"/>
  <c r="M252" i="6"/>
  <c r="N252" i="6"/>
  <c r="M253" i="6"/>
  <c r="N253" i="6"/>
  <c r="M254" i="6"/>
  <c r="N254" i="6"/>
  <c r="M255" i="6"/>
  <c r="N255" i="6"/>
  <c r="M256" i="6"/>
  <c r="N256" i="6"/>
  <c r="M257" i="6"/>
  <c r="N257" i="6"/>
  <c r="M258" i="6"/>
  <c r="N258" i="6"/>
  <c r="M259" i="6"/>
  <c r="N259" i="6"/>
  <c r="M260" i="6"/>
  <c r="N260" i="6"/>
  <c r="M261" i="6"/>
  <c r="N261" i="6"/>
  <c r="M262" i="6"/>
  <c r="N262" i="6"/>
  <c r="M263" i="6"/>
  <c r="N263" i="6"/>
  <c r="M264" i="6"/>
  <c r="N264" i="6"/>
  <c r="M265" i="6"/>
  <c r="N265" i="6"/>
  <c r="M266" i="6"/>
  <c r="N266" i="6"/>
  <c r="M267" i="6"/>
  <c r="N267" i="6"/>
  <c r="M268" i="6"/>
  <c r="N268" i="6"/>
  <c r="M269" i="6"/>
  <c r="N269" i="6"/>
  <c r="M270" i="6"/>
  <c r="N270" i="6"/>
  <c r="M271" i="6"/>
  <c r="N271" i="6"/>
  <c r="M272" i="6"/>
  <c r="N272" i="6"/>
  <c r="M273" i="6"/>
  <c r="N273" i="6"/>
  <c r="M274" i="6"/>
  <c r="N274" i="6"/>
  <c r="M275" i="6"/>
  <c r="N275" i="6"/>
  <c r="M276" i="6"/>
  <c r="N276" i="6"/>
  <c r="M277" i="6"/>
  <c r="N277" i="6"/>
  <c r="M278" i="6"/>
  <c r="N278" i="6"/>
  <c r="M279" i="6"/>
  <c r="N279" i="6"/>
  <c r="M280" i="6"/>
  <c r="N280" i="6"/>
  <c r="M281" i="6"/>
  <c r="N281" i="6"/>
  <c r="M282" i="6"/>
  <c r="N282" i="6"/>
  <c r="M283" i="6"/>
  <c r="N283" i="6"/>
  <c r="M284" i="6"/>
  <c r="N284" i="6"/>
  <c r="M285" i="6"/>
  <c r="N285" i="6"/>
  <c r="M286" i="6"/>
  <c r="N286" i="6"/>
  <c r="M287" i="6"/>
  <c r="N287" i="6"/>
  <c r="M288" i="6"/>
  <c r="N288" i="6"/>
  <c r="M289" i="6"/>
  <c r="N289" i="6"/>
  <c r="M290" i="6"/>
  <c r="N290" i="6"/>
  <c r="M291" i="6"/>
  <c r="N291" i="6"/>
  <c r="M292" i="6"/>
  <c r="N292" i="6"/>
  <c r="M293" i="6"/>
  <c r="N293" i="6"/>
  <c r="M294" i="6"/>
  <c r="N294" i="6"/>
  <c r="M295" i="6"/>
  <c r="N295" i="6"/>
  <c r="M296" i="6"/>
  <c r="N296" i="6"/>
  <c r="M297" i="6"/>
  <c r="N297" i="6"/>
  <c r="M298" i="6"/>
  <c r="N298" i="6"/>
  <c r="M299" i="6"/>
  <c r="N299" i="6"/>
  <c r="M300" i="6"/>
  <c r="N300" i="6"/>
  <c r="M301" i="6"/>
  <c r="N301" i="6"/>
  <c r="M302" i="6"/>
  <c r="N302" i="6"/>
  <c r="M303" i="6"/>
  <c r="N303" i="6"/>
  <c r="M304" i="6"/>
  <c r="N304" i="6"/>
  <c r="M305" i="6"/>
  <c r="N305" i="6"/>
  <c r="M306" i="6"/>
  <c r="N306" i="6"/>
  <c r="M307" i="6"/>
  <c r="N307" i="6"/>
  <c r="M308" i="6"/>
  <c r="N308" i="6"/>
  <c r="M309" i="6"/>
  <c r="N309" i="6"/>
  <c r="M310" i="6"/>
  <c r="N310" i="6"/>
  <c r="M311" i="6"/>
  <c r="N311" i="6"/>
  <c r="M312" i="6"/>
  <c r="N312" i="6"/>
  <c r="M313" i="6"/>
  <c r="N313" i="6"/>
  <c r="M314" i="6"/>
  <c r="N314" i="6"/>
  <c r="M315" i="6"/>
  <c r="N315" i="6"/>
  <c r="M316" i="6"/>
  <c r="N316" i="6"/>
  <c r="M317" i="6"/>
  <c r="N317" i="6"/>
  <c r="M318" i="6"/>
  <c r="N318" i="6"/>
  <c r="M319" i="6"/>
  <c r="N319" i="6"/>
  <c r="M320" i="6"/>
  <c r="N320" i="6"/>
  <c r="M321" i="6"/>
  <c r="N321" i="6"/>
  <c r="M322" i="6"/>
  <c r="N322" i="6"/>
  <c r="M323" i="6"/>
  <c r="N323" i="6"/>
  <c r="M324" i="6"/>
  <c r="N324" i="6"/>
  <c r="M325" i="6"/>
  <c r="N325" i="6"/>
  <c r="M326" i="6"/>
  <c r="N326" i="6"/>
  <c r="M327" i="6"/>
  <c r="N327" i="6"/>
  <c r="M328" i="6"/>
  <c r="N328" i="6"/>
  <c r="M329" i="6"/>
  <c r="N329" i="6"/>
  <c r="M330" i="6"/>
  <c r="N330" i="6"/>
  <c r="M331" i="6"/>
  <c r="N331" i="6"/>
  <c r="M332" i="6"/>
  <c r="N332" i="6"/>
  <c r="M333" i="6"/>
  <c r="N333" i="6"/>
  <c r="M334" i="6"/>
  <c r="N334" i="6"/>
  <c r="M335" i="6"/>
  <c r="N335" i="6"/>
  <c r="M336" i="6"/>
  <c r="N336" i="6"/>
  <c r="M337" i="6"/>
  <c r="N337" i="6"/>
  <c r="M338" i="6"/>
  <c r="N338" i="6"/>
  <c r="M339" i="6"/>
  <c r="N339" i="6"/>
  <c r="M340" i="6"/>
  <c r="N340" i="6"/>
  <c r="M341" i="6"/>
  <c r="N341" i="6"/>
  <c r="M342" i="6"/>
  <c r="N342" i="6"/>
  <c r="M343" i="6"/>
  <c r="N343" i="6"/>
  <c r="M344" i="6"/>
  <c r="N344" i="6"/>
  <c r="M345" i="6"/>
  <c r="N345" i="6"/>
  <c r="M346" i="6"/>
  <c r="N346" i="6"/>
  <c r="M347" i="6"/>
  <c r="N347" i="6"/>
  <c r="M348" i="6"/>
  <c r="N348" i="6"/>
  <c r="M349" i="6"/>
  <c r="N349" i="6"/>
  <c r="M350" i="6"/>
  <c r="N350" i="6"/>
  <c r="M351" i="6"/>
  <c r="N351" i="6"/>
  <c r="M352" i="6"/>
  <c r="N352" i="6"/>
  <c r="M353" i="6"/>
  <c r="N353" i="6"/>
  <c r="M354" i="6"/>
  <c r="N354" i="6"/>
  <c r="M355" i="6"/>
  <c r="N355" i="6"/>
  <c r="M356" i="6"/>
  <c r="N356" i="6"/>
  <c r="M357" i="6"/>
  <c r="N357" i="6"/>
  <c r="M358" i="6"/>
  <c r="N358" i="6"/>
  <c r="M359" i="6"/>
  <c r="N359" i="6"/>
  <c r="M360" i="6"/>
  <c r="N360" i="6"/>
  <c r="M361" i="6"/>
  <c r="N361" i="6"/>
  <c r="M362" i="6"/>
  <c r="N362" i="6"/>
  <c r="M363" i="6"/>
  <c r="N363" i="6"/>
  <c r="M364" i="6"/>
  <c r="N364" i="6"/>
  <c r="M365" i="6"/>
  <c r="N365" i="6"/>
  <c r="M366" i="6"/>
  <c r="N366" i="6"/>
  <c r="M367" i="6"/>
  <c r="N367" i="6"/>
  <c r="M368" i="6"/>
  <c r="N368" i="6"/>
  <c r="M369" i="6"/>
  <c r="N369" i="6"/>
  <c r="M370" i="6"/>
  <c r="N370" i="6"/>
  <c r="M371" i="6"/>
  <c r="N371" i="6"/>
  <c r="M372" i="6"/>
  <c r="N372" i="6"/>
  <c r="M373" i="6"/>
  <c r="N373" i="6"/>
  <c r="M374" i="6"/>
  <c r="N374" i="6"/>
  <c r="M375" i="6"/>
  <c r="N375" i="6"/>
  <c r="M376" i="6"/>
  <c r="N376" i="6"/>
  <c r="M377" i="6"/>
  <c r="N377" i="6"/>
  <c r="M378" i="6"/>
  <c r="N378" i="6"/>
  <c r="M379" i="6"/>
  <c r="N379" i="6"/>
  <c r="M380" i="6"/>
  <c r="N380" i="6"/>
  <c r="M381" i="6"/>
  <c r="N381" i="6"/>
  <c r="M382" i="6"/>
  <c r="N382" i="6"/>
  <c r="M383" i="6"/>
  <c r="N383" i="6"/>
  <c r="M384" i="6"/>
  <c r="N384" i="6"/>
  <c r="M385" i="6"/>
  <c r="N385" i="6"/>
  <c r="M386" i="6"/>
  <c r="N386" i="6"/>
  <c r="M387" i="6"/>
  <c r="N387" i="6"/>
  <c r="M388" i="6"/>
  <c r="N388" i="6"/>
  <c r="M389" i="6"/>
  <c r="N389" i="6"/>
  <c r="M390" i="6"/>
  <c r="N390" i="6"/>
  <c r="M391" i="6"/>
  <c r="N391" i="6"/>
  <c r="M392" i="6"/>
  <c r="N392" i="6"/>
  <c r="M393" i="6"/>
  <c r="N393" i="6"/>
  <c r="M394" i="6"/>
  <c r="N394" i="6"/>
  <c r="M395" i="6"/>
  <c r="N395" i="6"/>
  <c r="M396" i="6"/>
  <c r="N396" i="6"/>
  <c r="M397" i="6"/>
  <c r="N397" i="6"/>
  <c r="M398" i="6"/>
  <c r="N398" i="6"/>
  <c r="M399" i="6"/>
  <c r="N399" i="6"/>
  <c r="M400" i="6"/>
  <c r="N400" i="6"/>
  <c r="M401" i="6"/>
  <c r="N401" i="6"/>
  <c r="M402" i="6"/>
  <c r="N402" i="6"/>
  <c r="M403" i="6"/>
  <c r="N403" i="6"/>
  <c r="M404" i="6"/>
  <c r="N404" i="6"/>
  <c r="M405" i="6"/>
  <c r="N405" i="6"/>
  <c r="M406" i="6"/>
  <c r="N406" i="6"/>
  <c r="M407" i="6"/>
  <c r="N407" i="6"/>
  <c r="M408" i="6"/>
  <c r="N408" i="6"/>
  <c r="M409" i="6"/>
  <c r="N409" i="6"/>
  <c r="M410" i="6"/>
  <c r="N410" i="6"/>
  <c r="M411" i="6"/>
  <c r="N411" i="6"/>
  <c r="M412" i="6"/>
  <c r="N412" i="6"/>
  <c r="M413" i="6"/>
  <c r="N413" i="6"/>
  <c r="M414" i="6"/>
  <c r="N414" i="6"/>
  <c r="M415" i="6"/>
  <c r="N415" i="6"/>
  <c r="M416" i="6"/>
  <c r="N416" i="6"/>
  <c r="M417" i="6"/>
  <c r="N417" i="6"/>
  <c r="M418" i="6"/>
  <c r="N418" i="6"/>
  <c r="M419" i="6"/>
  <c r="N419" i="6"/>
  <c r="M420" i="6"/>
  <c r="N420" i="6"/>
  <c r="M421" i="6"/>
  <c r="N421" i="6"/>
  <c r="M422" i="6"/>
  <c r="N422" i="6"/>
  <c r="M423" i="6"/>
  <c r="N423" i="6"/>
  <c r="M424" i="6"/>
  <c r="N424" i="6"/>
  <c r="M425" i="6"/>
  <c r="N425" i="6"/>
  <c r="M426" i="6"/>
  <c r="N426" i="6"/>
  <c r="M427" i="6"/>
  <c r="N427" i="6"/>
  <c r="M428" i="6"/>
  <c r="N428" i="6"/>
  <c r="M429" i="6"/>
  <c r="N429" i="6"/>
  <c r="M430" i="6"/>
  <c r="N430" i="6"/>
  <c r="M431" i="6"/>
  <c r="N431" i="6"/>
  <c r="M432" i="6"/>
  <c r="N432" i="6"/>
  <c r="M433" i="6"/>
  <c r="N433" i="6"/>
  <c r="M434" i="6"/>
  <c r="N434" i="6"/>
  <c r="M435" i="6"/>
  <c r="N435" i="6"/>
  <c r="M436" i="6"/>
  <c r="N436" i="6"/>
  <c r="M437" i="6"/>
  <c r="N437" i="6"/>
  <c r="M438" i="6"/>
  <c r="N438" i="6"/>
  <c r="M439" i="6"/>
  <c r="N439" i="6"/>
  <c r="M440" i="6"/>
  <c r="N440" i="6"/>
  <c r="M441" i="6"/>
  <c r="N441" i="6"/>
  <c r="M442" i="6"/>
  <c r="N442" i="6"/>
  <c r="M443" i="6"/>
  <c r="N443" i="6"/>
  <c r="M444" i="6"/>
  <c r="N444" i="6"/>
  <c r="M445" i="6"/>
  <c r="N445" i="6"/>
  <c r="M446" i="6"/>
  <c r="N446" i="6"/>
  <c r="M447" i="6"/>
  <c r="N447" i="6"/>
  <c r="M448" i="6"/>
  <c r="N448" i="6"/>
  <c r="M449" i="6"/>
  <c r="N449" i="6"/>
  <c r="M450" i="6"/>
  <c r="N450" i="6"/>
  <c r="M451" i="6"/>
  <c r="N451" i="6"/>
  <c r="M452" i="6"/>
  <c r="N452" i="6"/>
  <c r="M453" i="6"/>
  <c r="N453" i="6"/>
  <c r="M454" i="6"/>
  <c r="N454" i="6"/>
  <c r="M455" i="6"/>
  <c r="N455" i="6"/>
  <c r="M456" i="6"/>
  <c r="N456" i="6"/>
  <c r="M457" i="6"/>
  <c r="N457" i="6"/>
  <c r="M458" i="6"/>
  <c r="N458" i="6"/>
  <c r="M459" i="6"/>
  <c r="N459" i="6"/>
  <c r="M460" i="6"/>
  <c r="N460" i="6"/>
  <c r="M461" i="6"/>
  <c r="N461" i="6"/>
  <c r="M462" i="6"/>
  <c r="N462" i="6"/>
  <c r="M463" i="6"/>
  <c r="N463" i="6"/>
  <c r="M464" i="6"/>
  <c r="N464" i="6"/>
  <c r="M465" i="6"/>
  <c r="N465" i="6"/>
  <c r="M466" i="6"/>
  <c r="N466" i="6"/>
  <c r="M467" i="6"/>
  <c r="N467" i="6"/>
  <c r="M468" i="6"/>
  <c r="N468" i="6"/>
  <c r="M469" i="6"/>
  <c r="N469" i="6"/>
  <c r="M470" i="6"/>
  <c r="N470" i="6"/>
  <c r="M471" i="6"/>
  <c r="N471" i="6"/>
  <c r="M472" i="6"/>
  <c r="N472" i="6"/>
  <c r="M473" i="6"/>
  <c r="N473" i="6"/>
  <c r="M474" i="6"/>
  <c r="N474" i="6"/>
  <c r="M475" i="6"/>
  <c r="N475" i="6"/>
  <c r="M476" i="6"/>
  <c r="N476" i="6"/>
  <c r="M477" i="6"/>
  <c r="N477" i="6"/>
  <c r="M478" i="6"/>
  <c r="N478" i="6"/>
  <c r="M479" i="6"/>
  <c r="N479" i="6"/>
  <c r="M480" i="6"/>
  <c r="N480" i="6"/>
  <c r="M481" i="6"/>
  <c r="N481" i="6"/>
  <c r="M482" i="6"/>
  <c r="N482" i="6"/>
  <c r="M483" i="6"/>
  <c r="N483" i="6"/>
  <c r="M484" i="6"/>
  <c r="N484" i="6"/>
  <c r="M485" i="6"/>
  <c r="N485" i="6"/>
  <c r="M486" i="6"/>
  <c r="N486" i="6"/>
  <c r="M487" i="6"/>
  <c r="N487" i="6"/>
  <c r="M488" i="6"/>
  <c r="N488" i="6"/>
  <c r="M489" i="6"/>
  <c r="N489" i="6"/>
  <c r="M490" i="6"/>
  <c r="N490" i="6"/>
  <c r="M491" i="6"/>
  <c r="N491" i="6"/>
  <c r="M492" i="6"/>
  <c r="N492" i="6"/>
  <c r="M493" i="6"/>
  <c r="N493" i="6"/>
  <c r="M494" i="6"/>
  <c r="N494" i="6"/>
  <c r="M495" i="6"/>
  <c r="N495" i="6"/>
  <c r="M496" i="6"/>
  <c r="N496" i="6"/>
  <c r="M497" i="6"/>
  <c r="N497" i="6"/>
  <c r="M498" i="6"/>
  <c r="N498" i="6"/>
  <c r="M499" i="6"/>
  <c r="N499" i="6"/>
  <c r="M500" i="6"/>
  <c r="N500" i="6"/>
  <c r="M501" i="6"/>
  <c r="N501" i="6"/>
  <c r="M502" i="6"/>
  <c r="N502" i="6"/>
  <c r="M503" i="6"/>
  <c r="N503" i="6"/>
  <c r="M504" i="6"/>
  <c r="N504" i="6"/>
  <c r="M505" i="6"/>
  <c r="N505" i="6"/>
  <c r="M506" i="6"/>
  <c r="N506" i="6"/>
  <c r="M507" i="6"/>
  <c r="N507" i="6"/>
  <c r="M508" i="6"/>
  <c r="N508" i="6"/>
  <c r="M509" i="6"/>
  <c r="N509" i="6"/>
  <c r="M510" i="6"/>
  <c r="N510" i="6"/>
  <c r="M511" i="6"/>
  <c r="N511" i="6"/>
  <c r="M512" i="6"/>
  <c r="N512" i="6"/>
  <c r="M513" i="6"/>
  <c r="N513" i="6"/>
  <c r="M514" i="6"/>
  <c r="N514" i="6"/>
  <c r="M515" i="6"/>
  <c r="N515" i="6"/>
  <c r="M516" i="6"/>
  <c r="N516" i="6"/>
  <c r="M517" i="6"/>
  <c r="N517" i="6"/>
  <c r="M518" i="6"/>
  <c r="N518" i="6"/>
  <c r="M519" i="6"/>
  <c r="N519" i="6"/>
  <c r="M520" i="6"/>
  <c r="N520" i="6"/>
  <c r="M521" i="6"/>
  <c r="N521" i="6"/>
  <c r="M522" i="6"/>
  <c r="N522" i="6"/>
  <c r="M523" i="6"/>
  <c r="N523" i="6"/>
  <c r="M524" i="6"/>
  <c r="N524" i="6"/>
  <c r="M525" i="6"/>
  <c r="N525" i="6"/>
  <c r="M526" i="6"/>
  <c r="N526" i="6"/>
  <c r="M527" i="6"/>
  <c r="N527" i="6"/>
  <c r="M528" i="6"/>
  <c r="N528" i="6"/>
  <c r="M529" i="6"/>
  <c r="N529" i="6"/>
  <c r="M530" i="6"/>
  <c r="N530" i="6"/>
  <c r="M531" i="6"/>
  <c r="N531" i="6"/>
  <c r="M532" i="6"/>
  <c r="N532" i="6"/>
  <c r="M533" i="6"/>
  <c r="N533" i="6"/>
  <c r="M534" i="6"/>
  <c r="N534" i="6"/>
  <c r="M535" i="6"/>
  <c r="N535" i="6"/>
  <c r="M536" i="6"/>
  <c r="N536" i="6"/>
  <c r="M537" i="6"/>
  <c r="N537" i="6"/>
  <c r="M538" i="6"/>
  <c r="N538" i="6"/>
  <c r="M539" i="6"/>
  <c r="N539" i="6"/>
  <c r="M540" i="6"/>
  <c r="N540" i="6"/>
  <c r="M541" i="6"/>
  <c r="N541" i="6"/>
  <c r="M542" i="6"/>
  <c r="N542" i="6"/>
  <c r="M543" i="6"/>
  <c r="N543" i="6"/>
  <c r="M544" i="6"/>
  <c r="N544" i="6"/>
  <c r="M545" i="6"/>
  <c r="N545" i="6"/>
  <c r="M546" i="6"/>
  <c r="N546" i="6"/>
  <c r="M547" i="6"/>
  <c r="N547" i="6"/>
  <c r="M548" i="6"/>
  <c r="N548" i="6"/>
  <c r="M549" i="6"/>
  <c r="N549" i="6"/>
  <c r="M550" i="6"/>
  <c r="N550" i="6"/>
  <c r="M551" i="6"/>
  <c r="N551" i="6"/>
  <c r="M552" i="6"/>
  <c r="N552" i="6"/>
  <c r="M553" i="6"/>
  <c r="N553" i="6"/>
  <c r="M554" i="6"/>
  <c r="N554" i="6"/>
  <c r="M555" i="6"/>
  <c r="N555" i="6"/>
  <c r="M556" i="6"/>
  <c r="N556" i="6"/>
  <c r="M557" i="6"/>
  <c r="N557" i="6"/>
  <c r="M558" i="6"/>
  <c r="N558" i="6"/>
  <c r="M559" i="6"/>
  <c r="N559" i="6"/>
  <c r="M560" i="6"/>
  <c r="N560" i="6"/>
  <c r="M561" i="6"/>
  <c r="N561" i="6"/>
  <c r="M562" i="6"/>
  <c r="N562" i="6"/>
  <c r="M563" i="6"/>
  <c r="N563" i="6"/>
  <c r="M564" i="6"/>
  <c r="N564" i="6"/>
  <c r="M565" i="6"/>
  <c r="N565" i="6"/>
  <c r="M566" i="6"/>
  <c r="N566" i="6"/>
  <c r="M567" i="6"/>
  <c r="N567" i="6"/>
  <c r="M568" i="6"/>
  <c r="N568" i="6"/>
  <c r="M569" i="6"/>
  <c r="N569" i="6"/>
  <c r="M570" i="6"/>
  <c r="N570" i="6"/>
  <c r="M571" i="6"/>
  <c r="N571" i="6"/>
  <c r="M572" i="6"/>
  <c r="N572" i="6"/>
  <c r="M573" i="6"/>
  <c r="N573" i="6"/>
  <c r="M574" i="6"/>
  <c r="N574" i="6"/>
  <c r="M575" i="6"/>
  <c r="N575" i="6"/>
  <c r="M576" i="6"/>
  <c r="N576" i="6"/>
  <c r="M577" i="6"/>
  <c r="N577" i="6"/>
  <c r="M578" i="6"/>
  <c r="N578" i="6"/>
  <c r="M579" i="6"/>
  <c r="N579" i="6"/>
  <c r="M580" i="6"/>
  <c r="N580" i="6"/>
  <c r="M581" i="6"/>
  <c r="N581" i="6"/>
  <c r="M582" i="6"/>
  <c r="N582" i="6"/>
  <c r="M583" i="6"/>
  <c r="N583" i="6"/>
  <c r="M584" i="6"/>
  <c r="N584" i="6"/>
  <c r="M585" i="6"/>
  <c r="N585" i="6"/>
  <c r="M586" i="6"/>
  <c r="N586" i="6"/>
  <c r="M587" i="6"/>
  <c r="N587" i="6"/>
  <c r="M588" i="6"/>
  <c r="N588" i="6"/>
  <c r="M589" i="6"/>
  <c r="N589" i="6"/>
  <c r="M590" i="6"/>
  <c r="N590" i="6"/>
  <c r="M591" i="6"/>
  <c r="N591" i="6"/>
  <c r="M592" i="6"/>
  <c r="N592" i="6"/>
  <c r="M593" i="6"/>
  <c r="N593" i="6"/>
  <c r="M594" i="6"/>
  <c r="N594" i="6"/>
  <c r="M595" i="6"/>
  <c r="N595" i="6"/>
  <c r="M596" i="6"/>
  <c r="N596" i="6"/>
  <c r="M597" i="6"/>
  <c r="N597" i="6"/>
  <c r="M598" i="6"/>
  <c r="N598" i="6"/>
  <c r="M599" i="6"/>
  <c r="N599" i="6"/>
  <c r="M600" i="6"/>
  <c r="N600" i="6"/>
  <c r="M601" i="6"/>
  <c r="N601" i="6"/>
  <c r="M602" i="6"/>
  <c r="N602" i="6"/>
  <c r="M603" i="6"/>
  <c r="N603" i="6"/>
  <c r="M604" i="6"/>
  <c r="N604" i="6"/>
  <c r="M605" i="6"/>
  <c r="N605" i="6"/>
  <c r="M606" i="6"/>
  <c r="N606" i="6"/>
  <c r="M607" i="6"/>
  <c r="N607" i="6"/>
  <c r="M608" i="6"/>
  <c r="N608" i="6"/>
  <c r="M609" i="6"/>
  <c r="N609" i="6"/>
  <c r="M610" i="6"/>
  <c r="N610" i="6"/>
  <c r="M611" i="6"/>
  <c r="N611" i="6"/>
  <c r="M612" i="6"/>
  <c r="N612" i="6"/>
  <c r="M613" i="6"/>
  <c r="N613" i="6"/>
  <c r="M614" i="6"/>
  <c r="N614" i="6"/>
  <c r="M615" i="6"/>
  <c r="N615" i="6"/>
  <c r="M616" i="6"/>
  <c r="N616" i="6"/>
  <c r="M617" i="6"/>
  <c r="N617" i="6"/>
  <c r="M618" i="6"/>
  <c r="N618" i="6"/>
  <c r="M619" i="6"/>
  <c r="N619" i="6"/>
  <c r="M620" i="6"/>
  <c r="N620" i="6"/>
  <c r="M621" i="6"/>
  <c r="N621" i="6"/>
  <c r="M622" i="6"/>
  <c r="N622" i="6"/>
  <c r="M623" i="6"/>
  <c r="N623" i="6"/>
  <c r="M624" i="6"/>
  <c r="N624" i="6"/>
  <c r="M625" i="6"/>
  <c r="N625" i="6"/>
  <c r="M626" i="6"/>
  <c r="N626" i="6"/>
  <c r="M627" i="6"/>
  <c r="N627" i="6"/>
  <c r="M628" i="6"/>
  <c r="N628" i="6"/>
  <c r="M629" i="6"/>
  <c r="N629" i="6"/>
  <c r="M630" i="6"/>
  <c r="N630" i="6"/>
  <c r="M631" i="6"/>
  <c r="N631" i="6"/>
  <c r="M632" i="6"/>
  <c r="N632" i="6"/>
  <c r="M633" i="6"/>
  <c r="N633" i="6"/>
  <c r="M634" i="6"/>
  <c r="N634" i="6"/>
  <c r="M635" i="6"/>
  <c r="N635" i="6"/>
  <c r="M636" i="6"/>
  <c r="N636" i="6"/>
  <c r="M637" i="6"/>
  <c r="N637" i="6"/>
  <c r="M638" i="6"/>
  <c r="N638" i="6"/>
  <c r="M639" i="6"/>
  <c r="N639" i="6"/>
  <c r="M640" i="6"/>
  <c r="N640" i="6"/>
  <c r="M641" i="6"/>
  <c r="N641" i="6"/>
  <c r="M642" i="6"/>
  <c r="N642" i="6"/>
  <c r="M643" i="6"/>
  <c r="N643" i="6"/>
  <c r="M644" i="6"/>
  <c r="N644" i="6"/>
  <c r="M645" i="6"/>
  <c r="N645" i="6"/>
  <c r="M646" i="6"/>
  <c r="N646" i="6"/>
  <c r="M647" i="6"/>
  <c r="N647" i="6"/>
  <c r="M648" i="6"/>
  <c r="N648" i="6"/>
  <c r="M649" i="6"/>
  <c r="N649" i="6"/>
  <c r="M650" i="6"/>
  <c r="N650" i="6"/>
  <c r="M651" i="6"/>
  <c r="N651" i="6"/>
  <c r="M652" i="6"/>
  <c r="N652" i="6"/>
  <c r="M653" i="6"/>
  <c r="N653" i="6"/>
  <c r="M654" i="6"/>
  <c r="N654" i="6"/>
  <c r="M655" i="6"/>
  <c r="N655" i="6"/>
  <c r="M656" i="6"/>
  <c r="N656" i="6"/>
  <c r="M657" i="6"/>
  <c r="N657" i="6"/>
  <c r="M658" i="6"/>
  <c r="N658" i="6"/>
  <c r="M659" i="6"/>
  <c r="N659" i="6"/>
  <c r="M660" i="6"/>
  <c r="N660" i="6"/>
  <c r="M661" i="6"/>
  <c r="N661" i="6"/>
  <c r="M662" i="6"/>
  <c r="N662" i="6"/>
  <c r="M663" i="6"/>
  <c r="N663" i="6"/>
  <c r="M664" i="6"/>
  <c r="N664" i="6"/>
  <c r="M665" i="6"/>
  <c r="N665" i="6"/>
  <c r="M666" i="6"/>
  <c r="N666" i="6"/>
  <c r="M667" i="6"/>
  <c r="N667" i="6"/>
  <c r="M668" i="6"/>
  <c r="N668" i="6"/>
  <c r="M669" i="6"/>
  <c r="N669" i="6"/>
  <c r="M670" i="6"/>
  <c r="N670" i="6"/>
  <c r="M671" i="6"/>
  <c r="N671" i="6"/>
  <c r="M672" i="6"/>
  <c r="N672" i="6"/>
  <c r="M673" i="6"/>
  <c r="N673" i="6"/>
  <c r="M674" i="6"/>
  <c r="N674" i="6"/>
  <c r="M675" i="6"/>
  <c r="N675" i="6"/>
  <c r="M676" i="6"/>
  <c r="N676" i="6"/>
  <c r="M677" i="6"/>
  <c r="N677" i="6"/>
  <c r="M678" i="6"/>
  <c r="N678" i="6"/>
  <c r="M679" i="6"/>
  <c r="N679" i="6"/>
  <c r="M680" i="6"/>
  <c r="N680" i="6"/>
  <c r="M681" i="6"/>
  <c r="N681" i="6"/>
  <c r="M682" i="6"/>
  <c r="N682" i="6"/>
  <c r="M683" i="6"/>
  <c r="N683" i="6"/>
  <c r="M684" i="6"/>
  <c r="N684" i="6"/>
  <c r="M685" i="6"/>
  <c r="N685" i="6"/>
  <c r="M686" i="6"/>
  <c r="N686" i="6"/>
  <c r="M687" i="6"/>
  <c r="N687" i="6"/>
  <c r="M688" i="6"/>
  <c r="N688" i="6"/>
  <c r="M689" i="6"/>
  <c r="N689" i="6"/>
  <c r="M690" i="6"/>
  <c r="N690" i="6"/>
  <c r="M691" i="6"/>
  <c r="N691" i="6"/>
  <c r="M692" i="6"/>
  <c r="N692" i="6"/>
  <c r="M693" i="6"/>
  <c r="N693" i="6"/>
  <c r="M694" i="6"/>
  <c r="N694" i="6"/>
  <c r="M695" i="6"/>
  <c r="N695" i="6"/>
  <c r="M696" i="6"/>
  <c r="N696" i="6"/>
  <c r="M697" i="6"/>
  <c r="N697" i="6"/>
  <c r="M698" i="6"/>
  <c r="N698" i="6"/>
  <c r="M699" i="6"/>
  <c r="N699" i="6"/>
  <c r="M700" i="6"/>
  <c r="N700" i="6"/>
  <c r="M701" i="6"/>
  <c r="N701" i="6"/>
  <c r="M702" i="6"/>
  <c r="N702" i="6"/>
  <c r="M703" i="6"/>
  <c r="N703" i="6"/>
  <c r="M704" i="6"/>
  <c r="N704" i="6"/>
  <c r="M705" i="6"/>
  <c r="N705" i="6"/>
  <c r="M706" i="6"/>
  <c r="N706" i="6"/>
  <c r="M707" i="6"/>
  <c r="N707" i="6"/>
  <c r="M708" i="6"/>
  <c r="N708" i="6"/>
  <c r="M709" i="6"/>
  <c r="N709" i="6"/>
  <c r="M710" i="6"/>
  <c r="N710" i="6"/>
  <c r="M711" i="6"/>
  <c r="N711" i="6"/>
  <c r="M712" i="6"/>
  <c r="N712" i="6"/>
  <c r="M713" i="6"/>
  <c r="N713" i="6"/>
  <c r="M714" i="6"/>
  <c r="N714" i="6"/>
  <c r="M715" i="6"/>
  <c r="N715" i="6"/>
  <c r="M716" i="6"/>
  <c r="N716" i="6"/>
  <c r="M717" i="6"/>
  <c r="N717" i="6"/>
  <c r="M718" i="6"/>
  <c r="N718" i="6"/>
  <c r="M719" i="6"/>
  <c r="N719" i="6"/>
  <c r="M720" i="6"/>
  <c r="N720" i="6"/>
  <c r="M721" i="6"/>
  <c r="N721" i="6"/>
  <c r="M722" i="6"/>
  <c r="N722" i="6"/>
  <c r="M723" i="6"/>
  <c r="N723" i="6"/>
  <c r="M724" i="6"/>
  <c r="N724" i="6"/>
  <c r="M725" i="6"/>
  <c r="N725" i="6"/>
  <c r="M726" i="6"/>
  <c r="N726" i="6"/>
  <c r="M727" i="6"/>
  <c r="N727" i="6"/>
  <c r="M728" i="6"/>
  <c r="N728" i="6"/>
  <c r="M729" i="6"/>
  <c r="N729" i="6"/>
  <c r="M730" i="6"/>
  <c r="N730" i="6"/>
  <c r="M731" i="6"/>
  <c r="N731" i="6"/>
  <c r="M732" i="6"/>
  <c r="N732" i="6"/>
  <c r="M733" i="6"/>
  <c r="N733" i="6"/>
  <c r="M734" i="6"/>
  <c r="N734" i="6"/>
  <c r="M735" i="6"/>
  <c r="N735" i="6"/>
  <c r="M736" i="6"/>
  <c r="N736" i="6"/>
  <c r="M737" i="6"/>
  <c r="N737" i="6"/>
  <c r="M738" i="6"/>
  <c r="N738" i="6"/>
  <c r="M739" i="6"/>
  <c r="N739" i="6"/>
  <c r="M740" i="6"/>
  <c r="N740" i="6"/>
  <c r="M741" i="6"/>
  <c r="N741" i="6"/>
  <c r="M742" i="6"/>
  <c r="N742" i="6"/>
  <c r="M743" i="6"/>
  <c r="N743" i="6"/>
  <c r="M744" i="6"/>
  <c r="N744" i="6"/>
  <c r="M745" i="6"/>
  <c r="N745" i="6"/>
  <c r="M746" i="6"/>
  <c r="N746" i="6"/>
  <c r="M747" i="6"/>
  <c r="N747" i="6"/>
  <c r="M748" i="6"/>
  <c r="N748" i="6"/>
  <c r="M749" i="6"/>
  <c r="N749" i="6"/>
  <c r="M750" i="6"/>
  <c r="N750" i="6"/>
  <c r="M751" i="6"/>
  <c r="N751" i="6"/>
  <c r="M752" i="6"/>
  <c r="N752" i="6"/>
  <c r="M753" i="6"/>
  <c r="N753" i="6"/>
  <c r="M754" i="6"/>
  <c r="N754" i="6"/>
  <c r="M755" i="6"/>
  <c r="N755" i="6"/>
  <c r="M756" i="6"/>
  <c r="N756" i="6"/>
  <c r="M757" i="6"/>
  <c r="N757" i="6"/>
  <c r="M758" i="6"/>
  <c r="N758" i="6"/>
  <c r="M759" i="6"/>
  <c r="N759" i="6"/>
  <c r="M760" i="6"/>
  <c r="N760" i="6"/>
  <c r="M761" i="6"/>
  <c r="N761" i="6"/>
  <c r="M762" i="6"/>
  <c r="N762" i="6"/>
  <c r="M763" i="6"/>
  <c r="N763" i="6"/>
  <c r="M764" i="6"/>
  <c r="N764" i="6"/>
  <c r="M765" i="6"/>
  <c r="N765" i="6"/>
  <c r="M766" i="6"/>
  <c r="N766" i="6"/>
  <c r="M767" i="6"/>
  <c r="N767" i="6"/>
  <c r="M768" i="6"/>
  <c r="N768" i="6"/>
  <c r="M769" i="6"/>
  <c r="N769" i="6"/>
  <c r="M770" i="6"/>
  <c r="N770" i="6"/>
  <c r="M771" i="6"/>
  <c r="N771" i="6"/>
  <c r="M772" i="6"/>
  <c r="N772" i="6"/>
  <c r="M773" i="6"/>
  <c r="N773" i="6"/>
  <c r="M774" i="6"/>
  <c r="N774" i="6"/>
  <c r="M775" i="6"/>
  <c r="N775" i="6"/>
  <c r="M776" i="6"/>
  <c r="N776" i="6"/>
  <c r="M777" i="6"/>
  <c r="N777" i="6"/>
  <c r="M778" i="6"/>
  <c r="N778" i="6"/>
  <c r="M779" i="6"/>
  <c r="N779" i="6"/>
  <c r="M780" i="6"/>
  <c r="N780" i="6"/>
  <c r="M781" i="6"/>
  <c r="N781" i="6"/>
  <c r="M782" i="6"/>
  <c r="N782" i="6"/>
  <c r="M783" i="6"/>
  <c r="N783" i="6"/>
  <c r="M784" i="6"/>
  <c r="N784" i="6"/>
  <c r="M785" i="6"/>
  <c r="N785" i="6"/>
  <c r="M786" i="6"/>
  <c r="N786" i="6"/>
  <c r="M787" i="6"/>
  <c r="N787" i="6"/>
  <c r="M788" i="6"/>
  <c r="N788" i="6"/>
  <c r="M789" i="6"/>
  <c r="N789" i="6"/>
  <c r="M790" i="6"/>
  <c r="N790" i="6"/>
  <c r="M791" i="6"/>
  <c r="N791" i="6"/>
  <c r="M792" i="6"/>
  <c r="N792" i="6"/>
  <c r="M793" i="6"/>
  <c r="N793" i="6"/>
  <c r="M794" i="6"/>
  <c r="N794" i="6"/>
  <c r="M795" i="6"/>
  <c r="N795" i="6"/>
  <c r="M796" i="6"/>
  <c r="N796" i="6"/>
  <c r="M797" i="6"/>
  <c r="N797" i="6"/>
  <c r="M798" i="6"/>
  <c r="N798" i="6"/>
  <c r="M799" i="6"/>
  <c r="N799" i="6"/>
  <c r="M800" i="6"/>
  <c r="N800" i="6"/>
  <c r="M801" i="6"/>
  <c r="N801" i="6"/>
  <c r="M802" i="6"/>
  <c r="N802" i="6"/>
  <c r="M803" i="6"/>
  <c r="N803" i="6"/>
  <c r="M804" i="6"/>
  <c r="N804" i="6"/>
  <c r="M805" i="6"/>
  <c r="N805" i="6"/>
  <c r="M806" i="6"/>
  <c r="N806" i="6"/>
  <c r="M807" i="6"/>
  <c r="N807" i="6"/>
  <c r="M808" i="6"/>
  <c r="N808" i="6"/>
  <c r="M809" i="6"/>
  <c r="N809" i="6"/>
  <c r="M810" i="6"/>
  <c r="N810" i="6"/>
  <c r="M811" i="6"/>
  <c r="N811" i="6"/>
  <c r="M812" i="6"/>
  <c r="N812" i="6"/>
  <c r="M813" i="6"/>
  <c r="N813" i="6"/>
  <c r="M814" i="6"/>
  <c r="N814" i="6"/>
  <c r="M815" i="6"/>
  <c r="N815" i="6"/>
  <c r="M816" i="6"/>
  <c r="N816" i="6"/>
  <c r="M817" i="6"/>
  <c r="N817" i="6"/>
  <c r="M818" i="6"/>
  <c r="N818" i="6"/>
  <c r="M819" i="6"/>
  <c r="N819" i="6"/>
  <c r="M820" i="6"/>
  <c r="N820" i="6"/>
  <c r="M821" i="6"/>
  <c r="N821" i="6"/>
  <c r="M822" i="6"/>
  <c r="N822" i="6"/>
  <c r="M823" i="6"/>
  <c r="N823" i="6"/>
  <c r="M824" i="6"/>
  <c r="N824" i="6"/>
  <c r="M825" i="6"/>
  <c r="N825" i="6"/>
  <c r="M826" i="6"/>
  <c r="N826" i="6"/>
  <c r="M827" i="6"/>
  <c r="N827" i="6"/>
  <c r="M828" i="6"/>
  <c r="N828" i="6"/>
  <c r="M829" i="6"/>
  <c r="N829" i="6"/>
  <c r="M830" i="6"/>
  <c r="N830" i="6"/>
  <c r="M831" i="6"/>
  <c r="N831" i="6"/>
  <c r="M832" i="6"/>
  <c r="N832" i="6"/>
  <c r="M833" i="6"/>
  <c r="N833" i="6"/>
  <c r="M834" i="6"/>
  <c r="N834" i="6"/>
  <c r="M835" i="6"/>
  <c r="N835" i="6"/>
  <c r="M836" i="6"/>
  <c r="N836" i="6"/>
  <c r="M837" i="6"/>
  <c r="N837" i="6"/>
  <c r="M838" i="6"/>
  <c r="N838" i="6"/>
  <c r="M839" i="6"/>
  <c r="N839" i="6"/>
  <c r="M840" i="6"/>
  <c r="N840" i="6"/>
  <c r="M841" i="6"/>
  <c r="N841" i="6"/>
  <c r="M842" i="6"/>
  <c r="N842" i="6"/>
  <c r="M843" i="6"/>
  <c r="N843" i="6"/>
  <c r="M844" i="6"/>
  <c r="N844" i="6"/>
  <c r="M845" i="6"/>
  <c r="N845" i="6"/>
  <c r="M846" i="6"/>
  <c r="N846" i="6"/>
  <c r="M847" i="6"/>
  <c r="N847" i="6"/>
  <c r="M848" i="6"/>
  <c r="N848" i="6"/>
  <c r="M849" i="6"/>
  <c r="N849" i="6"/>
  <c r="M850" i="6"/>
  <c r="N850" i="6"/>
  <c r="M851" i="6"/>
  <c r="N851" i="6"/>
  <c r="M852" i="6"/>
  <c r="N852" i="6"/>
  <c r="M853" i="6"/>
  <c r="N853" i="6"/>
  <c r="M854" i="6"/>
  <c r="N854" i="6"/>
  <c r="M855" i="6"/>
  <c r="N855" i="6"/>
  <c r="M856" i="6"/>
  <c r="N856" i="6"/>
  <c r="M857" i="6"/>
  <c r="N857" i="6"/>
  <c r="M858" i="6"/>
  <c r="N858" i="6"/>
  <c r="M859" i="6"/>
  <c r="N859" i="6"/>
  <c r="M860" i="6"/>
  <c r="N860" i="6"/>
  <c r="M861" i="6"/>
  <c r="N861" i="6"/>
  <c r="M862" i="6"/>
  <c r="N862" i="6"/>
  <c r="M863" i="6"/>
  <c r="N863" i="6"/>
  <c r="M864" i="6"/>
  <c r="N864" i="6"/>
  <c r="M865" i="6"/>
  <c r="N865" i="6"/>
  <c r="M866" i="6"/>
  <c r="N866" i="6"/>
  <c r="M867" i="6"/>
  <c r="N867" i="6"/>
  <c r="M868" i="6"/>
  <c r="N868" i="6"/>
  <c r="M869" i="6"/>
  <c r="N869" i="6"/>
  <c r="M870" i="6"/>
  <c r="N870" i="6"/>
  <c r="M871" i="6"/>
  <c r="N871" i="6"/>
  <c r="M872" i="6"/>
  <c r="N872" i="6"/>
  <c r="M873" i="6"/>
  <c r="N873" i="6"/>
  <c r="M874" i="6"/>
  <c r="N874" i="6"/>
  <c r="M875" i="6"/>
  <c r="N875" i="6"/>
  <c r="M876" i="6"/>
  <c r="N876" i="6"/>
  <c r="M877" i="6"/>
  <c r="N877" i="6"/>
  <c r="M878" i="6"/>
  <c r="N878" i="6"/>
  <c r="M879" i="6"/>
  <c r="N879" i="6"/>
  <c r="M880" i="6"/>
  <c r="N880" i="6"/>
  <c r="M881" i="6"/>
  <c r="N881" i="6"/>
  <c r="M882" i="6"/>
  <c r="N882" i="6"/>
  <c r="M883" i="6"/>
  <c r="N883" i="6"/>
  <c r="M884" i="6"/>
  <c r="N884" i="6"/>
  <c r="M885" i="6"/>
  <c r="N885" i="6"/>
  <c r="M886" i="6"/>
  <c r="N886" i="6"/>
  <c r="M887" i="6"/>
  <c r="N887" i="6"/>
  <c r="M888" i="6"/>
  <c r="N888" i="6"/>
  <c r="M889" i="6"/>
  <c r="N889" i="6"/>
  <c r="M890" i="6"/>
  <c r="N890" i="6"/>
  <c r="M891" i="6"/>
  <c r="N891" i="6"/>
  <c r="M892" i="6"/>
  <c r="N892" i="6"/>
  <c r="M893" i="6"/>
  <c r="N893" i="6"/>
  <c r="M894" i="6"/>
  <c r="N894" i="6"/>
  <c r="M895" i="6"/>
  <c r="N895" i="6"/>
  <c r="M896" i="6"/>
  <c r="N896" i="6"/>
  <c r="M897" i="6"/>
  <c r="N897" i="6"/>
  <c r="M898" i="6"/>
  <c r="N898" i="6"/>
  <c r="M899" i="6"/>
  <c r="N899" i="6"/>
  <c r="M900" i="6"/>
  <c r="N900" i="6"/>
  <c r="M901" i="6"/>
  <c r="N901" i="6"/>
  <c r="M902" i="6"/>
  <c r="N902" i="6"/>
  <c r="M903" i="6"/>
  <c r="N903" i="6"/>
  <c r="M904" i="6"/>
  <c r="N904" i="6"/>
  <c r="M905" i="6"/>
  <c r="N905" i="6"/>
  <c r="M906" i="6"/>
  <c r="N906" i="6"/>
  <c r="M907" i="6"/>
  <c r="N907" i="6"/>
  <c r="M908" i="6"/>
  <c r="N908" i="6"/>
  <c r="M909" i="6"/>
  <c r="N909" i="6"/>
  <c r="M910" i="6"/>
  <c r="N910" i="6"/>
  <c r="M911" i="6"/>
  <c r="N911" i="6"/>
  <c r="M912" i="6"/>
  <c r="N912" i="6"/>
  <c r="M913" i="6"/>
  <c r="N913" i="6"/>
  <c r="M914" i="6"/>
  <c r="N914" i="6"/>
  <c r="M915" i="6"/>
  <c r="N915" i="6"/>
  <c r="M916" i="6"/>
  <c r="N916" i="6"/>
  <c r="M917" i="6"/>
  <c r="N917" i="6"/>
  <c r="M918" i="6"/>
  <c r="N918" i="6"/>
  <c r="M919" i="6"/>
  <c r="N919" i="6"/>
  <c r="M920" i="6"/>
  <c r="N920" i="6"/>
  <c r="M921" i="6"/>
  <c r="N921" i="6"/>
  <c r="M922" i="6"/>
  <c r="N922" i="6"/>
  <c r="M923" i="6"/>
  <c r="N923" i="6"/>
  <c r="M924" i="6"/>
  <c r="N924" i="6"/>
  <c r="M925" i="6"/>
  <c r="N925" i="6"/>
  <c r="M926" i="6"/>
  <c r="N926" i="6"/>
  <c r="M927" i="6"/>
  <c r="N927" i="6"/>
  <c r="M928" i="6"/>
  <c r="N928" i="6"/>
  <c r="M929" i="6"/>
  <c r="N929" i="6"/>
  <c r="M930" i="6"/>
  <c r="N930" i="6"/>
  <c r="M931" i="6"/>
  <c r="N931" i="6"/>
  <c r="M932" i="6"/>
  <c r="N932" i="6"/>
  <c r="M933" i="6"/>
  <c r="N933" i="6"/>
  <c r="M934" i="6"/>
  <c r="N934" i="6"/>
  <c r="M935" i="6"/>
  <c r="N935" i="6"/>
  <c r="M936" i="6"/>
  <c r="N936" i="6"/>
  <c r="M937" i="6"/>
  <c r="N937" i="6"/>
  <c r="M938" i="6"/>
  <c r="N938" i="6"/>
  <c r="M939" i="6"/>
  <c r="N939" i="6"/>
  <c r="M940" i="6"/>
  <c r="N940" i="6"/>
  <c r="M941" i="6"/>
  <c r="N941" i="6"/>
  <c r="M942" i="6"/>
  <c r="N942" i="6"/>
  <c r="M943" i="6"/>
  <c r="N943" i="6"/>
  <c r="M944" i="6"/>
  <c r="N944" i="6"/>
  <c r="M945" i="6"/>
  <c r="N945" i="6"/>
  <c r="M946" i="6"/>
  <c r="N946" i="6"/>
  <c r="M947" i="6"/>
  <c r="N947" i="6"/>
  <c r="M948" i="6"/>
  <c r="N948" i="6"/>
  <c r="M949" i="6"/>
  <c r="N949" i="6"/>
  <c r="M950" i="6"/>
  <c r="N950" i="6"/>
  <c r="M951" i="6"/>
  <c r="N951" i="6"/>
  <c r="M952" i="6"/>
  <c r="N952" i="6"/>
  <c r="M953" i="6"/>
  <c r="N953" i="6"/>
  <c r="M954" i="6"/>
  <c r="N954" i="6"/>
  <c r="M955" i="6"/>
  <c r="N955" i="6"/>
  <c r="M956" i="6"/>
  <c r="N956" i="6"/>
  <c r="M957" i="6"/>
  <c r="N957" i="6"/>
  <c r="M958" i="6"/>
  <c r="N958" i="6"/>
  <c r="M959" i="6"/>
  <c r="N959" i="6"/>
  <c r="M960" i="6"/>
  <c r="N960" i="6"/>
  <c r="M961" i="6"/>
  <c r="N961" i="6"/>
  <c r="M962" i="6"/>
  <c r="N962" i="6"/>
  <c r="M963" i="6"/>
  <c r="N963" i="6"/>
  <c r="M964" i="6"/>
  <c r="N964" i="6"/>
  <c r="M965" i="6"/>
  <c r="N965" i="6"/>
  <c r="M966" i="6"/>
  <c r="N966" i="6"/>
  <c r="M967" i="6"/>
  <c r="N967" i="6"/>
  <c r="M968" i="6"/>
  <c r="N968" i="6"/>
  <c r="M969" i="6"/>
  <c r="N969" i="6"/>
  <c r="M970" i="6"/>
  <c r="N970" i="6"/>
  <c r="M971" i="6"/>
  <c r="N971" i="6"/>
  <c r="M972" i="6"/>
  <c r="N972" i="6"/>
  <c r="M973" i="6"/>
  <c r="N973" i="6"/>
  <c r="M974" i="6"/>
  <c r="N974" i="6"/>
  <c r="M975" i="6"/>
  <c r="N975" i="6"/>
  <c r="M976" i="6"/>
  <c r="N976" i="6"/>
  <c r="M977" i="6"/>
  <c r="N977" i="6"/>
  <c r="M978" i="6"/>
  <c r="N978" i="6"/>
  <c r="M979" i="6"/>
  <c r="N979" i="6"/>
  <c r="M980" i="6"/>
  <c r="N980" i="6"/>
  <c r="M981" i="6"/>
  <c r="N981" i="6"/>
  <c r="M982" i="6"/>
  <c r="N982" i="6"/>
  <c r="M983" i="6"/>
  <c r="N983" i="6"/>
  <c r="M984" i="6"/>
  <c r="N984" i="6"/>
  <c r="M985" i="6"/>
  <c r="N985" i="6"/>
  <c r="M986" i="6"/>
  <c r="N986" i="6"/>
  <c r="M987" i="6"/>
  <c r="N987" i="6"/>
  <c r="M988" i="6"/>
  <c r="N988" i="6"/>
  <c r="M989" i="6"/>
  <c r="N989" i="6"/>
  <c r="M990" i="6"/>
  <c r="N990" i="6"/>
  <c r="M991" i="6"/>
  <c r="N991" i="6"/>
  <c r="M992" i="6"/>
  <c r="N992" i="6"/>
  <c r="M993" i="6"/>
  <c r="N993" i="6"/>
  <c r="M994" i="6"/>
  <c r="N994" i="6"/>
  <c r="M995" i="6"/>
  <c r="N995" i="6"/>
  <c r="M996" i="6"/>
  <c r="N996" i="6"/>
  <c r="M997" i="6"/>
  <c r="N997" i="6"/>
  <c r="M998" i="6"/>
  <c r="N998" i="6"/>
  <c r="M999" i="6"/>
  <c r="N999" i="6"/>
  <c r="M1000" i="6"/>
  <c r="N1000" i="6"/>
  <c r="M1001" i="6"/>
  <c r="N1001" i="6"/>
  <c r="M1002" i="6"/>
  <c r="N1002" i="6"/>
  <c r="M1003" i="6"/>
  <c r="N1003" i="6"/>
  <c r="M1004" i="6"/>
  <c r="N1004" i="6"/>
  <c r="M1005" i="6"/>
  <c r="N1005" i="6"/>
  <c r="M1006" i="6"/>
  <c r="N1006" i="6"/>
  <c r="M1007" i="6"/>
  <c r="N1007" i="6"/>
  <c r="M1008" i="6"/>
  <c r="N1008" i="6"/>
  <c r="M1009" i="6"/>
  <c r="N1009" i="6"/>
  <c r="M1010" i="6"/>
  <c r="N1010" i="6"/>
  <c r="M1011" i="6"/>
  <c r="N1011" i="6"/>
  <c r="M1012" i="6"/>
  <c r="N1012" i="6"/>
  <c r="M1013" i="6"/>
  <c r="N1013" i="6"/>
  <c r="M1014" i="6"/>
  <c r="N1014" i="6"/>
  <c r="M1015" i="6"/>
  <c r="N1015" i="6"/>
  <c r="M1016" i="6"/>
  <c r="N1016" i="6"/>
  <c r="M1017" i="6"/>
  <c r="N1017" i="6"/>
  <c r="M1018" i="6"/>
  <c r="N1018" i="6"/>
  <c r="M1019" i="6"/>
  <c r="N1019" i="6"/>
  <c r="M1020" i="6"/>
  <c r="N1020" i="6"/>
  <c r="M1021" i="6"/>
  <c r="N1021" i="6"/>
  <c r="M1022" i="6"/>
  <c r="N1022" i="6"/>
  <c r="M1023" i="6"/>
  <c r="N1023" i="6"/>
  <c r="M1024" i="6"/>
  <c r="N1024" i="6"/>
  <c r="M1025" i="6"/>
  <c r="N1025" i="6"/>
  <c r="M1026" i="6"/>
  <c r="N1026" i="6"/>
  <c r="M1027" i="6"/>
  <c r="N1027" i="6"/>
  <c r="M1028" i="6"/>
  <c r="N1028" i="6"/>
  <c r="M1029" i="6"/>
  <c r="N1029" i="6"/>
  <c r="M1030" i="6"/>
  <c r="N1030" i="6"/>
  <c r="M1031" i="6"/>
  <c r="N1031" i="6"/>
  <c r="M1032" i="6"/>
  <c r="N1032" i="6"/>
  <c r="M1033" i="6"/>
  <c r="N1033" i="6"/>
  <c r="M1034" i="6"/>
  <c r="N1034" i="6"/>
  <c r="M1035" i="6"/>
  <c r="N1035" i="6"/>
  <c r="M1036" i="6"/>
  <c r="N1036" i="6"/>
  <c r="M1037" i="6"/>
  <c r="N1037" i="6"/>
  <c r="M1038" i="6"/>
  <c r="N1038" i="6"/>
  <c r="M1039" i="6"/>
  <c r="N1039" i="6"/>
  <c r="M1040" i="6"/>
  <c r="N1040" i="6"/>
  <c r="M1041" i="6"/>
  <c r="N1041" i="6"/>
  <c r="M1042" i="6"/>
  <c r="N1042" i="6"/>
  <c r="M1043" i="6"/>
  <c r="N1043" i="6"/>
  <c r="M1044" i="6"/>
  <c r="N1044" i="6"/>
  <c r="M1045" i="6"/>
  <c r="N1045" i="6"/>
  <c r="M1046" i="6"/>
  <c r="N1046" i="6"/>
  <c r="M1047" i="6"/>
  <c r="N1047" i="6"/>
  <c r="M1048" i="6"/>
  <c r="N1048" i="6"/>
  <c r="M1049" i="6"/>
  <c r="N1049" i="6"/>
  <c r="M1050" i="6"/>
  <c r="N1050" i="6"/>
  <c r="M1051" i="6"/>
  <c r="N1051" i="6"/>
  <c r="M1052" i="6"/>
  <c r="N1052" i="6"/>
  <c r="M1053" i="6"/>
  <c r="N1053" i="6"/>
  <c r="M1054" i="6"/>
  <c r="N1054" i="6"/>
  <c r="M1055" i="6"/>
  <c r="N1055" i="6"/>
  <c r="M1056" i="6"/>
  <c r="N1056" i="6"/>
  <c r="M1057" i="6"/>
  <c r="N1057" i="6"/>
  <c r="M1058" i="6"/>
  <c r="N1058" i="6"/>
  <c r="M1059" i="6"/>
  <c r="N1059" i="6"/>
  <c r="M1060" i="6"/>
  <c r="N1060" i="6"/>
  <c r="M1061" i="6"/>
  <c r="N1061" i="6"/>
  <c r="M1062" i="6"/>
  <c r="N1062" i="6"/>
  <c r="M1063" i="6"/>
  <c r="N1063" i="6"/>
  <c r="M1064" i="6"/>
  <c r="N1064" i="6"/>
  <c r="M1065" i="6"/>
  <c r="N1065" i="6"/>
  <c r="M1066" i="6"/>
  <c r="N1066" i="6"/>
  <c r="M1067" i="6"/>
  <c r="N1067" i="6"/>
  <c r="M1068" i="6"/>
  <c r="N1068" i="6"/>
  <c r="M1069" i="6"/>
  <c r="N1069" i="6"/>
  <c r="M1070" i="6"/>
  <c r="N1070" i="6"/>
  <c r="M1071" i="6"/>
  <c r="N1071" i="6"/>
  <c r="M1072" i="6"/>
  <c r="N1072" i="6"/>
  <c r="M1073" i="6"/>
  <c r="N1073" i="6"/>
  <c r="M1074" i="6"/>
  <c r="N1074" i="6"/>
  <c r="M1075" i="6"/>
  <c r="N1075" i="6"/>
  <c r="M1076" i="6"/>
  <c r="N1076" i="6"/>
  <c r="M1077" i="6"/>
  <c r="N1077" i="6"/>
  <c r="M1078" i="6"/>
  <c r="N1078" i="6"/>
  <c r="M1079" i="6"/>
  <c r="N1079" i="6"/>
  <c r="M1080" i="6"/>
  <c r="N1080" i="6"/>
  <c r="M1081" i="6"/>
  <c r="N1081" i="6"/>
  <c r="M1082" i="6"/>
  <c r="N1082" i="6"/>
  <c r="M1083" i="6"/>
  <c r="N1083" i="6"/>
  <c r="M1084" i="6"/>
  <c r="N1084" i="6"/>
  <c r="M1085" i="6"/>
  <c r="N1085" i="6"/>
  <c r="M1086" i="6"/>
  <c r="N1086" i="6"/>
  <c r="M1087" i="6"/>
  <c r="N1087" i="6"/>
  <c r="M1088" i="6"/>
  <c r="N1088" i="6"/>
  <c r="M1089" i="6"/>
  <c r="N1089" i="6"/>
  <c r="M1090" i="6"/>
  <c r="N1090" i="6"/>
  <c r="M1091" i="6"/>
  <c r="N1091" i="6"/>
  <c r="M1092" i="6"/>
  <c r="N1092" i="6"/>
  <c r="M1093" i="6"/>
  <c r="N1093" i="6"/>
  <c r="M1094" i="6"/>
  <c r="N1094" i="6"/>
  <c r="M1095" i="6"/>
  <c r="N1095" i="6"/>
  <c r="M1096" i="6"/>
  <c r="N1096" i="6"/>
  <c r="M1097" i="6"/>
  <c r="N1097" i="6"/>
  <c r="M1098" i="6"/>
  <c r="N1098" i="6"/>
  <c r="M1099" i="6"/>
  <c r="N1099" i="6"/>
  <c r="M1100" i="6"/>
  <c r="N1100" i="6"/>
  <c r="M1101" i="6"/>
  <c r="N1101" i="6"/>
  <c r="M1102" i="6"/>
  <c r="N1102" i="6"/>
  <c r="M1103" i="6"/>
  <c r="N1103" i="6"/>
  <c r="M1104" i="6"/>
  <c r="N1104" i="6"/>
  <c r="M1105" i="6"/>
  <c r="N1105" i="6"/>
  <c r="M1106" i="6"/>
  <c r="N1106" i="6"/>
  <c r="M1107" i="6"/>
  <c r="N1107" i="6"/>
  <c r="M1108" i="6"/>
  <c r="N1108" i="6"/>
  <c r="M1109" i="6"/>
  <c r="N1109" i="6"/>
  <c r="M1110" i="6"/>
  <c r="N1110" i="6"/>
  <c r="M1111" i="6"/>
  <c r="N1111" i="6"/>
  <c r="M1112" i="6"/>
  <c r="N1112" i="6"/>
  <c r="M1113" i="6"/>
  <c r="N1113" i="6"/>
  <c r="M1114" i="6"/>
  <c r="N1114" i="6"/>
  <c r="M1115" i="6"/>
  <c r="N1115" i="6"/>
  <c r="M1116" i="6"/>
  <c r="N1116" i="6"/>
  <c r="M1117" i="6"/>
  <c r="N1117" i="6"/>
  <c r="M1118" i="6"/>
  <c r="N1118" i="6"/>
  <c r="M1119" i="6"/>
  <c r="N1119" i="6"/>
  <c r="M1120" i="6"/>
  <c r="N1120" i="6"/>
  <c r="M1121" i="6"/>
  <c r="N1121" i="6"/>
  <c r="M1122" i="6"/>
  <c r="N1122" i="6"/>
  <c r="M1123" i="6"/>
  <c r="N1123" i="6"/>
  <c r="M1124" i="6"/>
  <c r="N1124" i="6"/>
  <c r="M1125" i="6"/>
  <c r="N1125" i="6"/>
  <c r="M1126" i="6"/>
  <c r="N1126" i="6"/>
  <c r="M1127" i="6"/>
  <c r="N1127" i="6"/>
  <c r="M1128" i="6"/>
  <c r="N1128" i="6"/>
  <c r="M1129" i="6"/>
  <c r="N1129" i="6"/>
  <c r="M1130" i="6"/>
  <c r="N1130" i="6"/>
  <c r="M1131" i="6"/>
  <c r="N1131" i="6"/>
  <c r="M1132" i="6"/>
  <c r="N1132" i="6"/>
  <c r="M1133" i="6"/>
  <c r="N1133" i="6"/>
  <c r="M1134" i="6"/>
  <c r="N1134" i="6"/>
  <c r="M1135" i="6"/>
  <c r="N1135" i="6"/>
  <c r="M1136" i="6"/>
  <c r="N1136" i="6"/>
  <c r="M1137" i="6"/>
  <c r="N1137" i="6"/>
  <c r="M1138" i="6"/>
  <c r="N1138" i="6"/>
  <c r="M1139" i="6"/>
  <c r="N1139" i="6"/>
  <c r="M1140" i="6"/>
  <c r="N1140" i="6"/>
  <c r="M1141" i="6"/>
  <c r="N1141" i="6"/>
  <c r="M1142" i="6"/>
  <c r="N1142" i="6"/>
  <c r="M1143" i="6"/>
  <c r="N1143" i="6"/>
  <c r="M1144" i="6"/>
  <c r="N1144" i="6"/>
  <c r="M1145" i="6"/>
  <c r="N1145" i="6"/>
  <c r="M1146" i="6"/>
  <c r="N1146" i="6"/>
  <c r="M1147" i="6"/>
  <c r="N1147" i="6"/>
  <c r="M1148" i="6"/>
  <c r="N1148" i="6"/>
  <c r="M1149" i="6"/>
  <c r="N1149" i="6"/>
  <c r="M1150" i="6"/>
  <c r="N1150" i="6"/>
  <c r="M1151" i="6"/>
  <c r="N1151" i="6"/>
  <c r="M1152" i="6"/>
  <c r="N1152" i="6"/>
  <c r="M1153" i="6"/>
  <c r="N1153" i="6"/>
  <c r="M1154" i="6"/>
  <c r="N1154" i="6"/>
  <c r="M1155" i="6"/>
  <c r="N1155" i="6"/>
  <c r="M1156" i="6"/>
  <c r="N1156" i="6"/>
  <c r="M1157" i="6"/>
  <c r="N1157" i="6"/>
  <c r="M1158" i="6"/>
  <c r="N1158" i="6"/>
  <c r="M1159" i="6"/>
  <c r="N1159" i="6"/>
  <c r="M1160" i="6"/>
  <c r="N1160" i="6"/>
  <c r="M1161" i="6"/>
  <c r="N1161" i="6"/>
  <c r="M1162" i="6"/>
  <c r="N1162" i="6"/>
  <c r="M1163" i="6"/>
  <c r="N1163" i="6"/>
  <c r="M1164" i="6"/>
  <c r="N1164" i="6"/>
  <c r="M1165" i="6"/>
  <c r="N1165" i="6"/>
  <c r="M1166" i="6"/>
  <c r="N1166" i="6"/>
  <c r="M1167" i="6"/>
  <c r="N1167" i="6"/>
  <c r="M1168" i="6"/>
  <c r="N1168" i="6"/>
  <c r="M1169" i="6"/>
  <c r="N1169" i="6"/>
  <c r="M1170" i="6"/>
  <c r="N1170" i="6"/>
  <c r="M1171" i="6"/>
  <c r="N1171" i="6"/>
  <c r="M1172" i="6"/>
  <c r="N1172" i="6"/>
  <c r="M1173" i="6"/>
  <c r="N1173" i="6"/>
  <c r="M1174" i="6"/>
  <c r="N1174" i="6"/>
  <c r="M1175" i="6"/>
  <c r="N1175" i="6"/>
  <c r="M1176" i="6"/>
  <c r="N1176" i="6"/>
  <c r="M1177" i="6"/>
  <c r="N1177" i="6"/>
  <c r="M1178" i="6"/>
  <c r="N1178" i="6"/>
  <c r="M1179" i="6"/>
  <c r="N1179" i="6"/>
  <c r="M1180" i="6"/>
  <c r="N1180" i="6"/>
  <c r="M1181" i="6"/>
  <c r="N1181" i="6"/>
  <c r="M1182" i="6"/>
  <c r="N1182" i="6"/>
  <c r="M1183" i="6"/>
  <c r="N1183" i="6"/>
  <c r="M1184" i="6"/>
  <c r="N1184" i="6"/>
  <c r="M1185" i="6"/>
  <c r="N1185" i="6"/>
  <c r="M1186" i="6"/>
  <c r="N1186" i="6"/>
  <c r="M1187" i="6"/>
  <c r="N1187" i="6"/>
  <c r="M1188" i="6"/>
  <c r="N1188" i="6"/>
  <c r="M1189" i="6"/>
  <c r="N1189" i="6"/>
  <c r="M1190" i="6"/>
  <c r="N1190" i="6"/>
  <c r="M1191" i="6"/>
  <c r="N1191" i="6"/>
  <c r="M1192" i="6"/>
  <c r="N1192" i="6"/>
  <c r="M1193" i="6"/>
  <c r="N1193" i="6"/>
  <c r="M1194" i="6"/>
  <c r="N1194" i="6"/>
  <c r="M1195" i="6"/>
  <c r="N1195" i="6"/>
  <c r="M1196" i="6"/>
  <c r="N1196" i="6"/>
  <c r="M1197" i="6"/>
  <c r="N1197" i="6"/>
  <c r="M1198" i="6"/>
  <c r="N1198" i="6"/>
  <c r="M1199" i="6"/>
  <c r="N1199" i="6"/>
  <c r="M1200" i="6"/>
  <c r="N1200" i="6"/>
  <c r="M1201" i="6"/>
  <c r="N1201" i="6"/>
  <c r="M1202" i="6"/>
  <c r="N1202" i="6"/>
  <c r="M1203" i="6"/>
  <c r="N1203" i="6"/>
  <c r="M1204" i="6"/>
  <c r="N1204" i="6"/>
  <c r="M1205" i="6"/>
  <c r="N1205" i="6"/>
  <c r="M1206" i="6"/>
  <c r="N1206" i="6"/>
  <c r="M1207" i="6"/>
  <c r="N1207" i="6"/>
  <c r="M1208" i="6"/>
  <c r="N1208" i="6"/>
  <c r="M1209" i="6"/>
  <c r="N1209" i="6"/>
  <c r="M1210" i="6"/>
  <c r="N1210" i="6"/>
  <c r="M1211" i="6"/>
  <c r="N1211" i="6"/>
  <c r="M1212" i="6"/>
  <c r="N1212" i="6"/>
  <c r="M1213" i="6"/>
  <c r="N1213" i="6"/>
  <c r="M1214" i="6"/>
  <c r="N1214" i="6"/>
  <c r="M1215" i="6"/>
  <c r="N1215" i="6"/>
  <c r="M1216" i="6"/>
  <c r="N1216" i="6"/>
  <c r="M1217" i="6"/>
  <c r="N1217" i="6"/>
  <c r="M1218" i="6"/>
  <c r="N1218" i="6"/>
  <c r="M1219" i="6"/>
  <c r="N1219" i="6"/>
  <c r="M1220" i="6"/>
  <c r="N1220" i="6"/>
  <c r="M1221" i="6"/>
  <c r="N1221" i="6"/>
  <c r="M1222" i="6"/>
  <c r="N1222" i="6"/>
  <c r="M1223" i="6"/>
  <c r="N1223" i="6"/>
  <c r="M1224" i="6"/>
  <c r="N1224" i="6"/>
  <c r="M1225" i="6"/>
  <c r="N1225" i="6"/>
  <c r="M1226" i="6"/>
  <c r="N1226" i="6"/>
  <c r="M1227" i="6"/>
  <c r="N1227" i="6"/>
  <c r="M1228" i="6"/>
  <c r="N1228" i="6"/>
  <c r="M1229" i="6"/>
  <c r="N1229" i="6"/>
  <c r="M1230" i="6"/>
  <c r="N1230" i="6"/>
  <c r="M1231" i="6"/>
  <c r="N1231" i="6"/>
  <c r="M1232" i="6"/>
  <c r="N1232" i="6"/>
  <c r="M1233" i="6"/>
  <c r="N1233" i="6"/>
  <c r="M1234" i="6"/>
  <c r="N1234" i="6"/>
  <c r="M1235" i="6"/>
  <c r="N1235" i="6"/>
  <c r="M1236" i="6"/>
  <c r="N1236" i="6"/>
  <c r="M1237" i="6"/>
  <c r="N1237" i="6"/>
  <c r="M1238" i="6"/>
  <c r="N1238" i="6"/>
  <c r="M1239" i="6"/>
  <c r="N1239" i="6"/>
  <c r="M1240" i="6"/>
  <c r="N1240" i="6"/>
  <c r="M1241" i="6"/>
  <c r="N1241" i="6"/>
  <c r="M1242" i="6"/>
  <c r="N1242" i="6"/>
  <c r="M1243" i="6"/>
  <c r="N1243" i="6"/>
  <c r="M1244" i="6"/>
  <c r="N1244" i="6"/>
  <c r="M1245" i="6"/>
  <c r="N1245" i="6"/>
  <c r="M1246" i="6"/>
  <c r="N1246" i="6"/>
  <c r="M1247" i="6"/>
  <c r="N1247" i="6"/>
  <c r="M1248" i="6"/>
  <c r="N1248" i="6"/>
  <c r="M1249" i="6"/>
  <c r="N1249" i="6"/>
  <c r="M1250" i="6"/>
  <c r="N1250" i="6"/>
  <c r="M1251" i="6"/>
  <c r="N1251" i="6"/>
  <c r="M1252" i="6"/>
  <c r="N1252" i="6"/>
  <c r="M1253" i="6"/>
  <c r="N1253" i="6"/>
  <c r="M1254" i="6"/>
  <c r="N1254" i="6"/>
  <c r="M1255" i="6"/>
  <c r="N1255" i="6"/>
  <c r="M1256" i="6"/>
  <c r="N1256" i="6"/>
  <c r="M1257" i="6"/>
  <c r="N1257" i="6"/>
  <c r="M1258" i="6"/>
  <c r="N1258" i="6"/>
  <c r="M1259" i="6"/>
  <c r="N1259" i="6"/>
  <c r="M1260" i="6"/>
  <c r="N1260" i="6"/>
  <c r="M1261" i="6"/>
  <c r="N1261" i="6"/>
  <c r="M1262" i="6"/>
  <c r="N1262" i="6"/>
  <c r="M1263" i="6"/>
  <c r="N1263" i="6"/>
  <c r="M1264" i="6"/>
  <c r="N1264" i="6"/>
  <c r="M1265" i="6"/>
  <c r="N1265" i="6"/>
  <c r="M1266" i="6"/>
  <c r="N1266" i="6"/>
  <c r="M1267" i="6"/>
  <c r="N1267" i="6"/>
  <c r="M1268" i="6"/>
  <c r="N1268" i="6"/>
  <c r="M1269" i="6"/>
  <c r="N1269" i="6"/>
  <c r="M1270" i="6"/>
  <c r="N1270" i="6"/>
  <c r="M1271" i="6"/>
  <c r="N1271" i="6"/>
  <c r="M1272" i="6"/>
  <c r="N1272" i="6"/>
  <c r="M1273" i="6"/>
  <c r="N1273" i="6"/>
  <c r="M1274" i="6"/>
  <c r="N1274" i="6"/>
  <c r="M1275" i="6"/>
  <c r="N1275" i="6"/>
  <c r="M1276" i="6"/>
  <c r="N1276" i="6"/>
  <c r="M1277" i="6"/>
  <c r="N1277" i="6"/>
  <c r="M1278" i="6"/>
  <c r="N1278" i="6"/>
  <c r="M1279" i="6"/>
  <c r="N1279" i="6"/>
  <c r="M1280" i="6"/>
  <c r="N1280" i="6"/>
  <c r="M1281" i="6"/>
  <c r="N1281" i="6"/>
  <c r="M1282" i="6"/>
  <c r="N1282" i="6"/>
  <c r="M1283" i="6"/>
  <c r="N1283" i="6"/>
  <c r="M1284" i="6"/>
  <c r="N1284" i="6"/>
  <c r="M1285" i="6"/>
  <c r="N1285" i="6"/>
  <c r="M1286" i="6"/>
  <c r="N1286" i="6"/>
  <c r="M1287" i="6"/>
  <c r="N1287" i="6"/>
  <c r="M1288" i="6"/>
  <c r="N1288" i="6"/>
  <c r="M1289" i="6"/>
  <c r="N1289" i="6"/>
  <c r="M1290" i="6"/>
  <c r="N1290" i="6"/>
  <c r="M1291" i="6"/>
  <c r="N1291" i="6"/>
  <c r="M1292" i="6"/>
  <c r="N1292" i="6"/>
  <c r="M1293" i="6"/>
  <c r="N1293" i="6"/>
  <c r="M1294" i="6"/>
  <c r="N1294" i="6"/>
  <c r="M1295" i="6"/>
  <c r="N1295" i="6"/>
  <c r="M1296" i="6"/>
  <c r="N1296" i="6"/>
  <c r="M1297" i="6"/>
  <c r="N1297" i="6"/>
  <c r="M1298" i="6"/>
  <c r="N1298" i="6"/>
  <c r="M1299" i="6"/>
  <c r="N1299" i="6"/>
  <c r="M1300" i="6"/>
  <c r="N1300" i="6"/>
  <c r="M1301" i="6"/>
  <c r="N1301" i="6"/>
  <c r="M1302" i="6"/>
  <c r="N1302" i="6"/>
  <c r="M1303" i="6"/>
  <c r="N1303" i="6"/>
  <c r="M1304" i="6"/>
  <c r="N1304" i="6"/>
  <c r="M1305" i="6"/>
  <c r="N1305" i="6"/>
  <c r="M1306" i="6"/>
  <c r="N1306" i="6"/>
  <c r="M1307" i="6"/>
  <c r="N1307" i="6"/>
  <c r="M1308" i="6"/>
  <c r="N1308" i="6"/>
  <c r="M1309" i="6"/>
  <c r="N1309" i="6"/>
  <c r="M1310" i="6"/>
  <c r="N1310" i="6"/>
  <c r="M1311" i="6"/>
  <c r="N1311" i="6"/>
  <c r="M1312" i="6"/>
  <c r="N1312" i="6"/>
  <c r="M1313" i="6"/>
  <c r="N1313" i="6"/>
  <c r="M1314" i="6"/>
  <c r="N1314" i="6"/>
  <c r="M1315" i="6"/>
  <c r="N1315" i="6"/>
  <c r="M1316" i="6"/>
  <c r="N1316" i="6"/>
  <c r="M1317" i="6"/>
  <c r="N1317" i="6"/>
  <c r="M1318" i="6"/>
  <c r="N1318" i="6"/>
  <c r="M1319" i="6"/>
  <c r="N1319" i="6"/>
  <c r="M1320" i="6"/>
  <c r="N1320" i="6"/>
  <c r="M1321" i="6"/>
  <c r="N1321" i="6"/>
  <c r="M1322" i="6"/>
  <c r="N1322" i="6"/>
  <c r="M1323" i="6"/>
  <c r="N1323" i="6"/>
  <c r="M1324" i="6"/>
  <c r="N1324" i="6"/>
  <c r="M1325" i="6"/>
  <c r="N1325" i="6"/>
  <c r="M1326" i="6"/>
  <c r="N1326" i="6"/>
  <c r="M1327" i="6"/>
  <c r="N1327" i="6"/>
  <c r="M1328" i="6"/>
  <c r="N1328" i="6"/>
  <c r="M1329" i="6"/>
  <c r="N1329" i="6"/>
  <c r="M1330" i="6"/>
  <c r="N1330" i="6"/>
  <c r="M1331" i="6"/>
  <c r="N1331" i="6"/>
  <c r="M1332" i="6"/>
  <c r="N1332" i="6"/>
  <c r="M1333" i="6"/>
  <c r="N1333" i="6"/>
  <c r="M1334" i="6"/>
  <c r="N1334" i="6"/>
  <c r="M1335" i="6"/>
  <c r="N1335" i="6"/>
  <c r="M1336" i="6"/>
  <c r="N1336" i="6"/>
  <c r="M1337" i="6"/>
  <c r="N1337" i="6"/>
  <c r="M1338" i="6"/>
  <c r="N1338" i="6"/>
  <c r="M1339" i="6"/>
  <c r="N1339" i="6"/>
  <c r="M1340" i="6"/>
  <c r="N1340" i="6"/>
  <c r="M1341" i="6"/>
  <c r="N1341" i="6"/>
  <c r="M1342" i="6"/>
  <c r="N1342" i="6"/>
  <c r="M1343" i="6"/>
  <c r="N1343" i="6"/>
  <c r="M1344" i="6"/>
  <c r="N1344" i="6"/>
  <c r="M1345" i="6"/>
  <c r="N1345" i="6"/>
  <c r="M1346" i="6"/>
  <c r="N1346" i="6"/>
  <c r="M1347" i="6"/>
  <c r="N1347" i="6"/>
  <c r="M1348" i="6"/>
  <c r="N1348" i="6"/>
  <c r="M1349" i="6"/>
  <c r="N1349" i="6"/>
  <c r="M1350" i="6"/>
  <c r="N1350" i="6"/>
  <c r="M1351" i="6"/>
  <c r="N1351" i="6"/>
  <c r="M1352" i="6"/>
  <c r="N1352" i="6"/>
  <c r="M1353" i="6"/>
  <c r="N1353" i="6"/>
  <c r="M1354" i="6"/>
  <c r="N1354" i="6"/>
  <c r="M1355" i="6"/>
  <c r="N1355" i="6"/>
  <c r="M1356" i="6"/>
  <c r="N1356" i="6"/>
  <c r="M1357" i="6"/>
  <c r="N1357" i="6"/>
  <c r="M1358" i="6"/>
  <c r="N1358" i="6"/>
  <c r="M1359" i="6"/>
  <c r="N1359" i="6"/>
  <c r="M1360" i="6"/>
  <c r="N1360" i="6"/>
  <c r="M1361" i="6"/>
  <c r="N1361" i="6"/>
  <c r="M1362" i="6"/>
  <c r="N1362" i="6"/>
  <c r="M1363" i="6"/>
  <c r="N1363" i="6"/>
  <c r="M1364" i="6"/>
  <c r="N1364" i="6"/>
  <c r="M1365" i="6"/>
  <c r="N1365" i="6"/>
  <c r="M1366" i="6"/>
  <c r="N1366" i="6"/>
  <c r="M1367" i="6"/>
  <c r="N1367" i="6"/>
  <c r="M1368" i="6"/>
  <c r="N1368" i="6"/>
  <c r="M1369" i="6"/>
  <c r="N1369" i="6"/>
  <c r="M1370" i="6"/>
  <c r="N1370" i="6"/>
  <c r="M1371" i="6"/>
  <c r="N1371" i="6"/>
  <c r="M1372" i="6"/>
  <c r="N1372" i="6"/>
  <c r="M1373" i="6"/>
  <c r="N1373" i="6"/>
  <c r="M1374" i="6"/>
  <c r="N1374" i="6"/>
  <c r="M1375" i="6"/>
  <c r="N1375" i="6"/>
  <c r="M1376" i="6"/>
  <c r="N1376" i="6"/>
  <c r="M1377" i="6"/>
  <c r="N1377" i="6"/>
  <c r="M1378" i="6"/>
  <c r="N1378" i="6"/>
  <c r="M1379" i="6"/>
  <c r="N1379" i="6"/>
  <c r="M1380" i="6"/>
  <c r="N1380" i="6"/>
  <c r="M1381" i="6"/>
  <c r="N1381" i="6"/>
  <c r="M1382" i="6"/>
  <c r="N1382" i="6"/>
  <c r="M1383" i="6"/>
  <c r="N1383" i="6"/>
  <c r="M1384" i="6"/>
  <c r="N1384" i="6"/>
  <c r="M1385" i="6"/>
  <c r="N1385" i="6"/>
  <c r="M1386" i="6"/>
  <c r="N1386" i="6"/>
  <c r="M1387" i="6"/>
  <c r="N1387" i="6"/>
  <c r="M1388" i="6"/>
  <c r="N1388" i="6"/>
  <c r="M1389" i="6"/>
  <c r="N1389" i="6"/>
  <c r="M1390" i="6"/>
  <c r="N1390" i="6"/>
  <c r="M1391" i="6"/>
  <c r="N1391" i="6"/>
  <c r="M1392" i="6"/>
  <c r="N1392" i="6"/>
  <c r="M1393" i="6"/>
  <c r="N1393" i="6"/>
  <c r="M1394" i="6"/>
  <c r="N1394" i="6"/>
  <c r="M1395" i="6"/>
  <c r="N1395" i="6"/>
  <c r="M1396" i="6"/>
  <c r="N1396" i="6"/>
  <c r="M1397" i="6"/>
  <c r="N1397" i="6"/>
  <c r="M1398" i="6"/>
  <c r="N1398" i="6"/>
  <c r="M1399" i="6"/>
  <c r="N1399" i="6"/>
  <c r="M1400" i="6"/>
  <c r="N1400" i="6"/>
  <c r="M1401" i="6"/>
  <c r="N1401" i="6"/>
  <c r="M1402" i="6"/>
  <c r="N1402" i="6"/>
  <c r="M1403" i="6"/>
  <c r="N1403" i="6"/>
  <c r="M1404" i="6"/>
  <c r="N1404" i="6"/>
  <c r="M1405" i="6"/>
  <c r="N1405" i="6"/>
  <c r="M1406" i="6"/>
  <c r="N1406" i="6"/>
  <c r="M1407" i="6"/>
  <c r="N1407" i="6"/>
  <c r="M1408" i="6"/>
  <c r="N1408" i="6"/>
  <c r="M1409" i="6"/>
  <c r="N1409" i="6"/>
  <c r="M1410" i="6"/>
  <c r="N1410" i="6"/>
  <c r="M1411" i="6"/>
  <c r="N1411" i="6"/>
  <c r="M1412" i="6"/>
  <c r="N1412" i="6"/>
  <c r="M1413" i="6"/>
  <c r="N1413" i="6"/>
  <c r="M1414" i="6"/>
  <c r="N1414" i="6"/>
  <c r="M1415" i="6"/>
  <c r="N1415" i="6"/>
  <c r="M1416" i="6"/>
  <c r="N1416" i="6"/>
  <c r="M1417" i="6"/>
  <c r="N1417" i="6"/>
  <c r="M1418" i="6"/>
  <c r="N1418" i="6"/>
  <c r="M1419" i="6"/>
  <c r="N1419" i="6"/>
  <c r="M1420" i="6"/>
  <c r="N1420" i="6"/>
  <c r="M1421" i="6"/>
  <c r="N1421" i="6"/>
  <c r="M1422" i="6"/>
  <c r="N1422" i="6"/>
  <c r="M1423" i="6"/>
  <c r="N1423" i="6"/>
  <c r="M1424" i="6"/>
  <c r="N1424" i="6"/>
  <c r="M1425" i="6"/>
  <c r="N1425" i="6"/>
  <c r="M1426" i="6"/>
  <c r="N1426" i="6"/>
  <c r="M1427" i="6"/>
  <c r="N1427" i="6"/>
  <c r="M1428" i="6"/>
  <c r="N1428" i="6"/>
  <c r="M1429" i="6"/>
  <c r="N1429" i="6"/>
  <c r="M1430" i="6"/>
  <c r="N1430" i="6"/>
  <c r="M1431" i="6"/>
  <c r="N1431" i="6"/>
  <c r="M1432" i="6"/>
  <c r="N1432" i="6"/>
  <c r="M1433" i="6"/>
  <c r="N1433" i="6"/>
  <c r="M1434" i="6"/>
  <c r="N1434" i="6"/>
  <c r="M1435" i="6"/>
  <c r="N1435" i="6"/>
  <c r="M1436" i="6"/>
  <c r="N1436" i="6"/>
  <c r="M1437" i="6"/>
  <c r="N1437" i="6"/>
  <c r="M1438" i="6"/>
  <c r="N1438" i="6"/>
  <c r="M1439" i="6"/>
  <c r="N1439" i="6"/>
  <c r="M1440" i="6"/>
  <c r="N1440" i="6"/>
  <c r="M1441" i="6"/>
  <c r="N1441" i="6"/>
  <c r="M1442" i="6"/>
  <c r="N1442" i="6"/>
  <c r="M1443" i="6"/>
  <c r="N1443" i="6"/>
  <c r="M1444" i="6"/>
  <c r="N1444" i="6"/>
  <c r="M1445" i="6"/>
  <c r="N1445" i="6"/>
  <c r="M1446" i="6"/>
  <c r="N1446" i="6"/>
  <c r="M1447" i="6"/>
  <c r="N1447" i="6"/>
  <c r="M1448" i="6"/>
  <c r="N1448" i="6"/>
  <c r="M1449" i="6"/>
  <c r="N1449" i="6"/>
  <c r="M1450" i="6"/>
  <c r="N1450" i="6"/>
  <c r="M1451" i="6"/>
  <c r="N1451" i="6"/>
  <c r="M1452" i="6"/>
  <c r="N1452" i="6"/>
  <c r="M1453" i="6"/>
  <c r="N1453" i="6"/>
  <c r="M1454" i="6"/>
  <c r="N1454" i="6"/>
  <c r="M1455" i="6"/>
  <c r="N1455" i="6"/>
  <c r="M1456" i="6"/>
  <c r="N1456" i="6"/>
  <c r="M1457" i="6"/>
  <c r="N1457" i="6"/>
  <c r="M1458" i="6"/>
  <c r="N1458" i="6"/>
  <c r="M1459" i="6"/>
  <c r="N1459" i="6"/>
  <c r="M1460" i="6"/>
  <c r="N1460" i="6"/>
  <c r="M1461" i="6"/>
  <c r="N1461" i="6"/>
  <c r="M1462" i="6"/>
  <c r="N1462" i="6"/>
  <c r="M1463" i="6"/>
  <c r="N1463" i="6"/>
  <c r="M1464" i="6"/>
  <c r="N1464" i="6"/>
  <c r="M1465" i="6"/>
  <c r="N1465" i="6"/>
  <c r="M1466" i="6"/>
  <c r="N1466" i="6"/>
  <c r="M1467" i="6"/>
  <c r="N1467" i="6"/>
  <c r="M1468" i="6"/>
  <c r="N1468" i="6"/>
  <c r="M1469" i="6"/>
  <c r="N1469" i="6"/>
  <c r="M1470" i="6"/>
  <c r="N1470" i="6"/>
  <c r="M1471" i="6"/>
  <c r="N1471" i="6"/>
  <c r="N2" i="6"/>
  <c r="M2" i="6"/>
  <c r="C92" i="6"/>
  <c r="B92" i="6"/>
  <c r="C91" i="6"/>
  <c r="B91" i="6"/>
  <c r="C90" i="6"/>
  <c r="B90" i="6"/>
  <c r="C89" i="6"/>
  <c r="B89" i="6"/>
  <c r="D85" i="6"/>
  <c r="C85" i="6"/>
  <c r="B85" i="6"/>
  <c r="D84" i="6"/>
  <c r="C84" i="6"/>
  <c r="B84" i="6"/>
  <c r="D83" i="6"/>
  <c r="C83" i="6"/>
  <c r="B83" i="6"/>
  <c r="B79" i="6"/>
  <c r="B78" i="6"/>
  <c r="B77" i="6"/>
  <c r="B76" i="6"/>
  <c r="B75" i="6"/>
  <c r="B74" i="6"/>
  <c r="B73" i="6"/>
  <c r="B72" i="6"/>
  <c r="B71" i="6"/>
  <c r="B70" i="6"/>
  <c r="B69" i="6"/>
  <c r="B68" i="6"/>
  <c r="B67" i="6"/>
  <c r="B66" i="6"/>
  <c r="C61" i="6"/>
  <c r="B61" i="6"/>
  <c r="C60" i="6"/>
  <c r="B60" i="6"/>
  <c r="C59" i="6"/>
  <c r="B59" i="6"/>
  <c r="C58" i="6"/>
  <c r="B58" i="6"/>
  <c r="C57" i="6"/>
  <c r="B57" i="6"/>
  <c r="C56" i="6"/>
  <c r="B56" i="6"/>
  <c r="C55" i="6"/>
  <c r="B55" i="6"/>
  <c r="C54" i="6"/>
  <c r="B54" i="6"/>
  <c r="C53" i="6"/>
  <c r="B53" i="6"/>
  <c r="K49" i="6"/>
  <c r="J49" i="6"/>
  <c r="K48" i="6"/>
  <c r="J48" i="6"/>
  <c r="K47" i="6"/>
  <c r="J47" i="6"/>
  <c r="K46" i="6"/>
  <c r="J46" i="6"/>
  <c r="G49" i="6"/>
  <c r="F49" i="6"/>
  <c r="G48" i="6"/>
  <c r="F48" i="6"/>
  <c r="G47" i="6"/>
  <c r="F47" i="6"/>
  <c r="G46" i="6"/>
  <c r="F46" i="6"/>
  <c r="C48" i="6"/>
  <c r="B48" i="6"/>
  <c r="C47" i="6"/>
  <c r="B47" i="6"/>
  <c r="C46" i="6"/>
  <c r="B46" i="6"/>
  <c r="K41" i="6"/>
  <c r="J41" i="6"/>
  <c r="K40" i="6"/>
  <c r="J40" i="6"/>
  <c r="G41" i="6"/>
  <c r="F41" i="6"/>
  <c r="G40" i="6"/>
  <c r="F40" i="6"/>
  <c r="C42" i="6"/>
  <c r="B42" i="6"/>
  <c r="C41" i="6"/>
  <c r="B41" i="6"/>
  <c r="C40" i="6"/>
  <c r="B40" i="6"/>
  <c r="B33" i="6"/>
  <c r="B32" i="6"/>
  <c r="B31" i="6"/>
  <c r="B27" i="6" a="1"/>
  <c r="I23" i="6"/>
  <c r="H23" i="6"/>
  <c r="G23" i="6"/>
  <c r="F23" i="6"/>
  <c r="E23" i="6"/>
  <c r="D23" i="6"/>
  <c r="C23" i="6"/>
  <c r="B23" i="6"/>
  <c r="I22" i="6"/>
  <c r="H22" i="6"/>
  <c r="G22" i="6"/>
  <c r="F22" i="6"/>
  <c r="E22" i="6"/>
  <c r="D22" i="6"/>
  <c r="C22" i="6"/>
  <c r="B22" i="6"/>
  <c r="I21" i="6"/>
  <c r="H21" i="6"/>
  <c r="G21" i="6"/>
  <c r="F21" i="6"/>
  <c r="E21" i="6"/>
  <c r="D21" i="6"/>
  <c r="C21" i="6"/>
  <c r="B21" i="6"/>
  <c r="I20" i="6"/>
  <c r="H20" i="6"/>
  <c r="G20" i="6"/>
  <c r="F20" i="6"/>
  <c r="E20" i="6"/>
  <c r="D20" i="6"/>
  <c r="C20" i="6"/>
  <c r="B20" i="6"/>
  <c r="I19" i="6"/>
  <c r="H19" i="6"/>
  <c r="G19" i="6"/>
  <c r="F19" i="6"/>
  <c r="E19" i="6"/>
  <c r="D19" i="6"/>
  <c r="C19" i="6"/>
  <c r="B19" i="6"/>
  <c r="I18" i="6"/>
  <c r="H18" i="6"/>
  <c r="G18" i="6"/>
  <c r="F18" i="6"/>
  <c r="E18" i="6"/>
  <c r="D18" i="6"/>
  <c r="C18" i="6"/>
  <c r="B18" i="6"/>
  <c r="I17" i="6"/>
  <c r="H17" i="6"/>
  <c r="G17" i="6"/>
  <c r="F17" i="6"/>
  <c r="E17" i="6"/>
  <c r="D17" i="6"/>
  <c r="C17" i="6"/>
  <c r="B17" i="6"/>
  <c r="I16" i="6"/>
  <c r="H16" i="6"/>
  <c r="G16" i="6"/>
  <c r="F16" i="6"/>
  <c r="E16" i="6"/>
  <c r="D16" i="6"/>
  <c r="C16" i="6"/>
  <c r="B16" i="6"/>
  <c r="I15" i="6"/>
  <c r="H15" i="6"/>
  <c r="G15" i="6"/>
  <c r="F15" i="6"/>
  <c r="E15" i="6"/>
  <c r="D15" i="6"/>
  <c r="C15" i="6"/>
  <c r="B15" i="6"/>
  <c r="I14" i="6"/>
  <c r="H14" i="6"/>
  <c r="G14" i="6"/>
  <c r="F14" i="6"/>
  <c r="E14" i="6"/>
  <c r="D14" i="6"/>
  <c r="C14" i="6"/>
  <c r="B14" i="6"/>
  <c r="I13" i="6"/>
  <c r="H13" i="6"/>
  <c r="G13" i="6"/>
  <c r="F13" i="6"/>
  <c r="E13" i="6"/>
  <c r="D13" i="6"/>
  <c r="C13" i="6"/>
  <c r="B13" i="6"/>
  <c r="I12" i="6"/>
  <c r="H12" i="6"/>
  <c r="G12" i="6"/>
  <c r="F12" i="6"/>
  <c r="E12" i="6"/>
  <c r="D12" i="6"/>
  <c r="C12" i="6"/>
  <c r="B12" i="6"/>
  <c r="I11" i="6"/>
  <c r="H11" i="6"/>
  <c r="G11" i="6"/>
  <c r="F11" i="6"/>
  <c r="E11" i="6"/>
  <c r="D11" i="6"/>
  <c r="C11" i="6"/>
  <c r="B11" i="6"/>
  <c r="I10" i="6"/>
  <c r="H10" i="6"/>
  <c r="G10" i="6"/>
  <c r="F10" i="6"/>
  <c r="E10" i="6"/>
  <c r="D10" i="6"/>
  <c r="C10" i="6"/>
  <c r="B10" i="6"/>
  <c r="B5" i="6"/>
  <c r="B4" i="6"/>
  <c r="AS1471" i="5"/>
  <c r="AR1471" i="5"/>
  <c r="AQ1471" i="5"/>
  <c r="AP1471" i="5"/>
  <c r="AO1471" i="5"/>
  <c r="AN1471" i="5"/>
  <c r="AM1471" i="5"/>
  <c r="AL1471" i="5"/>
  <c r="AK1471" i="5"/>
  <c r="AJ1471" i="5"/>
  <c r="AS1470" i="5"/>
  <c r="AR1470" i="5"/>
  <c r="AQ1470" i="5"/>
  <c r="AP1470" i="5"/>
  <c r="AO1470" i="5"/>
  <c r="AN1470" i="5"/>
  <c r="AM1470" i="5"/>
  <c r="AL1470" i="5"/>
  <c r="AK1470" i="5"/>
  <c r="AJ1470" i="5"/>
  <c r="AS1469" i="5"/>
  <c r="AR1469" i="5"/>
  <c r="AQ1469" i="5"/>
  <c r="AP1469" i="5"/>
  <c r="AO1469" i="5"/>
  <c r="AN1469" i="5"/>
  <c r="AM1469" i="5"/>
  <c r="AL1469" i="5"/>
  <c r="AK1469" i="5"/>
  <c r="AJ1469" i="5"/>
  <c r="AS1468" i="5"/>
  <c r="AR1468" i="5"/>
  <c r="AQ1468" i="5"/>
  <c r="AP1468" i="5"/>
  <c r="AO1468" i="5"/>
  <c r="AN1468" i="5"/>
  <c r="AM1468" i="5"/>
  <c r="AL1468" i="5"/>
  <c r="AK1468" i="5"/>
  <c r="AJ1468" i="5"/>
  <c r="AS1467" i="5"/>
  <c r="AR1467" i="5"/>
  <c r="AQ1467" i="5"/>
  <c r="AP1467" i="5"/>
  <c r="AO1467" i="5"/>
  <c r="AN1467" i="5"/>
  <c r="AM1467" i="5"/>
  <c r="AL1467" i="5"/>
  <c r="AK1467" i="5"/>
  <c r="AJ1467" i="5"/>
  <c r="AS1466" i="5"/>
  <c r="AR1466" i="5"/>
  <c r="AQ1466" i="5"/>
  <c r="AP1466" i="5"/>
  <c r="AO1466" i="5"/>
  <c r="AN1466" i="5"/>
  <c r="AM1466" i="5"/>
  <c r="AL1466" i="5"/>
  <c r="AK1466" i="5"/>
  <c r="AJ1466" i="5"/>
  <c r="AS1465" i="5"/>
  <c r="AR1465" i="5"/>
  <c r="AQ1465" i="5"/>
  <c r="AP1465" i="5"/>
  <c r="AO1465" i="5"/>
  <c r="AN1465" i="5"/>
  <c r="AM1465" i="5"/>
  <c r="AL1465" i="5"/>
  <c r="AK1465" i="5"/>
  <c r="AJ1465" i="5"/>
  <c r="AS1464" i="5"/>
  <c r="AR1464" i="5"/>
  <c r="AQ1464" i="5"/>
  <c r="AP1464" i="5"/>
  <c r="AO1464" i="5"/>
  <c r="AN1464" i="5"/>
  <c r="AM1464" i="5"/>
  <c r="AL1464" i="5"/>
  <c r="AK1464" i="5"/>
  <c r="AJ1464" i="5"/>
  <c r="AS1463" i="5"/>
  <c r="AR1463" i="5"/>
  <c r="AQ1463" i="5"/>
  <c r="AP1463" i="5"/>
  <c r="AO1463" i="5"/>
  <c r="AN1463" i="5"/>
  <c r="AM1463" i="5"/>
  <c r="AL1463" i="5"/>
  <c r="AK1463" i="5"/>
  <c r="AJ1463" i="5"/>
  <c r="AS1462" i="5"/>
  <c r="AR1462" i="5"/>
  <c r="AQ1462" i="5"/>
  <c r="AP1462" i="5"/>
  <c r="AO1462" i="5"/>
  <c r="AN1462" i="5"/>
  <c r="AM1462" i="5"/>
  <c r="AL1462" i="5"/>
  <c r="AK1462" i="5"/>
  <c r="AJ1462" i="5"/>
  <c r="AS1461" i="5"/>
  <c r="AR1461" i="5"/>
  <c r="AQ1461" i="5"/>
  <c r="AP1461" i="5"/>
  <c r="AO1461" i="5"/>
  <c r="AN1461" i="5"/>
  <c r="AM1461" i="5"/>
  <c r="AL1461" i="5"/>
  <c r="AK1461" i="5"/>
  <c r="AJ1461" i="5"/>
  <c r="AS1460" i="5"/>
  <c r="AR1460" i="5"/>
  <c r="AQ1460" i="5"/>
  <c r="AP1460" i="5"/>
  <c r="AO1460" i="5"/>
  <c r="AN1460" i="5"/>
  <c r="AM1460" i="5"/>
  <c r="AL1460" i="5"/>
  <c r="AK1460" i="5"/>
  <c r="AJ1460" i="5"/>
  <c r="AS1459" i="5"/>
  <c r="AR1459" i="5"/>
  <c r="AQ1459" i="5"/>
  <c r="AP1459" i="5"/>
  <c r="AO1459" i="5"/>
  <c r="AN1459" i="5"/>
  <c r="AM1459" i="5"/>
  <c r="AL1459" i="5"/>
  <c r="AK1459" i="5"/>
  <c r="AJ1459" i="5"/>
  <c r="AS1458" i="5"/>
  <c r="AR1458" i="5"/>
  <c r="AQ1458" i="5"/>
  <c r="AP1458" i="5"/>
  <c r="AO1458" i="5"/>
  <c r="AN1458" i="5"/>
  <c r="AM1458" i="5"/>
  <c r="AL1458" i="5"/>
  <c r="AK1458" i="5"/>
  <c r="AJ1458" i="5"/>
  <c r="AS1457" i="5"/>
  <c r="AR1457" i="5"/>
  <c r="AQ1457" i="5"/>
  <c r="AP1457" i="5"/>
  <c r="AO1457" i="5"/>
  <c r="AN1457" i="5"/>
  <c r="AM1457" i="5"/>
  <c r="AL1457" i="5"/>
  <c r="AK1457" i="5"/>
  <c r="AJ1457" i="5"/>
  <c r="AS1456" i="5"/>
  <c r="AR1456" i="5"/>
  <c r="AQ1456" i="5"/>
  <c r="AP1456" i="5"/>
  <c r="AO1456" i="5"/>
  <c r="AN1456" i="5"/>
  <c r="AM1456" i="5"/>
  <c r="AL1456" i="5"/>
  <c r="AK1456" i="5"/>
  <c r="AJ1456" i="5"/>
  <c r="AS1455" i="5"/>
  <c r="AR1455" i="5"/>
  <c r="AQ1455" i="5"/>
  <c r="AP1455" i="5"/>
  <c r="AO1455" i="5"/>
  <c r="AN1455" i="5"/>
  <c r="AM1455" i="5"/>
  <c r="AL1455" i="5"/>
  <c r="AK1455" i="5"/>
  <c r="AJ1455" i="5"/>
  <c r="AS1454" i="5"/>
  <c r="AR1454" i="5"/>
  <c r="AQ1454" i="5"/>
  <c r="AP1454" i="5"/>
  <c r="AO1454" i="5"/>
  <c r="AN1454" i="5"/>
  <c r="AM1454" i="5"/>
  <c r="AL1454" i="5"/>
  <c r="AK1454" i="5"/>
  <c r="AJ1454" i="5"/>
  <c r="AS1453" i="5"/>
  <c r="AR1453" i="5"/>
  <c r="AQ1453" i="5"/>
  <c r="AP1453" i="5"/>
  <c r="AO1453" i="5"/>
  <c r="AN1453" i="5"/>
  <c r="AM1453" i="5"/>
  <c r="AL1453" i="5"/>
  <c r="AK1453" i="5"/>
  <c r="AJ1453" i="5"/>
  <c r="AS1452" i="5"/>
  <c r="AR1452" i="5"/>
  <c r="AQ1452" i="5"/>
  <c r="AP1452" i="5"/>
  <c r="AO1452" i="5"/>
  <c r="AN1452" i="5"/>
  <c r="AM1452" i="5"/>
  <c r="AL1452" i="5"/>
  <c r="AK1452" i="5"/>
  <c r="AJ1452" i="5"/>
  <c r="AS1451" i="5"/>
  <c r="AR1451" i="5"/>
  <c r="AQ1451" i="5"/>
  <c r="AP1451" i="5"/>
  <c r="AO1451" i="5"/>
  <c r="AN1451" i="5"/>
  <c r="AM1451" i="5"/>
  <c r="AL1451" i="5"/>
  <c r="AK1451" i="5"/>
  <c r="AJ1451" i="5"/>
  <c r="AS1450" i="5"/>
  <c r="AR1450" i="5"/>
  <c r="AQ1450" i="5"/>
  <c r="AP1450" i="5"/>
  <c r="AO1450" i="5"/>
  <c r="AN1450" i="5"/>
  <c r="AM1450" i="5"/>
  <c r="AL1450" i="5"/>
  <c r="AK1450" i="5"/>
  <c r="AJ1450" i="5"/>
  <c r="AS1449" i="5"/>
  <c r="AR1449" i="5"/>
  <c r="AQ1449" i="5"/>
  <c r="AP1449" i="5"/>
  <c r="AO1449" i="5"/>
  <c r="AN1449" i="5"/>
  <c r="AM1449" i="5"/>
  <c r="AL1449" i="5"/>
  <c r="AK1449" i="5"/>
  <c r="AJ1449" i="5"/>
  <c r="AS1448" i="5"/>
  <c r="AR1448" i="5"/>
  <c r="AQ1448" i="5"/>
  <c r="AP1448" i="5"/>
  <c r="AO1448" i="5"/>
  <c r="AN1448" i="5"/>
  <c r="AM1448" i="5"/>
  <c r="AL1448" i="5"/>
  <c r="AK1448" i="5"/>
  <c r="AJ1448" i="5"/>
  <c r="AS1447" i="5"/>
  <c r="AR1447" i="5"/>
  <c r="AQ1447" i="5"/>
  <c r="AP1447" i="5"/>
  <c r="AO1447" i="5"/>
  <c r="AN1447" i="5"/>
  <c r="AM1447" i="5"/>
  <c r="AL1447" i="5"/>
  <c r="AK1447" i="5"/>
  <c r="AJ1447" i="5"/>
  <c r="AS1446" i="5"/>
  <c r="AR1446" i="5"/>
  <c r="AQ1446" i="5"/>
  <c r="AP1446" i="5"/>
  <c r="AO1446" i="5"/>
  <c r="AN1446" i="5"/>
  <c r="AM1446" i="5"/>
  <c r="AL1446" i="5"/>
  <c r="AK1446" i="5"/>
  <c r="AJ1446" i="5"/>
  <c r="AS1445" i="5"/>
  <c r="AR1445" i="5"/>
  <c r="AQ1445" i="5"/>
  <c r="AP1445" i="5"/>
  <c r="AO1445" i="5"/>
  <c r="AN1445" i="5"/>
  <c r="AM1445" i="5"/>
  <c r="AL1445" i="5"/>
  <c r="AK1445" i="5"/>
  <c r="AJ1445" i="5"/>
  <c r="AS1444" i="5"/>
  <c r="AR1444" i="5"/>
  <c r="AQ1444" i="5"/>
  <c r="AP1444" i="5"/>
  <c r="AO1444" i="5"/>
  <c r="AN1444" i="5"/>
  <c r="AM1444" i="5"/>
  <c r="AL1444" i="5"/>
  <c r="AK1444" i="5"/>
  <c r="AJ1444" i="5"/>
  <c r="AS1443" i="5"/>
  <c r="AR1443" i="5"/>
  <c r="AQ1443" i="5"/>
  <c r="AP1443" i="5"/>
  <c r="AO1443" i="5"/>
  <c r="AN1443" i="5"/>
  <c r="AM1443" i="5"/>
  <c r="AL1443" i="5"/>
  <c r="AK1443" i="5"/>
  <c r="AJ1443" i="5"/>
  <c r="AS1442" i="5"/>
  <c r="AR1442" i="5"/>
  <c r="AQ1442" i="5"/>
  <c r="AP1442" i="5"/>
  <c r="AO1442" i="5"/>
  <c r="AN1442" i="5"/>
  <c r="AM1442" i="5"/>
  <c r="AL1442" i="5"/>
  <c r="AK1442" i="5"/>
  <c r="AJ1442" i="5"/>
  <c r="AS1441" i="5"/>
  <c r="AR1441" i="5"/>
  <c r="AQ1441" i="5"/>
  <c r="AP1441" i="5"/>
  <c r="AO1441" i="5"/>
  <c r="AN1441" i="5"/>
  <c r="AM1441" i="5"/>
  <c r="AL1441" i="5"/>
  <c r="AK1441" i="5"/>
  <c r="AJ1441" i="5"/>
  <c r="AS1440" i="5"/>
  <c r="AR1440" i="5"/>
  <c r="AQ1440" i="5"/>
  <c r="AP1440" i="5"/>
  <c r="AO1440" i="5"/>
  <c r="AN1440" i="5"/>
  <c r="AM1440" i="5"/>
  <c r="AL1440" i="5"/>
  <c r="AK1440" i="5"/>
  <c r="AJ1440" i="5"/>
  <c r="AS1439" i="5"/>
  <c r="AR1439" i="5"/>
  <c r="AQ1439" i="5"/>
  <c r="AP1439" i="5"/>
  <c r="AO1439" i="5"/>
  <c r="AN1439" i="5"/>
  <c r="AM1439" i="5"/>
  <c r="AL1439" i="5"/>
  <c r="AK1439" i="5"/>
  <c r="AJ1439" i="5"/>
  <c r="AS1438" i="5"/>
  <c r="AR1438" i="5"/>
  <c r="AQ1438" i="5"/>
  <c r="AP1438" i="5"/>
  <c r="AO1438" i="5"/>
  <c r="AN1438" i="5"/>
  <c r="AM1438" i="5"/>
  <c r="AL1438" i="5"/>
  <c r="AK1438" i="5"/>
  <c r="AJ1438" i="5"/>
  <c r="AS1437" i="5"/>
  <c r="AR1437" i="5"/>
  <c r="AQ1437" i="5"/>
  <c r="AP1437" i="5"/>
  <c r="AO1437" i="5"/>
  <c r="AN1437" i="5"/>
  <c r="AM1437" i="5"/>
  <c r="AL1437" i="5"/>
  <c r="AK1437" i="5"/>
  <c r="AJ1437" i="5"/>
  <c r="AS1436" i="5"/>
  <c r="AR1436" i="5"/>
  <c r="AQ1436" i="5"/>
  <c r="AP1436" i="5"/>
  <c r="AO1436" i="5"/>
  <c r="AN1436" i="5"/>
  <c r="AM1436" i="5"/>
  <c r="AL1436" i="5"/>
  <c r="AK1436" i="5"/>
  <c r="AJ1436" i="5"/>
  <c r="AS1435" i="5"/>
  <c r="AR1435" i="5"/>
  <c r="AQ1435" i="5"/>
  <c r="AP1435" i="5"/>
  <c r="AO1435" i="5"/>
  <c r="AN1435" i="5"/>
  <c r="AM1435" i="5"/>
  <c r="AL1435" i="5"/>
  <c r="AK1435" i="5"/>
  <c r="AJ1435" i="5"/>
  <c r="AS1434" i="5"/>
  <c r="AR1434" i="5"/>
  <c r="AQ1434" i="5"/>
  <c r="AP1434" i="5"/>
  <c r="AO1434" i="5"/>
  <c r="AN1434" i="5"/>
  <c r="AM1434" i="5"/>
  <c r="AL1434" i="5"/>
  <c r="AK1434" i="5"/>
  <c r="AJ1434" i="5"/>
  <c r="AS1433" i="5"/>
  <c r="AR1433" i="5"/>
  <c r="AQ1433" i="5"/>
  <c r="AP1433" i="5"/>
  <c r="AO1433" i="5"/>
  <c r="AN1433" i="5"/>
  <c r="AM1433" i="5"/>
  <c r="AL1433" i="5"/>
  <c r="AK1433" i="5"/>
  <c r="AJ1433" i="5"/>
  <c r="AS1432" i="5"/>
  <c r="AR1432" i="5"/>
  <c r="AQ1432" i="5"/>
  <c r="AP1432" i="5"/>
  <c r="AO1432" i="5"/>
  <c r="AN1432" i="5"/>
  <c r="AM1432" i="5"/>
  <c r="AL1432" i="5"/>
  <c r="AK1432" i="5"/>
  <c r="AJ1432" i="5"/>
  <c r="AS1431" i="5"/>
  <c r="AR1431" i="5"/>
  <c r="AQ1431" i="5"/>
  <c r="AP1431" i="5"/>
  <c r="AO1431" i="5"/>
  <c r="AN1431" i="5"/>
  <c r="AM1431" i="5"/>
  <c r="AL1431" i="5"/>
  <c r="AK1431" i="5"/>
  <c r="AJ1431" i="5"/>
  <c r="AS1430" i="5"/>
  <c r="AR1430" i="5"/>
  <c r="AQ1430" i="5"/>
  <c r="AP1430" i="5"/>
  <c r="AO1430" i="5"/>
  <c r="AN1430" i="5"/>
  <c r="AM1430" i="5"/>
  <c r="AL1430" i="5"/>
  <c r="AK1430" i="5"/>
  <c r="AJ1430" i="5"/>
  <c r="AS1429" i="5"/>
  <c r="AR1429" i="5"/>
  <c r="AQ1429" i="5"/>
  <c r="AP1429" i="5"/>
  <c r="AO1429" i="5"/>
  <c r="AN1429" i="5"/>
  <c r="AM1429" i="5"/>
  <c r="AL1429" i="5"/>
  <c r="AK1429" i="5"/>
  <c r="AJ1429" i="5"/>
  <c r="AS1428" i="5"/>
  <c r="AR1428" i="5"/>
  <c r="AQ1428" i="5"/>
  <c r="AP1428" i="5"/>
  <c r="AO1428" i="5"/>
  <c r="AN1428" i="5"/>
  <c r="AM1428" i="5"/>
  <c r="AL1428" i="5"/>
  <c r="AK1428" i="5"/>
  <c r="AJ1428" i="5"/>
  <c r="AS1427" i="5"/>
  <c r="AR1427" i="5"/>
  <c r="AQ1427" i="5"/>
  <c r="AP1427" i="5"/>
  <c r="AO1427" i="5"/>
  <c r="AN1427" i="5"/>
  <c r="AM1427" i="5"/>
  <c r="AL1427" i="5"/>
  <c r="AK1427" i="5"/>
  <c r="AJ1427" i="5"/>
  <c r="AS1426" i="5"/>
  <c r="AR1426" i="5"/>
  <c r="AQ1426" i="5"/>
  <c r="AP1426" i="5"/>
  <c r="AO1426" i="5"/>
  <c r="AN1426" i="5"/>
  <c r="AM1426" i="5"/>
  <c r="AL1426" i="5"/>
  <c r="AK1426" i="5"/>
  <c r="AJ1426" i="5"/>
  <c r="AS1425" i="5"/>
  <c r="AR1425" i="5"/>
  <c r="AQ1425" i="5"/>
  <c r="AP1425" i="5"/>
  <c r="AO1425" i="5"/>
  <c r="AN1425" i="5"/>
  <c r="AM1425" i="5"/>
  <c r="AL1425" i="5"/>
  <c r="AK1425" i="5"/>
  <c r="AJ1425" i="5"/>
  <c r="AS1424" i="5"/>
  <c r="AR1424" i="5"/>
  <c r="AQ1424" i="5"/>
  <c r="AP1424" i="5"/>
  <c r="AO1424" i="5"/>
  <c r="AN1424" i="5"/>
  <c r="AM1424" i="5"/>
  <c r="AL1424" i="5"/>
  <c r="AK1424" i="5"/>
  <c r="AJ1424" i="5"/>
  <c r="AS1423" i="5"/>
  <c r="AR1423" i="5"/>
  <c r="AQ1423" i="5"/>
  <c r="AP1423" i="5"/>
  <c r="AO1423" i="5"/>
  <c r="AN1423" i="5"/>
  <c r="AM1423" i="5"/>
  <c r="AL1423" i="5"/>
  <c r="AK1423" i="5"/>
  <c r="AJ1423" i="5"/>
  <c r="AS1422" i="5"/>
  <c r="AR1422" i="5"/>
  <c r="AQ1422" i="5"/>
  <c r="AP1422" i="5"/>
  <c r="AO1422" i="5"/>
  <c r="AN1422" i="5"/>
  <c r="AM1422" i="5"/>
  <c r="AL1422" i="5"/>
  <c r="AK1422" i="5"/>
  <c r="AJ1422" i="5"/>
  <c r="AS1421" i="5"/>
  <c r="AR1421" i="5"/>
  <c r="AQ1421" i="5"/>
  <c r="AP1421" i="5"/>
  <c r="AO1421" i="5"/>
  <c r="AN1421" i="5"/>
  <c r="AM1421" i="5"/>
  <c r="AL1421" i="5"/>
  <c r="AK1421" i="5"/>
  <c r="AJ1421" i="5"/>
  <c r="AS1420" i="5"/>
  <c r="AR1420" i="5"/>
  <c r="AQ1420" i="5"/>
  <c r="AP1420" i="5"/>
  <c r="AO1420" i="5"/>
  <c r="AN1420" i="5"/>
  <c r="AM1420" i="5"/>
  <c r="AL1420" i="5"/>
  <c r="AK1420" i="5"/>
  <c r="AJ1420" i="5"/>
  <c r="AS1419" i="5"/>
  <c r="AR1419" i="5"/>
  <c r="AQ1419" i="5"/>
  <c r="AP1419" i="5"/>
  <c r="AO1419" i="5"/>
  <c r="AN1419" i="5"/>
  <c r="AM1419" i="5"/>
  <c r="AL1419" i="5"/>
  <c r="AK1419" i="5"/>
  <c r="AJ1419" i="5"/>
  <c r="AS1418" i="5"/>
  <c r="AR1418" i="5"/>
  <c r="AQ1418" i="5"/>
  <c r="AP1418" i="5"/>
  <c r="AO1418" i="5"/>
  <c r="AN1418" i="5"/>
  <c r="AM1418" i="5"/>
  <c r="AL1418" i="5"/>
  <c r="AK1418" i="5"/>
  <c r="AJ1418" i="5"/>
  <c r="AS1417" i="5"/>
  <c r="AR1417" i="5"/>
  <c r="AQ1417" i="5"/>
  <c r="AP1417" i="5"/>
  <c r="AO1417" i="5"/>
  <c r="AN1417" i="5"/>
  <c r="AM1417" i="5"/>
  <c r="AL1417" i="5"/>
  <c r="AK1417" i="5"/>
  <c r="AJ1417" i="5"/>
  <c r="AS1416" i="5"/>
  <c r="AR1416" i="5"/>
  <c r="AQ1416" i="5"/>
  <c r="AP1416" i="5"/>
  <c r="AO1416" i="5"/>
  <c r="AN1416" i="5"/>
  <c r="AM1416" i="5"/>
  <c r="AL1416" i="5"/>
  <c r="AK1416" i="5"/>
  <c r="AJ1416" i="5"/>
  <c r="AS1415" i="5"/>
  <c r="AR1415" i="5"/>
  <c r="AQ1415" i="5"/>
  <c r="AP1415" i="5"/>
  <c r="AO1415" i="5"/>
  <c r="AN1415" i="5"/>
  <c r="AM1415" i="5"/>
  <c r="AL1415" i="5"/>
  <c r="AK1415" i="5"/>
  <c r="AJ1415" i="5"/>
  <c r="AS1414" i="5"/>
  <c r="AR1414" i="5"/>
  <c r="AQ1414" i="5"/>
  <c r="AP1414" i="5"/>
  <c r="AO1414" i="5"/>
  <c r="AN1414" i="5"/>
  <c r="AM1414" i="5"/>
  <c r="AL1414" i="5"/>
  <c r="AK1414" i="5"/>
  <c r="AJ1414" i="5"/>
  <c r="AS1413" i="5"/>
  <c r="AR1413" i="5"/>
  <c r="AQ1413" i="5"/>
  <c r="AP1413" i="5"/>
  <c r="AO1413" i="5"/>
  <c r="AN1413" i="5"/>
  <c r="AM1413" i="5"/>
  <c r="AL1413" i="5"/>
  <c r="AK1413" i="5"/>
  <c r="AJ1413" i="5"/>
  <c r="AS1412" i="5"/>
  <c r="AR1412" i="5"/>
  <c r="AQ1412" i="5"/>
  <c r="AP1412" i="5"/>
  <c r="AO1412" i="5"/>
  <c r="AN1412" i="5"/>
  <c r="AM1412" i="5"/>
  <c r="AL1412" i="5"/>
  <c r="AK1412" i="5"/>
  <c r="AJ1412" i="5"/>
  <c r="AS1411" i="5"/>
  <c r="AR1411" i="5"/>
  <c r="AQ1411" i="5"/>
  <c r="AP1411" i="5"/>
  <c r="AO1411" i="5"/>
  <c r="AN1411" i="5"/>
  <c r="AM1411" i="5"/>
  <c r="AL1411" i="5"/>
  <c r="AK1411" i="5"/>
  <c r="AJ1411" i="5"/>
  <c r="AS1410" i="5"/>
  <c r="AR1410" i="5"/>
  <c r="AQ1410" i="5"/>
  <c r="AP1410" i="5"/>
  <c r="AO1410" i="5"/>
  <c r="AN1410" i="5"/>
  <c r="AM1410" i="5"/>
  <c r="AL1410" i="5"/>
  <c r="AK1410" i="5"/>
  <c r="AJ1410" i="5"/>
  <c r="AS1409" i="5"/>
  <c r="AR1409" i="5"/>
  <c r="AQ1409" i="5"/>
  <c r="AP1409" i="5"/>
  <c r="AO1409" i="5"/>
  <c r="AN1409" i="5"/>
  <c r="AM1409" i="5"/>
  <c r="AL1409" i="5"/>
  <c r="AK1409" i="5"/>
  <c r="AJ1409" i="5"/>
  <c r="AS1408" i="5"/>
  <c r="AR1408" i="5"/>
  <c r="AQ1408" i="5"/>
  <c r="AP1408" i="5"/>
  <c r="AO1408" i="5"/>
  <c r="AN1408" i="5"/>
  <c r="AM1408" i="5"/>
  <c r="AL1408" i="5"/>
  <c r="AK1408" i="5"/>
  <c r="AJ1408" i="5"/>
  <c r="AS1407" i="5"/>
  <c r="AR1407" i="5"/>
  <c r="AQ1407" i="5"/>
  <c r="AP1407" i="5"/>
  <c r="AO1407" i="5"/>
  <c r="AN1407" i="5"/>
  <c r="AM1407" i="5"/>
  <c r="AL1407" i="5"/>
  <c r="AK1407" i="5"/>
  <c r="AJ1407" i="5"/>
  <c r="AS1406" i="5"/>
  <c r="AR1406" i="5"/>
  <c r="AQ1406" i="5"/>
  <c r="AP1406" i="5"/>
  <c r="AO1406" i="5"/>
  <c r="AN1406" i="5"/>
  <c r="AM1406" i="5"/>
  <c r="AL1406" i="5"/>
  <c r="AK1406" i="5"/>
  <c r="AJ1406" i="5"/>
  <c r="AS1405" i="5"/>
  <c r="AR1405" i="5"/>
  <c r="AQ1405" i="5"/>
  <c r="AP1405" i="5"/>
  <c r="AO1405" i="5"/>
  <c r="AN1405" i="5"/>
  <c r="AM1405" i="5"/>
  <c r="AL1405" i="5"/>
  <c r="AK1405" i="5"/>
  <c r="AJ1405" i="5"/>
  <c r="AS1404" i="5"/>
  <c r="AR1404" i="5"/>
  <c r="AQ1404" i="5"/>
  <c r="AP1404" i="5"/>
  <c r="AO1404" i="5"/>
  <c r="AN1404" i="5"/>
  <c r="AM1404" i="5"/>
  <c r="AL1404" i="5"/>
  <c r="AK1404" i="5"/>
  <c r="AJ1404" i="5"/>
  <c r="AS1403" i="5"/>
  <c r="AR1403" i="5"/>
  <c r="AQ1403" i="5"/>
  <c r="AP1403" i="5"/>
  <c r="AO1403" i="5"/>
  <c r="AN1403" i="5"/>
  <c r="AM1403" i="5"/>
  <c r="AL1403" i="5"/>
  <c r="AK1403" i="5"/>
  <c r="AJ1403" i="5"/>
  <c r="AS1402" i="5"/>
  <c r="AR1402" i="5"/>
  <c r="AQ1402" i="5"/>
  <c r="AP1402" i="5"/>
  <c r="AO1402" i="5"/>
  <c r="AN1402" i="5"/>
  <c r="AM1402" i="5"/>
  <c r="AL1402" i="5"/>
  <c r="AK1402" i="5"/>
  <c r="AJ1402" i="5"/>
  <c r="AS1401" i="5"/>
  <c r="AR1401" i="5"/>
  <c r="AQ1401" i="5"/>
  <c r="AP1401" i="5"/>
  <c r="AO1401" i="5"/>
  <c r="AN1401" i="5"/>
  <c r="AM1401" i="5"/>
  <c r="AL1401" i="5"/>
  <c r="AK1401" i="5"/>
  <c r="AJ1401" i="5"/>
  <c r="AS1400" i="5"/>
  <c r="AR1400" i="5"/>
  <c r="AQ1400" i="5"/>
  <c r="AP1400" i="5"/>
  <c r="AO1400" i="5"/>
  <c r="AN1400" i="5"/>
  <c r="AM1400" i="5"/>
  <c r="AL1400" i="5"/>
  <c r="AK1400" i="5"/>
  <c r="AJ1400" i="5"/>
  <c r="AS1399" i="5"/>
  <c r="AR1399" i="5"/>
  <c r="AQ1399" i="5"/>
  <c r="AP1399" i="5"/>
  <c r="AO1399" i="5"/>
  <c r="AN1399" i="5"/>
  <c r="AM1399" i="5"/>
  <c r="AL1399" i="5"/>
  <c r="AK1399" i="5"/>
  <c r="AJ1399" i="5"/>
  <c r="AS1398" i="5"/>
  <c r="AR1398" i="5"/>
  <c r="AQ1398" i="5"/>
  <c r="AP1398" i="5"/>
  <c r="AO1398" i="5"/>
  <c r="AN1398" i="5"/>
  <c r="AM1398" i="5"/>
  <c r="AL1398" i="5"/>
  <c r="AK1398" i="5"/>
  <c r="AJ1398" i="5"/>
  <c r="AS1397" i="5"/>
  <c r="AR1397" i="5"/>
  <c r="AQ1397" i="5"/>
  <c r="AP1397" i="5"/>
  <c r="AO1397" i="5"/>
  <c r="AN1397" i="5"/>
  <c r="AM1397" i="5"/>
  <c r="AL1397" i="5"/>
  <c r="AK1397" i="5"/>
  <c r="AJ1397" i="5"/>
  <c r="AS1396" i="5"/>
  <c r="AR1396" i="5"/>
  <c r="AQ1396" i="5"/>
  <c r="AP1396" i="5"/>
  <c r="AO1396" i="5"/>
  <c r="AN1396" i="5"/>
  <c r="AM1396" i="5"/>
  <c r="AL1396" i="5"/>
  <c r="AK1396" i="5"/>
  <c r="AJ1396" i="5"/>
  <c r="AS1395" i="5"/>
  <c r="AR1395" i="5"/>
  <c r="AQ1395" i="5"/>
  <c r="AP1395" i="5"/>
  <c r="AO1395" i="5"/>
  <c r="AN1395" i="5"/>
  <c r="AM1395" i="5"/>
  <c r="AL1395" i="5"/>
  <c r="AK1395" i="5"/>
  <c r="AJ1395" i="5"/>
  <c r="AS1394" i="5"/>
  <c r="AR1394" i="5"/>
  <c r="AQ1394" i="5"/>
  <c r="AP1394" i="5"/>
  <c r="AO1394" i="5"/>
  <c r="AN1394" i="5"/>
  <c r="AM1394" i="5"/>
  <c r="AL1394" i="5"/>
  <c r="AK1394" i="5"/>
  <c r="AJ1394" i="5"/>
  <c r="AS1393" i="5"/>
  <c r="AR1393" i="5"/>
  <c r="AQ1393" i="5"/>
  <c r="AP1393" i="5"/>
  <c r="AO1393" i="5"/>
  <c r="AN1393" i="5"/>
  <c r="AM1393" i="5"/>
  <c r="AL1393" i="5"/>
  <c r="AK1393" i="5"/>
  <c r="AJ1393" i="5"/>
  <c r="AS1392" i="5"/>
  <c r="AR1392" i="5"/>
  <c r="AQ1392" i="5"/>
  <c r="AP1392" i="5"/>
  <c r="AO1392" i="5"/>
  <c r="AN1392" i="5"/>
  <c r="AM1392" i="5"/>
  <c r="AL1392" i="5"/>
  <c r="AK1392" i="5"/>
  <c r="AJ1392" i="5"/>
  <c r="AS1391" i="5"/>
  <c r="AR1391" i="5"/>
  <c r="AQ1391" i="5"/>
  <c r="AP1391" i="5"/>
  <c r="AO1391" i="5"/>
  <c r="AN1391" i="5"/>
  <c r="AM1391" i="5"/>
  <c r="AL1391" i="5"/>
  <c r="AK1391" i="5"/>
  <c r="AJ1391" i="5"/>
  <c r="AS1390" i="5"/>
  <c r="AR1390" i="5"/>
  <c r="AQ1390" i="5"/>
  <c r="AP1390" i="5"/>
  <c r="AO1390" i="5"/>
  <c r="AN1390" i="5"/>
  <c r="AM1390" i="5"/>
  <c r="AL1390" i="5"/>
  <c r="AK1390" i="5"/>
  <c r="AJ1390" i="5"/>
  <c r="AS1389" i="5"/>
  <c r="AR1389" i="5"/>
  <c r="AQ1389" i="5"/>
  <c r="AP1389" i="5"/>
  <c r="AO1389" i="5"/>
  <c r="AN1389" i="5"/>
  <c r="AM1389" i="5"/>
  <c r="AL1389" i="5"/>
  <c r="AK1389" i="5"/>
  <c r="AJ1389" i="5"/>
  <c r="AS1388" i="5"/>
  <c r="AR1388" i="5"/>
  <c r="AQ1388" i="5"/>
  <c r="AP1388" i="5"/>
  <c r="AO1388" i="5"/>
  <c r="AN1388" i="5"/>
  <c r="AM1388" i="5"/>
  <c r="AL1388" i="5"/>
  <c r="AK1388" i="5"/>
  <c r="AJ1388" i="5"/>
  <c r="AS1387" i="5"/>
  <c r="AR1387" i="5"/>
  <c r="AQ1387" i="5"/>
  <c r="AP1387" i="5"/>
  <c r="AO1387" i="5"/>
  <c r="AN1387" i="5"/>
  <c r="AM1387" i="5"/>
  <c r="AL1387" i="5"/>
  <c r="AK1387" i="5"/>
  <c r="AJ1387" i="5"/>
  <c r="AS1386" i="5"/>
  <c r="AR1386" i="5"/>
  <c r="AQ1386" i="5"/>
  <c r="AP1386" i="5"/>
  <c r="AO1386" i="5"/>
  <c r="AN1386" i="5"/>
  <c r="AM1386" i="5"/>
  <c r="AL1386" i="5"/>
  <c r="AK1386" i="5"/>
  <c r="AJ1386" i="5"/>
  <c r="AS1385" i="5"/>
  <c r="AR1385" i="5"/>
  <c r="AQ1385" i="5"/>
  <c r="AP1385" i="5"/>
  <c r="AO1385" i="5"/>
  <c r="AN1385" i="5"/>
  <c r="AM1385" i="5"/>
  <c r="AL1385" i="5"/>
  <c r="AK1385" i="5"/>
  <c r="AJ1385" i="5"/>
  <c r="AS1384" i="5"/>
  <c r="AR1384" i="5"/>
  <c r="AQ1384" i="5"/>
  <c r="AP1384" i="5"/>
  <c r="AO1384" i="5"/>
  <c r="AN1384" i="5"/>
  <c r="AM1384" i="5"/>
  <c r="AL1384" i="5"/>
  <c r="AK1384" i="5"/>
  <c r="AJ1384" i="5"/>
  <c r="AS1383" i="5"/>
  <c r="AR1383" i="5"/>
  <c r="AQ1383" i="5"/>
  <c r="AP1383" i="5"/>
  <c r="AO1383" i="5"/>
  <c r="AN1383" i="5"/>
  <c r="AM1383" i="5"/>
  <c r="AL1383" i="5"/>
  <c r="AK1383" i="5"/>
  <c r="AJ1383" i="5"/>
  <c r="AS1382" i="5"/>
  <c r="AR1382" i="5"/>
  <c r="AQ1382" i="5"/>
  <c r="AP1382" i="5"/>
  <c r="AO1382" i="5"/>
  <c r="AN1382" i="5"/>
  <c r="AM1382" i="5"/>
  <c r="AL1382" i="5"/>
  <c r="AK1382" i="5"/>
  <c r="AJ1382" i="5"/>
  <c r="AS1381" i="5"/>
  <c r="AR1381" i="5"/>
  <c r="AQ1381" i="5"/>
  <c r="AP1381" i="5"/>
  <c r="AO1381" i="5"/>
  <c r="AN1381" i="5"/>
  <c r="AM1381" i="5"/>
  <c r="AL1381" i="5"/>
  <c r="AK1381" i="5"/>
  <c r="AJ1381" i="5"/>
  <c r="AS1380" i="5"/>
  <c r="AR1380" i="5"/>
  <c r="AQ1380" i="5"/>
  <c r="AP1380" i="5"/>
  <c r="AO1380" i="5"/>
  <c r="AN1380" i="5"/>
  <c r="AM1380" i="5"/>
  <c r="AL1380" i="5"/>
  <c r="AK1380" i="5"/>
  <c r="AJ1380" i="5"/>
  <c r="AS1379" i="5"/>
  <c r="AR1379" i="5"/>
  <c r="AQ1379" i="5"/>
  <c r="AP1379" i="5"/>
  <c r="AO1379" i="5"/>
  <c r="AN1379" i="5"/>
  <c r="AM1379" i="5"/>
  <c r="AL1379" i="5"/>
  <c r="AK1379" i="5"/>
  <c r="AJ1379" i="5"/>
  <c r="AS1378" i="5"/>
  <c r="AR1378" i="5"/>
  <c r="AQ1378" i="5"/>
  <c r="AP1378" i="5"/>
  <c r="AO1378" i="5"/>
  <c r="AN1378" i="5"/>
  <c r="AM1378" i="5"/>
  <c r="AL1378" i="5"/>
  <c r="AK1378" i="5"/>
  <c r="AJ1378" i="5"/>
  <c r="AS1377" i="5"/>
  <c r="AR1377" i="5"/>
  <c r="AQ1377" i="5"/>
  <c r="AP1377" i="5"/>
  <c r="AO1377" i="5"/>
  <c r="AN1377" i="5"/>
  <c r="AM1377" i="5"/>
  <c r="AL1377" i="5"/>
  <c r="AK1377" i="5"/>
  <c r="AJ1377" i="5"/>
  <c r="AS1376" i="5"/>
  <c r="AR1376" i="5"/>
  <c r="AQ1376" i="5"/>
  <c r="AP1376" i="5"/>
  <c r="AO1376" i="5"/>
  <c r="AN1376" i="5"/>
  <c r="AM1376" i="5"/>
  <c r="AL1376" i="5"/>
  <c r="AK1376" i="5"/>
  <c r="AJ1376" i="5"/>
  <c r="AS1375" i="5"/>
  <c r="AR1375" i="5"/>
  <c r="AQ1375" i="5"/>
  <c r="AP1375" i="5"/>
  <c r="AO1375" i="5"/>
  <c r="AN1375" i="5"/>
  <c r="AM1375" i="5"/>
  <c r="AL1375" i="5"/>
  <c r="AK1375" i="5"/>
  <c r="AJ1375" i="5"/>
  <c r="AS1374" i="5"/>
  <c r="AR1374" i="5"/>
  <c r="AQ1374" i="5"/>
  <c r="AP1374" i="5"/>
  <c r="AO1374" i="5"/>
  <c r="AN1374" i="5"/>
  <c r="AM1374" i="5"/>
  <c r="AL1374" i="5"/>
  <c r="AK1374" i="5"/>
  <c r="AJ1374" i="5"/>
  <c r="AS1373" i="5"/>
  <c r="AR1373" i="5"/>
  <c r="AQ1373" i="5"/>
  <c r="AP1373" i="5"/>
  <c r="AO1373" i="5"/>
  <c r="AN1373" i="5"/>
  <c r="AM1373" i="5"/>
  <c r="AL1373" i="5"/>
  <c r="AK1373" i="5"/>
  <c r="AJ1373" i="5"/>
  <c r="AS1372" i="5"/>
  <c r="AR1372" i="5"/>
  <c r="AQ1372" i="5"/>
  <c r="AP1372" i="5"/>
  <c r="AO1372" i="5"/>
  <c r="AN1372" i="5"/>
  <c r="AM1372" i="5"/>
  <c r="AL1372" i="5"/>
  <c r="AK1372" i="5"/>
  <c r="AJ1372" i="5"/>
  <c r="AS1371" i="5"/>
  <c r="AR1371" i="5"/>
  <c r="AQ1371" i="5"/>
  <c r="AP1371" i="5"/>
  <c r="AO1371" i="5"/>
  <c r="AN1371" i="5"/>
  <c r="AM1371" i="5"/>
  <c r="AL1371" i="5"/>
  <c r="AK1371" i="5"/>
  <c r="AJ1371" i="5"/>
  <c r="AS1370" i="5"/>
  <c r="AR1370" i="5"/>
  <c r="AQ1370" i="5"/>
  <c r="AP1370" i="5"/>
  <c r="AO1370" i="5"/>
  <c r="AN1370" i="5"/>
  <c r="AM1370" i="5"/>
  <c r="AL1370" i="5"/>
  <c r="AK1370" i="5"/>
  <c r="AJ1370" i="5"/>
  <c r="AS1369" i="5"/>
  <c r="AR1369" i="5"/>
  <c r="AQ1369" i="5"/>
  <c r="AP1369" i="5"/>
  <c r="AO1369" i="5"/>
  <c r="AN1369" i="5"/>
  <c r="AM1369" i="5"/>
  <c r="AL1369" i="5"/>
  <c r="AK1369" i="5"/>
  <c r="AJ1369" i="5"/>
  <c r="AS1368" i="5"/>
  <c r="AR1368" i="5"/>
  <c r="AQ1368" i="5"/>
  <c r="AP1368" i="5"/>
  <c r="AO1368" i="5"/>
  <c r="AN1368" i="5"/>
  <c r="AM1368" i="5"/>
  <c r="AL1368" i="5"/>
  <c r="AK1368" i="5"/>
  <c r="AJ1368" i="5"/>
  <c r="AS1367" i="5"/>
  <c r="AR1367" i="5"/>
  <c r="AQ1367" i="5"/>
  <c r="AP1367" i="5"/>
  <c r="AO1367" i="5"/>
  <c r="AN1367" i="5"/>
  <c r="AM1367" i="5"/>
  <c r="AL1367" i="5"/>
  <c r="AK1367" i="5"/>
  <c r="AJ1367" i="5"/>
  <c r="AS1366" i="5"/>
  <c r="AR1366" i="5"/>
  <c r="AQ1366" i="5"/>
  <c r="AP1366" i="5"/>
  <c r="AO1366" i="5"/>
  <c r="AN1366" i="5"/>
  <c r="AM1366" i="5"/>
  <c r="AL1366" i="5"/>
  <c r="AK1366" i="5"/>
  <c r="AJ1366" i="5"/>
  <c r="AS1365" i="5"/>
  <c r="AR1365" i="5"/>
  <c r="AQ1365" i="5"/>
  <c r="AP1365" i="5"/>
  <c r="AO1365" i="5"/>
  <c r="AN1365" i="5"/>
  <c r="AM1365" i="5"/>
  <c r="AL1365" i="5"/>
  <c r="AK1365" i="5"/>
  <c r="AJ1365" i="5"/>
  <c r="AS1364" i="5"/>
  <c r="AR1364" i="5"/>
  <c r="AQ1364" i="5"/>
  <c r="AP1364" i="5"/>
  <c r="AO1364" i="5"/>
  <c r="AN1364" i="5"/>
  <c r="AM1364" i="5"/>
  <c r="AL1364" i="5"/>
  <c r="AK1364" i="5"/>
  <c r="AJ1364" i="5"/>
  <c r="AS1363" i="5"/>
  <c r="AR1363" i="5"/>
  <c r="AQ1363" i="5"/>
  <c r="AP1363" i="5"/>
  <c r="AO1363" i="5"/>
  <c r="AN1363" i="5"/>
  <c r="AM1363" i="5"/>
  <c r="AL1363" i="5"/>
  <c r="AK1363" i="5"/>
  <c r="AJ1363" i="5"/>
  <c r="AS1362" i="5"/>
  <c r="AR1362" i="5"/>
  <c r="AQ1362" i="5"/>
  <c r="AP1362" i="5"/>
  <c r="AO1362" i="5"/>
  <c r="AN1362" i="5"/>
  <c r="AM1362" i="5"/>
  <c r="AL1362" i="5"/>
  <c r="AK1362" i="5"/>
  <c r="AJ1362" i="5"/>
  <c r="AS1361" i="5"/>
  <c r="AR1361" i="5"/>
  <c r="AQ1361" i="5"/>
  <c r="AP1361" i="5"/>
  <c r="AO1361" i="5"/>
  <c r="AN1361" i="5"/>
  <c r="AM1361" i="5"/>
  <c r="AL1361" i="5"/>
  <c r="AK1361" i="5"/>
  <c r="AJ1361" i="5"/>
  <c r="AS1360" i="5"/>
  <c r="AR1360" i="5"/>
  <c r="AQ1360" i="5"/>
  <c r="AP1360" i="5"/>
  <c r="AO1360" i="5"/>
  <c r="AN1360" i="5"/>
  <c r="AM1360" i="5"/>
  <c r="AL1360" i="5"/>
  <c r="AK1360" i="5"/>
  <c r="AJ1360" i="5"/>
  <c r="AS1359" i="5"/>
  <c r="AR1359" i="5"/>
  <c r="AQ1359" i="5"/>
  <c r="AP1359" i="5"/>
  <c r="AO1359" i="5"/>
  <c r="AN1359" i="5"/>
  <c r="AM1359" i="5"/>
  <c r="AL1359" i="5"/>
  <c r="AK1359" i="5"/>
  <c r="AJ1359" i="5"/>
  <c r="AS1358" i="5"/>
  <c r="AR1358" i="5"/>
  <c r="AQ1358" i="5"/>
  <c r="AP1358" i="5"/>
  <c r="AO1358" i="5"/>
  <c r="AN1358" i="5"/>
  <c r="AM1358" i="5"/>
  <c r="AL1358" i="5"/>
  <c r="AK1358" i="5"/>
  <c r="AJ1358" i="5"/>
  <c r="AS1357" i="5"/>
  <c r="AR1357" i="5"/>
  <c r="AQ1357" i="5"/>
  <c r="AP1357" i="5"/>
  <c r="AO1357" i="5"/>
  <c r="AN1357" i="5"/>
  <c r="AM1357" i="5"/>
  <c r="AL1357" i="5"/>
  <c r="AK1357" i="5"/>
  <c r="AJ1357" i="5"/>
  <c r="AS1356" i="5"/>
  <c r="AR1356" i="5"/>
  <c r="AQ1356" i="5"/>
  <c r="AP1356" i="5"/>
  <c r="AO1356" i="5"/>
  <c r="AN1356" i="5"/>
  <c r="AM1356" i="5"/>
  <c r="AL1356" i="5"/>
  <c r="AK1356" i="5"/>
  <c r="AJ1356" i="5"/>
  <c r="AS1355" i="5"/>
  <c r="AR1355" i="5"/>
  <c r="AQ1355" i="5"/>
  <c r="AP1355" i="5"/>
  <c r="AO1355" i="5"/>
  <c r="AN1355" i="5"/>
  <c r="AM1355" i="5"/>
  <c r="AL1355" i="5"/>
  <c r="AK1355" i="5"/>
  <c r="AJ1355" i="5"/>
  <c r="AS1354" i="5"/>
  <c r="AR1354" i="5"/>
  <c r="AQ1354" i="5"/>
  <c r="AP1354" i="5"/>
  <c r="AO1354" i="5"/>
  <c r="AN1354" i="5"/>
  <c r="AM1354" i="5"/>
  <c r="AL1354" i="5"/>
  <c r="AK1354" i="5"/>
  <c r="AJ1354" i="5"/>
  <c r="AS1353" i="5"/>
  <c r="AR1353" i="5"/>
  <c r="AQ1353" i="5"/>
  <c r="AP1353" i="5"/>
  <c r="AO1353" i="5"/>
  <c r="AN1353" i="5"/>
  <c r="AM1353" i="5"/>
  <c r="AL1353" i="5"/>
  <c r="AK1353" i="5"/>
  <c r="AJ1353" i="5"/>
  <c r="AS1352" i="5"/>
  <c r="AR1352" i="5"/>
  <c r="AQ1352" i="5"/>
  <c r="AP1352" i="5"/>
  <c r="AO1352" i="5"/>
  <c r="AN1352" i="5"/>
  <c r="AM1352" i="5"/>
  <c r="AL1352" i="5"/>
  <c r="AK1352" i="5"/>
  <c r="AJ1352" i="5"/>
  <c r="AS1351" i="5"/>
  <c r="AR1351" i="5"/>
  <c r="AQ1351" i="5"/>
  <c r="AP1351" i="5"/>
  <c r="AO1351" i="5"/>
  <c r="AN1351" i="5"/>
  <c r="AM1351" i="5"/>
  <c r="AL1351" i="5"/>
  <c r="AK1351" i="5"/>
  <c r="AJ1351" i="5"/>
  <c r="AS1350" i="5"/>
  <c r="AR1350" i="5"/>
  <c r="AQ1350" i="5"/>
  <c r="AP1350" i="5"/>
  <c r="AO1350" i="5"/>
  <c r="AN1350" i="5"/>
  <c r="AM1350" i="5"/>
  <c r="AL1350" i="5"/>
  <c r="AK1350" i="5"/>
  <c r="AJ1350" i="5"/>
  <c r="AS1349" i="5"/>
  <c r="AR1349" i="5"/>
  <c r="AQ1349" i="5"/>
  <c r="AP1349" i="5"/>
  <c r="AO1349" i="5"/>
  <c r="AN1349" i="5"/>
  <c r="AM1349" i="5"/>
  <c r="AL1349" i="5"/>
  <c r="AK1349" i="5"/>
  <c r="AJ1349" i="5"/>
  <c r="AS1348" i="5"/>
  <c r="AR1348" i="5"/>
  <c r="AQ1348" i="5"/>
  <c r="AP1348" i="5"/>
  <c r="AO1348" i="5"/>
  <c r="AN1348" i="5"/>
  <c r="AM1348" i="5"/>
  <c r="AL1348" i="5"/>
  <c r="AK1348" i="5"/>
  <c r="AJ1348" i="5"/>
  <c r="AS1347" i="5"/>
  <c r="AR1347" i="5"/>
  <c r="AQ1347" i="5"/>
  <c r="AP1347" i="5"/>
  <c r="AO1347" i="5"/>
  <c r="AN1347" i="5"/>
  <c r="AM1347" i="5"/>
  <c r="AL1347" i="5"/>
  <c r="AK1347" i="5"/>
  <c r="AJ1347" i="5"/>
  <c r="AS1346" i="5"/>
  <c r="AR1346" i="5"/>
  <c r="AQ1346" i="5"/>
  <c r="AP1346" i="5"/>
  <c r="AO1346" i="5"/>
  <c r="AN1346" i="5"/>
  <c r="AM1346" i="5"/>
  <c r="AL1346" i="5"/>
  <c r="AK1346" i="5"/>
  <c r="AJ1346" i="5"/>
  <c r="AS1345" i="5"/>
  <c r="AR1345" i="5"/>
  <c r="AQ1345" i="5"/>
  <c r="AP1345" i="5"/>
  <c r="AO1345" i="5"/>
  <c r="AN1345" i="5"/>
  <c r="AM1345" i="5"/>
  <c r="AL1345" i="5"/>
  <c r="AK1345" i="5"/>
  <c r="AJ1345" i="5"/>
  <c r="AS1344" i="5"/>
  <c r="AR1344" i="5"/>
  <c r="AQ1344" i="5"/>
  <c r="AP1344" i="5"/>
  <c r="AO1344" i="5"/>
  <c r="AN1344" i="5"/>
  <c r="AM1344" i="5"/>
  <c r="AL1344" i="5"/>
  <c r="AK1344" i="5"/>
  <c r="AJ1344" i="5"/>
  <c r="AS1343" i="5"/>
  <c r="AR1343" i="5"/>
  <c r="AQ1343" i="5"/>
  <c r="AP1343" i="5"/>
  <c r="AO1343" i="5"/>
  <c r="AN1343" i="5"/>
  <c r="AM1343" i="5"/>
  <c r="AL1343" i="5"/>
  <c r="AK1343" i="5"/>
  <c r="AJ1343" i="5"/>
  <c r="AS1342" i="5"/>
  <c r="AR1342" i="5"/>
  <c r="AQ1342" i="5"/>
  <c r="AP1342" i="5"/>
  <c r="AO1342" i="5"/>
  <c r="AN1342" i="5"/>
  <c r="AM1342" i="5"/>
  <c r="AL1342" i="5"/>
  <c r="AK1342" i="5"/>
  <c r="AJ1342" i="5"/>
  <c r="AS1341" i="5"/>
  <c r="AR1341" i="5"/>
  <c r="AQ1341" i="5"/>
  <c r="AP1341" i="5"/>
  <c r="AO1341" i="5"/>
  <c r="AN1341" i="5"/>
  <c r="AM1341" i="5"/>
  <c r="AL1341" i="5"/>
  <c r="AK1341" i="5"/>
  <c r="AJ1341" i="5"/>
  <c r="AS1340" i="5"/>
  <c r="AR1340" i="5"/>
  <c r="AQ1340" i="5"/>
  <c r="AP1340" i="5"/>
  <c r="AO1340" i="5"/>
  <c r="AN1340" i="5"/>
  <c r="AM1340" i="5"/>
  <c r="AL1340" i="5"/>
  <c r="AK1340" i="5"/>
  <c r="AJ1340" i="5"/>
  <c r="AS1339" i="5"/>
  <c r="AR1339" i="5"/>
  <c r="AQ1339" i="5"/>
  <c r="AP1339" i="5"/>
  <c r="AO1339" i="5"/>
  <c r="AN1339" i="5"/>
  <c r="AM1339" i="5"/>
  <c r="AL1339" i="5"/>
  <c r="AK1339" i="5"/>
  <c r="AJ1339" i="5"/>
  <c r="AS1338" i="5"/>
  <c r="AR1338" i="5"/>
  <c r="AQ1338" i="5"/>
  <c r="AP1338" i="5"/>
  <c r="AO1338" i="5"/>
  <c r="AN1338" i="5"/>
  <c r="AM1338" i="5"/>
  <c r="AL1338" i="5"/>
  <c r="AK1338" i="5"/>
  <c r="AJ1338" i="5"/>
  <c r="AS1337" i="5"/>
  <c r="AR1337" i="5"/>
  <c r="AQ1337" i="5"/>
  <c r="AP1337" i="5"/>
  <c r="AO1337" i="5"/>
  <c r="AN1337" i="5"/>
  <c r="AM1337" i="5"/>
  <c r="AL1337" i="5"/>
  <c r="AK1337" i="5"/>
  <c r="AJ1337" i="5"/>
  <c r="AS1336" i="5"/>
  <c r="AR1336" i="5"/>
  <c r="AQ1336" i="5"/>
  <c r="AP1336" i="5"/>
  <c r="AO1336" i="5"/>
  <c r="AN1336" i="5"/>
  <c r="AM1336" i="5"/>
  <c r="AL1336" i="5"/>
  <c r="AK1336" i="5"/>
  <c r="AJ1336" i="5"/>
  <c r="AS1335" i="5"/>
  <c r="AR1335" i="5"/>
  <c r="AQ1335" i="5"/>
  <c r="AP1335" i="5"/>
  <c r="AO1335" i="5"/>
  <c r="AN1335" i="5"/>
  <c r="AM1335" i="5"/>
  <c r="AL1335" i="5"/>
  <c r="AK1335" i="5"/>
  <c r="AJ1335" i="5"/>
  <c r="AS1334" i="5"/>
  <c r="AR1334" i="5"/>
  <c r="AQ1334" i="5"/>
  <c r="AP1334" i="5"/>
  <c r="AO1334" i="5"/>
  <c r="AN1334" i="5"/>
  <c r="AM1334" i="5"/>
  <c r="AL1334" i="5"/>
  <c r="AK1334" i="5"/>
  <c r="AJ1334" i="5"/>
  <c r="AS1333" i="5"/>
  <c r="AR1333" i="5"/>
  <c r="AQ1333" i="5"/>
  <c r="AP1333" i="5"/>
  <c r="AO1333" i="5"/>
  <c r="AN1333" i="5"/>
  <c r="AM1333" i="5"/>
  <c r="AL1333" i="5"/>
  <c r="AK1333" i="5"/>
  <c r="AJ1333" i="5"/>
  <c r="AS1332" i="5"/>
  <c r="AR1332" i="5"/>
  <c r="AQ1332" i="5"/>
  <c r="AP1332" i="5"/>
  <c r="AO1332" i="5"/>
  <c r="AN1332" i="5"/>
  <c r="AM1332" i="5"/>
  <c r="AL1332" i="5"/>
  <c r="AK1332" i="5"/>
  <c r="AJ1332" i="5"/>
  <c r="AS1331" i="5"/>
  <c r="AR1331" i="5"/>
  <c r="AQ1331" i="5"/>
  <c r="AP1331" i="5"/>
  <c r="AO1331" i="5"/>
  <c r="AN1331" i="5"/>
  <c r="AM1331" i="5"/>
  <c r="AL1331" i="5"/>
  <c r="AK1331" i="5"/>
  <c r="AJ1331" i="5"/>
  <c r="AS1330" i="5"/>
  <c r="AR1330" i="5"/>
  <c r="AQ1330" i="5"/>
  <c r="AP1330" i="5"/>
  <c r="AO1330" i="5"/>
  <c r="AN1330" i="5"/>
  <c r="AM1330" i="5"/>
  <c r="AL1330" i="5"/>
  <c r="AK1330" i="5"/>
  <c r="AJ1330" i="5"/>
  <c r="AS1329" i="5"/>
  <c r="AR1329" i="5"/>
  <c r="AQ1329" i="5"/>
  <c r="AP1329" i="5"/>
  <c r="AO1329" i="5"/>
  <c r="AN1329" i="5"/>
  <c r="AM1329" i="5"/>
  <c r="AL1329" i="5"/>
  <c r="AK1329" i="5"/>
  <c r="AJ1329" i="5"/>
  <c r="AS1328" i="5"/>
  <c r="AR1328" i="5"/>
  <c r="AQ1328" i="5"/>
  <c r="AP1328" i="5"/>
  <c r="AO1328" i="5"/>
  <c r="AN1328" i="5"/>
  <c r="AM1328" i="5"/>
  <c r="AL1328" i="5"/>
  <c r="AK1328" i="5"/>
  <c r="AJ1328" i="5"/>
  <c r="AS1327" i="5"/>
  <c r="AR1327" i="5"/>
  <c r="AQ1327" i="5"/>
  <c r="AP1327" i="5"/>
  <c r="AO1327" i="5"/>
  <c r="AN1327" i="5"/>
  <c r="AM1327" i="5"/>
  <c r="AL1327" i="5"/>
  <c r="AK1327" i="5"/>
  <c r="AJ1327" i="5"/>
  <c r="AS1326" i="5"/>
  <c r="AR1326" i="5"/>
  <c r="AQ1326" i="5"/>
  <c r="AP1326" i="5"/>
  <c r="AO1326" i="5"/>
  <c r="AN1326" i="5"/>
  <c r="AM1326" i="5"/>
  <c r="AL1326" i="5"/>
  <c r="AK1326" i="5"/>
  <c r="AJ1326" i="5"/>
  <c r="AS1325" i="5"/>
  <c r="AR1325" i="5"/>
  <c r="AQ1325" i="5"/>
  <c r="AP1325" i="5"/>
  <c r="AO1325" i="5"/>
  <c r="AN1325" i="5"/>
  <c r="AM1325" i="5"/>
  <c r="AL1325" i="5"/>
  <c r="AK1325" i="5"/>
  <c r="AJ1325" i="5"/>
  <c r="AS1324" i="5"/>
  <c r="AR1324" i="5"/>
  <c r="AQ1324" i="5"/>
  <c r="AP1324" i="5"/>
  <c r="AO1324" i="5"/>
  <c r="AN1324" i="5"/>
  <c r="AM1324" i="5"/>
  <c r="AL1324" i="5"/>
  <c r="AK1324" i="5"/>
  <c r="AJ1324" i="5"/>
  <c r="AS1323" i="5"/>
  <c r="AR1323" i="5"/>
  <c r="AQ1323" i="5"/>
  <c r="AP1323" i="5"/>
  <c r="AO1323" i="5"/>
  <c r="AN1323" i="5"/>
  <c r="AM1323" i="5"/>
  <c r="AL1323" i="5"/>
  <c r="AK1323" i="5"/>
  <c r="AJ1323" i="5"/>
  <c r="AS1322" i="5"/>
  <c r="AR1322" i="5"/>
  <c r="AQ1322" i="5"/>
  <c r="AP1322" i="5"/>
  <c r="AO1322" i="5"/>
  <c r="AN1322" i="5"/>
  <c r="AM1322" i="5"/>
  <c r="AL1322" i="5"/>
  <c r="AK1322" i="5"/>
  <c r="AJ1322" i="5"/>
  <c r="AS1321" i="5"/>
  <c r="AR1321" i="5"/>
  <c r="AQ1321" i="5"/>
  <c r="AP1321" i="5"/>
  <c r="AO1321" i="5"/>
  <c r="AN1321" i="5"/>
  <c r="AM1321" i="5"/>
  <c r="AL1321" i="5"/>
  <c r="AK1321" i="5"/>
  <c r="AJ1321" i="5"/>
  <c r="AS1320" i="5"/>
  <c r="AR1320" i="5"/>
  <c r="AQ1320" i="5"/>
  <c r="AP1320" i="5"/>
  <c r="AO1320" i="5"/>
  <c r="AN1320" i="5"/>
  <c r="AM1320" i="5"/>
  <c r="AL1320" i="5"/>
  <c r="AK1320" i="5"/>
  <c r="AJ1320" i="5"/>
  <c r="AS1319" i="5"/>
  <c r="AR1319" i="5"/>
  <c r="AQ1319" i="5"/>
  <c r="AP1319" i="5"/>
  <c r="AO1319" i="5"/>
  <c r="AN1319" i="5"/>
  <c r="AM1319" i="5"/>
  <c r="AL1319" i="5"/>
  <c r="AK1319" i="5"/>
  <c r="AJ1319" i="5"/>
  <c r="AS1318" i="5"/>
  <c r="AR1318" i="5"/>
  <c r="AQ1318" i="5"/>
  <c r="AP1318" i="5"/>
  <c r="AO1318" i="5"/>
  <c r="AN1318" i="5"/>
  <c r="AM1318" i="5"/>
  <c r="AL1318" i="5"/>
  <c r="AK1318" i="5"/>
  <c r="AJ1318" i="5"/>
  <c r="AS1317" i="5"/>
  <c r="AR1317" i="5"/>
  <c r="AQ1317" i="5"/>
  <c r="AP1317" i="5"/>
  <c r="AO1317" i="5"/>
  <c r="AN1317" i="5"/>
  <c r="AM1317" i="5"/>
  <c r="AL1317" i="5"/>
  <c r="AK1317" i="5"/>
  <c r="AJ1317" i="5"/>
  <c r="AS1316" i="5"/>
  <c r="AR1316" i="5"/>
  <c r="AQ1316" i="5"/>
  <c r="AP1316" i="5"/>
  <c r="AO1316" i="5"/>
  <c r="AN1316" i="5"/>
  <c r="AM1316" i="5"/>
  <c r="AL1316" i="5"/>
  <c r="AK1316" i="5"/>
  <c r="AJ1316" i="5"/>
  <c r="AS1315" i="5"/>
  <c r="AR1315" i="5"/>
  <c r="AQ1315" i="5"/>
  <c r="AP1315" i="5"/>
  <c r="AO1315" i="5"/>
  <c r="AN1315" i="5"/>
  <c r="AM1315" i="5"/>
  <c r="AL1315" i="5"/>
  <c r="AK1315" i="5"/>
  <c r="AJ1315" i="5"/>
  <c r="AS1314" i="5"/>
  <c r="AR1314" i="5"/>
  <c r="AQ1314" i="5"/>
  <c r="AP1314" i="5"/>
  <c r="AO1314" i="5"/>
  <c r="AN1314" i="5"/>
  <c r="AM1314" i="5"/>
  <c r="AL1314" i="5"/>
  <c r="AK1314" i="5"/>
  <c r="AJ1314" i="5"/>
  <c r="AS1313" i="5"/>
  <c r="AR1313" i="5"/>
  <c r="AQ1313" i="5"/>
  <c r="AP1313" i="5"/>
  <c r="AO1313" i="5"/>
  <c r="AN1313" i="5"/>
  <c r="AM1313" i="5"/>
  <c r="AL1313" i="5"/>
  <c r="AK1313" i="5"/>
  <c r="AJ1313" i="5"/>
  <c r="AS1312" i="5"/>
  <c r="AR1312" i="5"/>
  <c r="AQ1312" i="5"/>
  <c r="AP1312" i="5"/>
  <c r="AO1312" i="5"/>
  <c r="AN1312" i="5"/>
  <c r="AM1312" i="5"/>
  <c r="AL1312" i="5"/>
  <c r="AK1312" i="5"/>
  <c r="AJ1312" i="5"/>
  <c r="AS1311" i="5"/>
  <c r="AR1311" i="5"/>
  <c r="AQ1311" i="5"/>
  <c r="AP1311" i="5"/>
  <c r="AO1311" i="5"/>
  <c r="AN1311" i="5"/>
  <c r="AM1311" i="5"/>
  <c r="AL1311" i="5"/>
  <c r="AK1311" i="5"/>
  <c r="AJ1311" i="5"/>
  <c r="AS1310" i="5"/>
  <c r="AR1310" i="5"/>
  <c r="AQ1310" i="5"/>
  <c r="AP1310" i="5"/>
  <c r="AO1310" i="5"/>
  <c r="AN1310" i="5"/>
  <c r="AM1310" i="5"/>
  <c r="AL1310" i="5"/>
  <c r="AK1310" i="5"/>
  <c r="AJ1310" i="5"/>
  <c r="AS1309" i="5"/>
  <c r="AR1309" i="5"/>
  <c r="AQ1309" i="5"/>
  <c r="AP1309" i="5"/>
  <c r="AO1309" i="5"/>
  <c r="AN1309" i="5"/>
  <c r="AM1309" i="5"/>
  <c r="AL1309" i="5"/>
  <c r="AK1309" i="5"/>
  <c r="AJ1309" i="5"/>
  <c r="AS1308" i="5"/>
  <c r="AR1308" i="5"/>
  <c r="AQ1308" i="5"/>
  <c r="AP1308" i="5"/>
  <c r="AO1308" i="5"/>
  <c r="AN1308" i="5"/>
  <c r="AM1308" i="5"/>
  <c r="AL1308" i="5"/>
  <c r="AK1308" i="5"/>
  <c r="AJ1308" i="5"/>
  <c r="AS1307" i="5"/>
  <c r="AR1307" i="5"/>
  <c r="AQ1307" i="5"/>
  <c r="AP1307" i="5"/>
  <c r="AO1307" i="5"/>
  <c r="AN1307" i="5"/>
  <c r="AM1307" i="5"/>
  <c r="AL1307" i="5"/>
  <c r="AK1307" i="5"/>
  <c r="AJ1307" i="5"/>
  <c r="AS1306" i="5"/>
  <c r="AR1306" i="5"/>
  <c r="AQ1306" i="5"/>
  <c r="AP1306" i="5"/>
  <c r="AO1306" i="5"/>
  <c r="AN1306" i="5"/>
  <c r="AM1306" i="5"/>
  <c r="AL1306" i="5"/>
  <c r="AK1306" i="5"/>
  <c r="AJ1306" i="5"/>
  <c r="AS1305" i="5"/>
  <c r="AR1305" i="5"/>
  <c r="AQ1305" i="5"/>
  <c r="AP1305" i="5"/>
  <c r="AO1305" i="5"/>
  <c r="AN1305" i="5"/>
  <c r="AM1305" i="5"/>
  <c r="AL1305" i="5"/>
  <c r="AK1305" i="5"/>
  <c r="AJ1305" i="5"/>
  <c r="AS1304" i="5"/>
  <c r="AR1304" i="5"/>
  <c r="AQ1304" i="5"/>
  <c r="AP1304" i="5"/>
  <c r="AO1304" i="5"/>
  <c r="AN1304" i="5"/>
  <c r="AM1304" i="5"/>
  <c r="AL1304" i="5"/>
  <c r="AK1304" i="5"/>
  <c r="AJ1304" i="5"/>
  <c r="AS1303" i="5"/>
  <c r="AR1303" i="5"/>
  <c r="AQ1303" i="5"/>
  <c r="AP1303" i="5"/>
  <c r="AO1303" i="5"/>
  <c r="AN1303" i="5"/>
  <c r="AM1303" i="5"/>
  <c r="AL1303" i="5"/>
  <c r="AK1303" i="5"/>
  <c r="AJ1303" i="5"/>
  <c r="AS1302" i="5"/>
  <c r="AR1302" i="5"/>
  <c r="AQ1302" i="5"/>
  <c r="AP1302" i="5"/>
  <c r="AO1302" i="5"/>
  <c r="AN1302" i="5"/>
  <c r="AM1302" i="5"/>
  <c r="AL1302" i="5"/>
  <c r="AK1302" i="5"/>
  <c r="AJ1302" i="5"/>
  <c r="AS1301" i="5"/>
  <c r="AR1301" i="5"/>
  <c r="AQ1301" i="5"/>
  <c r="AP1301" i="5"/>
  <c r="AO1301" i="5"/>
  <c r="AN1301" i="5"/>
  <c r="AM1301" i="5"/>
  <c r="AL1301" i="5"/>
  <c r="AK1301" i="5"/>
  <c r="AJ1301" i="5"/>
  <c r="AS1300" i="5"/>
  <c r="AR1300" i="5"/>
  <c r="AQ1300" i="5"/>
  <c r="AP1300" i="5"/>
  <c r="AO1300" i="5"/>
  <c r="AN1300" i="5"/>
  <c r="AM1300" i="5"/>
  <c r="AL1300" i="5"/>
  <c r="AK1300" i="5"/>
  <c r="AJ1300" i="5"/>
  <c r="AS1299" i="5"/>
  <c r="AR1299" i="5"/>
  <c r="AQ1299" i="5"/>
  <c r="AP1299" i="5"/>
  <c r="AO1299" i="5"/>
  <c r="AN1299" i="5"/>
  <c r="AM1299" i="5"/>
  <c r="AL1299" i="5"/>
  <c r="AK1299" i="5"/>
  <c r="AJ1299" i="5"/>
  <c r="AS1298" i="5"/>
  <c r="AR1298" i="5"/>
  <c r="AQ1298" i="5"/>
  <c r="AP1298" i="5"/>
  <c r="AO1298" i="5"/>
  <c r="AN1298" i="5"/>
  <c r="AM1298" i="5"/>
  <c r="AL1298" i="5"/>
  <c r="AK1298" i="5"/>
  <c r="AJ1298" i="5"/>
  <c r="AS1297" i="5"/>
  <c r="AR1297" i="5"/>
  <c r="AQ1297" i="5"/>
  <c r="AP1297" i="5"/>
  <c r="AO1297" i="5"/>
  <c r="AN1297" i="5"/>
  <c r="AM1297" i="5"/>
  <c r="AL1297" i="5"/>
  <c r="AK1297" i="5"/>
  <c r="AJ1297" i="5"/>
  <c r="AS1296" i="5"/>
  <c r="AR1296" i="5"/>
  <c r="AQ1296" i="5"/>
  <c r="AP1296" i="5"/>
  <c r="AO1296" i="5"/>
  <c r="AN1296" i="5"/>
  <c r="AM1296" i="5"/>
  <c r="AL1296" i="5"/>
  <c r="AK1296" i="5"/>
  <c r="AJ1296" i="5"/>
  <c r="AS1295" i="5"/>
  <c r="AR1295" i="5"/>
  <c r="AQ1295" i="5"/>
  <c r="AP1295" i="5"/>
  <c r="AO1295" i="5"/>
  <c r="AN1295" i="5"/>
  <c r="AM1295" i="5"/>
  <c r="AL1295" i="5"/>
  <c r="AK1295" i="5"/>
  <c r="AJ1295" i="5"/>
  <c r="AS1294" i="5"/>
  <c r="AR1294" i="5"/>
  <c r="AQ1294" i="5"/>
  <c r="AP1294" i="5"/>
  <c r="AO1294" i="5"/>
  <c r="AN1294" i="5"/>
  <c r="AM1294" i="5"/>
  <c r="AL1294" i="5"/>
  <c r="AK1294" i="5"/>
  <c r="AJ1294" i="5"/>
  <c r="AS1293" i="5"/>
  <c r="AR1293" i="5"/>
  <c r="AQ1293" i="5"/>
  <c r="AP1293" i="5"/>
  <c r="AO1293" i="5"/>
  <c r="AN1293" i="5"/>
  <c r="AM1293" i="5"/>
  <c r="AL1293" i="5"/>
  <c r="AK1293" i="5"/>
  <c r="AJ1293" i="5"/>
  <c r="AS1292" i="5"/>
  <c r="AR1292" i="5"/>
  <c r="AQ1292" i="5"/>
  <c r="AP1292" i="5"/>
  <c r="AO1292" i="5"/>
  <c r="AN1292" i="5"/>
  <c r="AM1292" i="5"/>
  <c r="AL1292" i="5"/>
  <c r="AK1292" i="5"/>
  <c r="AJ1292" i="5"/>
  <c r="AS1291" i="5"/>
  <c r="AR1291" i="5"/>
  <c r="AQ1291" i="5"/>
  <c r="AP1291" i="5"/>
  <c r="AO1291" i="5"/>
  <c r="AN1291" i="5"/>
  <c r="AM1291" i="5"/>
  <c r="AL1291" i="5"/>
  <c r="AK1291" i="5"/>
  <c r="AJ1291" i="5"/>
  <c r="AS1290" i="5"/>
  <c r="AR1290" i="5"/>
  <c r="AQ1290" i="5"/>
  <c r="AP1290" i="5"/>
  <c r="AO1290" i="5"/>
  <c r="AN1290" i="5"/>
  <c r="AM1290" i="5"/>
  <c r="AL1290" i="5"/>
  <c r="AK1290" i="5"/>
  <c r="AJ1290" i="5"/>
  <c r="AS1289" i="5"/>
  <c r="AR1289" i="5"/>
  <c r="AQ1289" i="5"/>
  <c r="AP1289" i="5"/>
  <c r="AO1289" i="5"/>
  <c r="AN1289" i="5"/>
  <c r="AM1289" i="5"/>
  <c r="AL1289" i="5"/>
  <c r="AK1289" i="5"/>
  <c r="AJ1289" i="5"/>
  <c r="AS1288" i="5"/>
  <c r="AR1288" i="5"/>
  <c r="AQ1288" i="5"/>
  <c r="AP1288" i="5"/>
  <c r="AO1288" i="5"/>
  <c r="AN1288" i="5"/>
  <c r="AM1288" i="5"/>
  <c r="AL1288" i="5"/>
  <c r="AK1288" i="5"/>
  <c r="AJ1288" i="5"/>
  <c r="AS1287" i="5"/>
  <c r="AR1287" i="5"/>
  <c r="AQ1287" i="5"/>
  <c r="AP1287" i="5"/>
  <c r="AO1287" i="5"/>
  <c r="AN1287" i="5"/>
  <c r="AM1287" i="5"/>
  <c r="AL1287" i="5"/>
  <c r="AK1287" i="5"/>
  <c r="AJ1287" i="5"/>
  <c r="AS1286" i="5"/>
  <c r="AR1286" i="5"/>
  <c r="AQ1286" i="5"/>
  <c r="AP1286" i="5"/>
  <c r="AO1286" i="5"/>
  <c r="AN1286" i="5"/>
  <c r="AM1286" i="5"/>
  <c r="AL1286" i="5"/>
  <c r="AK1286" i="5"/>
  <c r="AJ1286" i="5"/>
  <c r="AS1285" i="5"/>
  <c r="AR1285" i="5"/>
  <c r="AQ1285" i="5"/>
  <c r="AP1285" i="5"/>
  <c r="AO1285" i="5"/>
  <c r="AN1285" i="5"/>
  <c r="AM1285" i="5"/>
  <c r="AL1285" i="5"/>
  <c r="AK1285" i="5"/>
  <c r="AJ1285" i="5"/>
  <c r="AS1284" i="5"/>
  <c r="AR1284" i="5"/>
  <c r="AQ1284" i="5"/>
  <c r="AP1284" i="5"/>
  <c r="AO1284" i="5"/>
  <c r="AN1284" i="5"/>
  <c r="AM1284" i="5"/>
  <c r="AL1284" i="5"/>
  <c r="AK1284" i="5"/>
  <c r="AJ1284" i="5"/>
  <c r="AS1283" i="5"/>
  <c r="AR1283" i="5"/>
  <c r="AQ1283" i="5"/>
  <c r="AP1283" i="5"/>
  <c r="AO1283" i="5"/>
  <c r="AN1283" i="5"/>
  <c r="AM1283" i="5"/>
  <c r="AL1283" i="5"/>
  <c r="AK1283" i="5"/>
  <c r="AJ1283" i="5"/>
  <c r="AS1282" i="5"/>
  <c r="AR1282" i="5"/>
  <c r="AQ1282" i="5"/>
  <c r="AP1282" i="5"/>
  <c r="AO1282" i="5"/>
  <c r="AN1282" i="5"/>
  <c r="AM1282" i="5"/>
  <c r="AL1282" i="5"/>
  <c r="AK1282" i="5"/>
  <c r="AJ1282" i="5"/>
  <c r="AS1281" i="5"/>
  <c r="AR1281" i="5"/>
  <c r="AQ1281" i="5"/>
  <c r="AP1281" i="5"/>
  <c r="AO1281" i="5"/>
  <c r="AN1281" i="5"/>
  <c r="AM1281" i="5"/>
  <c r="AL1281" i="5"/>
  <c r="AK1281" i="5"/>
  <c r="AJ1281" i="5"/>
  <c r="AS1280" i="5"/>
  <c r="AR1280" i="5"/>
  <c r="AQ1280" i="5"/>
  <c r="AP1280" i="5"/>
  <c r="AO1280" i="5"/>
  <c r="AN1280" i="5"/>
  <c r="AM1280" i="5"/>
  <c r="AL1280" i="5"/>
  <c r="AK1280" i="5"/>
  <c r="AJ1280" i="5"/>
  <c r="AS1279" i="5"/>
  <c r="AR1279" i="5"/>
  <c r="AQ1279" i="5"/>
  <c r="AP1279" i="5"/>
  <c r="AO1279" i="5"/>
  <c r="AN1279" i="5"/>
  <c r="AM1279" i="5"/>
  <c r="AL1279" i="5"/>
  <c r="AK1279" i="5"/>
  <c r="AJ1279" i="5"/>
  <c r="AS1278" i="5"/>
  <c r="AR1278" i="5"/>
  <c r="AQ1278" i="5"/>
  <c r="AP1278" i="5"/>
  <c r="AO1278" i="5"/>
  <c r="AN1278" i="5"/>
  <c r="AM1278" i="5"/>
  <c r="AL1278" i="5"/>
  <c r="AK1278" i="5"/>
  <c r="AJ1278" i="5"/>
  <c r="AS1277" i="5"/>
  <c r="AR1277" i="5"/>
  <c r="AQ1277" i="5"/>
  <c r="AP1277" i="5"/>
  <c r="AO1277" i="5"/>
  <c r="AN1277" i="5"/>
  <c r="AM1277" i="5"/>
  <c r="AL1277" i="5"/>
  <c r="AK1277" i="5"/>
  <c r="AJ1277" i="5"/>
  <c r="AS1276" i="5"/>
  <c r="AR1276" i="5"/>
  <c r="AQ1276" i="5"/>
  <c r="AP1276" i="5"/>
  <c r="AO1276" i="5"/>
  <c r="AN1276" i="5"/>
  <c r="AM1276" i="5"/>
  <c r="AL1276" i="5"/>
  <c r="AK1276" i="5"/>
  <c r="AJ1276" i="5"/>
  <c r="AS1275" i="5"/>
  <c r="AR1275" i="5"/>
  <c r="AQ1275" i="5"/>
  <c r="AP1275" i="5"/>
  <c r="AO1275" i="5"/>
  <c r="AN1275" i="5"/>
  <c r="AM1275" i="5"/>
  <c r="AL1275" i="5"/>
  <c r="AK1275" i="5"/>
  <c r="AJ1275" i="5"/>
  <c r="AS1274" i="5"/>
  <c r="AR1274" i="5"/>
  <c r="AQ1274" i="5"/>
  <c r="AP1274" i="5"/>
  <c r="AO1274" i="5"/>
  <c r="AN1274" i="5"/>
  <c r="AM1274" i="5"/>
  <c r="AL1274" i="5"/>
  <c r="AK1274" i="5"/>
  <c r="AJ1274" i="5"/>
  <c r="AS1273" i="5"/>
  <c r="AR1273" i="5"/>
  <c r="AQ1273" i="5"/>
  <c r="AP1273" i="5"/>
  <c r="AO1273" i="5"/>
  <c r="AN1273" i="5"/>
  <c r="AM1273" i="5"/>
  <c r="AL1273" i="5"/>
  <c r="AK1273" i="5"/>
  <c r="AJ1273" i="5"/>
  <c r="AS1272" i="5"/>
  <c r="AR1272" i="5"/>
  <c r="AQ1272" i="5"/>
  <c r="AP1272" i="5"/>
  <c r="AO1272" i="5"/>
  <c r="AN1272" i="5"/>
  <c r="AM1272" i="5"/>
  <c r="AL1272" i="5"/>
  <c r="AK1272" i="5"/>
  <c r="AJ1272" i="5"/>
  <c r="AS1271" i="5"/>
  <c r="AR1271" i="5"/>
  <c r="AQ1271" i="5"/>
  <c r="AP1271" i="5"/>
  <c r="AO1271" i="5"/>
  <c r="AN1271" i="5"/>
  <c r="AM1271" i="5"/>
  <c r="AL1271" i="5"/>
  <c r="AK1271" i="5"/>
  <c r="AJ1271" i="5"/>
  <c r="AS1270" i="5"/>
  <c r="AR1270" i="5"/>
  <c r="AQ1270" i="5"/>
  <c r="AP1270" i="5"/>
  <c r="AO1270" i="5"/>
  <c r="AN1270" i="5"/>
  <c r="AM1270" i="5"/>
  <c r="AL1270" i="5"/>
  <c r="AK1270" i="5"/>
  <c r="AJ1270" i="5"/>
  <c r="AS1269" i="5"/>
  <c r="AR1269" i="5"/>
  <c r="AQ1269" i="5"/>
  <c r="AP1269" i="5"/>
  <c r="AO1269" i="5"/>
  <c r="AN1269" i="5"/>
  <c r="AM1269" i="5"/>
  <c r="AL1269" i="5"/>
  <c r="AK1269" i="5"/>
  <c r="AJ1269" i="5"/>
  <c r="AS1268" i="5"/>
  <c r="AR1268" i="5"/>
  <c r="AQ1268" i="5"/>
  <c r="AP1268" i="5"/>
  <c r="AO1268" i="5"/>
  <c r="AN1268" i="5"/>
  <c r="AM1268" i="5"/>
  <c r="AL1268" i="5"/>
  <c r="AK1268" i="5"/>
  <c r="AJ1268" i="5"/>
  <c r="AS1267" i="5"/>
  <c r="AR1267" i="5"/>
  <c r="AQ1267" i="5"/>
  <c r="AP1267" i="5"/>
  <c r="AO1267" i="5"/>
  <c r="AN1267" i="5"/>
  <c r="AM1267" i="5"/>
  <c r="AL1267" i="5"/>
  <c r="AK1267" i="5"/>
  <c r="AJ1267" i="5"/>
  <c r="AS1266" i="5"/>
  <c r="AR1266" i="5"/>
  <c r="AQ1266" i="5"/>
  <c r="AP1266" i="5"/>
  <c r="AO1266" i="5"/>
  <c r="AN1266" i="5"/>
  <c r="AM1266" i="5"/>
  <c r="AL1266" i="5"/>
  <c r="AK1266" i="5"/>
  <c r="AJ1266" i="5"/>
  <c r="AS1265" i="5"/>
  <c r="AR1265" i="5"/>
  <c r="AQ1265" i="5"/>
  <c r="AP1265" i="5"/>
  <c r="AO1265" i="5"/>
  <c r="AN1265" i="5"/>
  <c r="AM1265" i="5"/>
  <c r="AL1265" i="5"/>
  <c r="AK1265" i="5"/>
  <c r="AJ1265" i="5"/>
  <c r="AS1264" i="5"/>
  <c r="AR1264" i="5"/>
  <c r="AQ1264" i="5"/>
  <c r="AP1264" i="5"/>
  <c r="AO1264" i="5"/>
  <c r="AN1264" i="5"/>
  <c r="AM1264" i="5"/>
  <c r="AL1264" i="5"/>
  <c r="AK1264" i="5"/>
  <c r="AJ1264" i="5"/>
  <c r="AS1263" i="5"/>
  <c r="AR1263" i="5"/>
  <c r="AQ1263" i="5"/>
  <c r="AP1263" i="5"/>
  <c r="AO1263" i="5"/>
  <c r="AN1263" i="5"/>
  <c r="AM1263" i="5"/>
  <c r="AL1263" i="5"/>
  <c r="AK1263" i="5"/>
  <c r="AJ1263" i="5"/>
  <c r="AS1262" i="5"/>
  <c r="AR1262" i="5"/>
  <c r="AQ1262" i="5"/>
  <c r="AP1262" i="5"/>
  <c r="AO1262" i="5"/>
  <c r="AN1262" i="5"/>
  <c r="AM1262" i="5"/>
  <c r="AL1262" i="5"/>
  <c r="AK1262" i="5"/>
  <c r="AJ1262" i="5"/>
  <c r="AS1261" i="5"/>
  <c r="AR1261" i="5"/>
  <c r="AQ1261" i="5"/>
  <c r="AP1261" i="5"/>
  <c r="AO1261" i="5"/>
  <c r="AN1261" i="5"/>
  <c r="AM1261" i="5"/>
  <c r="AL1261" i="5"/>
  <c r="AK1261" i="5"/>
  <c r="AJ1261" i="5"/>
  <c r="AS1260" i="5"/>
  <c r="AR1260" i="5"/>
  <c r="AQ1260" i="5"/>
  <c r="AP1260" i="5"/>
  <c r="AO1260" i="5"/>
  <c r="AN1260" i="5"/>
  <c r="AM1260" i="5"/>
  <c r="AL1260" i="5"/>
  <c r="AK1260" i="5"/>
  <c r="AJ1260" i="5"/>
  <c r="AS1259" i="5"/>
  <c r="AR1259" i="5"/>
  <c r="AQ1259" i="5"/>
  <c r="AP1259" i="5"/>
  <c r="AO1259" i="5"/>
  <c r="AN1259" i="5"/>
  <c r="AM1259" i="5"/>
  <c r="AL1259" i="5"/>
  <c r="AK1259" i="5"/>
  <c r="AJ1259" i="5"/>
  <c r="AS1258" i="5"/>
  <c r="AR1258" i="5"/>
  <c r="AQ1258" i="5"/>
  <c r="AP1258" i="5"/>
  <c r="AO1258" i="5"/>
  <c r="AN1258" i="5"/>
  <c r="AM1258" i="5"/>
  <c r="AL1258" i="5"/>
  <c r="AK1258" i="5"/>
  <c r="AJ1258" i="5"/>
  <c r="AS1257" i="5"/>
  <c r="AR1257" i="5"/>
  <c r="AQ1257" i="5"/>
  <c r="AP1257" i="5"/>
  <c r="AO1257" i="5"/>
  <c r="AN1257" i="5"/>
  <c r="AM1257" i="5"/>
  <c r="AL1257" i="5"/>
  <c r="AK1257" i="5"/>
  <c r="AJ1257" i="5"/>
  <c r="AS1256" i="5"/>
  <c r="AR1256" i="5"/>
  <c r="AQ1256" i="5"/>
  <c r="AP1256" i="5"/>
  <c r="AO1256" i="5"/>
  <c r="AN1256" i="5"/>
  <c r="AM1256" i="5"/>
  <c r="AL1256" i="5"/>
  <c r="AK1256" i="5"/>
  <c r="AJ1256" i="5"/>
  <c r="AS1255" i="5"/>
  <c r="AR1255" i="5"/>
  <c r="AQ1255" i="5"/>
  <c r="AP1255" i="5"/>
  <c r="AO1255" i="5"/>
  <c r="AN1255" i="5"/>
  <c r="AM1255" i="5"/>
  <c r="AL1255" i="5"/>
  <c r="AK1255" i="5"/>
  <c r="AJ1255" i="5"/>
  <c r="AS1254" i="5"/>
  <c r="AR1254" i="5"/>
  <c r="AQ1254" i="5"/>
  <c r="AP1254" i="5"/>
  <c r="AO1254" i="5"/>
  <c r="AN1254" i="5"/>
  <c r="AM1254" i="5"/>
  <c r="AL1254" i="5"/>
  <c r="AK1254" i="5"/>
  <c r="AJ1254" i="5"/>
  <c r="AS1253" i="5"/>
  <c r="AR1253" i="5"/>
  <c r="AQ1253" i="5"/>
  <c r="AP1253" i="5"/>
  <c r="AO1253" i="5"/>
  <c r="AN1253" i="5"/>
  <c r="AM1253" i="5"/>
  <c r="AL1253" i="5"/>
  <c r="AK1253" i="5"/>
  <c r="AJ1253" i="5"/>
  <c r="AS1252" i="5"/>
  <c r="AR1252" i="5"/>
  <c r="AQ1252" i="5"/>
  <c r="AP1252" i="5"/>
  <c r="AO1252" i="5"/>
  <c r="AN1252" i="5"/>
  <c r="AM1252" i="5"/>
  <c r="AL1252" i="5"/>
  <c r="AK1252" i="5"/>
  <c r="AJ1252" i="5"/>
  <c r="AS1251" i="5"/>
  <c r="AR1251" i="5"/>
  <c r="AQ1251" i="5"/>
  <c r="AP1251" i="5"/>
  <c r="AO1251" i="5"/>
  <c r="AN1251" i="5"/>
  <c r="AM1251" i="5"/>
  <c r="AL1251" i="5"/>
  <c r="AK1251" i="5"/>
  <c r="AJ1251" i="5"/>
  <c r="AS1250" i="5"/>
  <c r="AR1250" i="5"/>
  <c r="AQ1250" i="5"/>
  <c r="AP1250" i="5"/>
  <c r="AO1250" i="5"/>
  <c r="AN1250" i="5"/>
  <c r="AM1250" i="5"/>
  <c r="AL1250" i="5"/>
  <c r="AK1250" i="5"/>
  <c r="AJ1250" i="5"/>
  <c r="AS1249" i="5"/>
  <c r="AR1249" i="5"/>
  <c r="AQ1249" i="5"/>
  <c r="AP1249" i="5"/>
  <c r="AO1249" i="5"/>
  <c r="AN1249" i="5"/>
  <c r="AM1249" i="5"/>
  <c r="AL1249" i="5"/>
  <c r="AK1249" i="5"/>
  <c r="AJ1249" i="5"/>
  <c r="AS1248" i="5"/>
  <c r="AR1248" i="5"/>
  <c r="AQ1248" i="5"/>
  <c r="AP1248" i="5"/>
  <c r="AO1248" i="5"/>
  <c r="AN1248" i="5"/>
  <c r="AM1248" i="5"/>
  <c r="AL1248" i="5"/>
  <c r="AK1248" i="5"/>
  <c r="AJ1248" i="5"/>
  <c r="AS1247" i="5"/>
  <c r="AR1247" i="5"/>
  <c r="AQ1247" i="5"/>
  <c r="AP1247" i="5"/>
  <c r="AO1247" i="5"/>
  <c r="AN1247" i="5"/>
  <c r="AM1247" i="5"/>
  <c r="AL1247" i="5"/>
  <c r="AK1247" i="5"/>
  <c r="AJ1247" i="5"/>
  <c r="AS1246" i="5"/>
  <c r="AR1246" i="5"/>
  <c r="AQ1246" i="5"/>
  <c r="AP1246" i="5"/>
  <c r="AO1246" i="5"/>
  <c r="AN1246" i="5"/>
  <c r="AM1246" i="5"/>
  <c r="AL1246" i="5"/>
  <c r="AK1246" i="5"/>
  <c r="AJ1246" i="5"/>
  <c r="AS1245" i="5"/>
  <c r="AR1245" i="5"/>
  <c r="AQ1245" i="5"/>
  <c r="AP1245" i="5"/>
  <c r="AO1245" i="5"/>
  <c r="AN1245" i="5"/>
  <c r="AM1245" i="5"/>
  <c r="AL1245" i="5"/>
  <c r="AK1245" i="5"/>
  <c r="AJ1245" i="5"/>
  <c r="AS1244" i="5"/>
  <c r="AR1244" i="5"/>
  <c r="AQ1244" i="5"/>
  <c r="AP1244" i="5"/>
  <c r="AO1244" i="5"/>
  <c r="AN1244" i="5"/>
  <c r="AM1244" i="5"/>
  <c r="AL1244" i="5"/>
  <c r="AK1244" i="5"/>
  <c r="AJ1244" i="5"/>
  <c r="AS1243" i="5"/>
  <c r="AR1243" i="5"/>
  <c r="AQ1243" i="5"/>
  <c r="AP1243" i="5"/>
  <c r="AO1243" i="5"/>
  <c r="AN1243" i="5"/>
  <c r="AM1243" i="5"/>
  <c r="AL1243" i="5"/>
  <c r="AK1243" i="5"/>
  <c r="AJ1243" i="5"/>
  <c r="AS1242" i="5"/>
  <c r="AR1242" i="5"/>
  <c r="AQ1242" i="5"/>
  <c r="AP1242" i="5"/>
  <c r="AO1242" i="5"/>
  <c r="AN1242" i="5"/>
  <c r="AM1242" i="5"/>
  <c r="AL1242" i="5"/>
  <c r="AK1242" i="5"/>
  <c r="AJ1242" i="5"/>
  <c r="AS1241" i="5"/>
  <c r="AR1241" i="5"/>
  <c r="AQ1241" i="5"/>
  <c r="AP1241" i="5"/>
  <c r="AO1241" i="5"/>
  <c r="AN1241" i="5"/>
  <c r="AM1241" i="5"/>
  <c r="AL1241" i="5"/>
  <c r="AK1241" i="5"/>
  <c r="AJ1241" i="5"/>
  <c r="AS1240" i="5"/>
  <c r="AR1240" i="5"/>
  <c r="AQ1240" i="5"/>
  <c r="AP1240" i="5"/>
  <c r="AO1240" i="5"/>
  <c r="AN1240" i="5"/>
  <c r="AM1240" i="5"/>
  <c r="AL1240" i="5"/>
  <c r="AK1240" i="5"/>
  <c r="AJ1240" i="5"/>
  <c r="AS1239" i="5"/>
  <c r="AR1239" i="5"/>
  <c r="AQ1239" i="5"/>
  <c r="AP1239" i="5"/>
  <c r="AO1239" i="5"/>
  <c r="AN1239" i="5"/>
  <c r="AM1239" i="5"/>
  <c r="AL1239" i="5"/>
  <c r="AK1239" i="5"/>
  <c r="AJ1239" i="5"/>
  <c r="AS1238" i="5"/>
  <c r="AR1238" i="5"/>
  <c r="AQ1238" i="5"/>
  <c r="AP1238" i="5"/>
  <c r="AO1238" i="5"/>
  <c r="AN1238" i="5"/>
  <c r="AM1238" i="5"/>
  <c r="AL1238" i="5"/>
  <c r="AK1238" i="5"/>
  <c r="AJ1238" i="5"/>
  <c r="AS1237" i="5"/>
  <c r="AR1237" i="5"/>
  <c r="AQ1237" i="5"/>
  <c r="AP1237" i="5"/>
  <c r="AO1237" i="5"/>
  <c r="AN1237" i="5"/>
  <c r="AM1237" i="5"/>
  <c r="AL1237" i="5"/>
  <c r="AK1237" i="5"/>
  <c r="AJ1237" i="5"/>
  <c r="AS1236" i="5"/>
  <c r="AR1236" i="5"/>
  <c r="AQ1236" i="5"/>
  <c r="AP1236" i="5"/>
  <c r="AO1236" i="5"/>
  <c r="AN1236" i="5"/>
  <c r="AM1236" i="5"/>
  <c r="AL1236" i="5"/>
  <c r="AK1236" i="5"/>
  <c r="AJ1236" i="5"/>
  <c r="AS1235" i="5"/>
  <c r="AR1235" i="5"/>
  <c r="AQ1235" i="5"/>
  <c r="AP1235" i="5"/>
  <c r="AO1235" i="5"/>
  <c r="AN1235" i="5"/>
  <c r="AM1235" i="5"/>
  <c r="AL1235" i="5"/>
  <c r="AK1235" i="5"/>
  <c r="AJ1235" i="5"/>
  <c r="AS1234" i="5"/>
  <c r="AR1234" i="5"/>
  <c r="AQ1234" i="5"/>
  <c r="AP1234" i="5"/>
  <c r="AO1234" i="5"/>
  <c r="AN1234" i="5"/>
  <c r="AM1234" i="5"/>
  <c r="AL1234" i="5"/>
  <c r="AK1234" i="5"/>
  <c r="AJ1234" i="5"/>
  <c r="AS1233" i="5"/>
  <c r="AR1233" i="5"/>
  <c r="AQ1233" i="5"/>
  <c r="AP1233" i="5"/>
  <c r="AO1233" i="5"/>
  <c r="AN1233" i="5"/>
  <c r="AM1233" i="5"/>
  <c r="AL1233" i="5"/>
  <c r="AK1233" i="5"/>
  <c r="AJ1233" i="5"/>
  <c r="AS1232" i="5"/>
  <c r="AR1232" i="5"/>
  <c r="AQ1232" i="5"/>
  <c r="AP1232" i="5"/>
  <c r="AO1232" i="5"/>
  <c r="AN1232" i="5"/>
  <c r="AM1232" i="5"/>
  <c r="AL1232" i="5"/>
  <c r="AK1232" i="5"/>
  <c r="AJ1232" i="5"/>
  <c r="AS1231" i="5"/>
  <c r="AR1231" i="5"/>
  <c r="AQ1231" i="5"/>
  <c r="AP1231" i="5"/>
  <c r="AO1231" i="5"/>
  <c r="AN1231" i="5"/>
  <c r="AM1231" i="5"/>
  <c r="AL1231" i="5"/>
  <c r="AK1231" i="5"/>
  <c r="AJ1231" i="5"/>
  <c r="AS1230" i="5"/>
  <c r="AR1230" i="5"/>
  <c r="AQ1230" i="5"/>
  <c r="AP1230" i="5"/>
  <c r="AO1230" i="5"/>
  <c r="AN1230" i="5"/>
  <c r="AM1230" i="5"/>
  <c r="AL1230" i="5"/>
  <c r="AK1230" i="5"/>
  <c r="AJ1230" i="5"/>
  <c r="AS1229" i="5"/>
  <c r="AR1229" i="5"/>
  <c r="AQ1229" i="5"/>
  <c r="AP1229" i="5"/>
  <c r="AO1229" i="5"/>
  <c r="AN1229" i="5"/>
  <c r="AM1229" i="5"/>
  <c r="AL1229" i="5"/>
  <c r="AK1229" i="5"/>
  <c r="AJ1229" i="5"/>
  <c r="AS1228" i="5"/>
  <c r="AR1228" i="5"/>
  <c r="AQ1228" i="5"/>
  <c r="AP1228" i="5"/>
  <c r="AO1228" i="5"/>
  <c r="AN1228" i="5"/>
  <c r="AM1228" i="5"/>
  <c r="AL1228" i="5"/>
  <c r="AK1228" i="5"/>
  <c r="AJ1228" i="5"/>
  <c r="AS1227" i="5"/>
  <c r="AR1227" i="5"/>
  <c r="AQ1227" i="5"/>
  <c r="AP1227" i="5"/>
  <c r="AO1227" i="5"/>
  <c r="AN1227" i="5"/>
  <c r="AM1227" i="5"/>
  <c r="AL1227" i="5"/>
  <c r="AK1227" i="5"/>
  <c r="AJ1227" i="5"/>
  <c r="AS1226" i="5"/>
  <c r="AR1226" i="5"/>
  <c r="AQ1226" i="5"/>
  <c r="AP1226" i="5"/>
  <c r="AO1226" i="5"/>
  <c r="AN1226" i="5"/>
  <c r="AM1226" i="5"/>
  <c r="AL1226" i="5"/>
  <c r="AK1226" i="5"/>
  <c r="AJ1226" i="5"/>
  <c r="AS1225" i="5"/>
  <c r="AR1225" i="5"/>
  <c r="AQ1225" i="5"/>
  <c r="AP1225" i="5"/>
  <c r="AO1225" i="5"/>
  <c r="AN1225" i="5"/>
  <c r="AM1225" i="5"/>
  <c r="AL1225" i="5"/>
  <c r="AK1225" i="5"/>
  <c r="AJ1225" i="5"/>
  <c r="AS1224" i="5"/>
  <c r="AR1224" i="5"/>
  <c r="AQ1224" i="5"/>
  <c r="AP1224" i="5"/>
  <c r="AO1224" i="5"/>
  <c r="AN1224" i="5"/>
  <c r="AM1224" i="5"/>
  <c r="AL1224" i="5"/>
  <c r="AK1224" i="5"/>
  <c r="AJ1224" i="5"/>
  <c r="AS1223" i="5"/>
  <c r="AR1223" i="5"/>
  <c r="AQ1223" i="5"/>
  <c r="AP1223" i="5"/>
  <c r="AO1223" i="5"/>
  <c r="AN1223" i="5"/>
  <c r="AM1223" i="5"/>
  <c r="AL1223" i="5"/>
  <c r="AK1223" i="5"/>
  <c r="AJ1223" i="5"/>
  <c r="AS1222" i="5"/>
  <c r="AR1222" i="5"/>
  <c r="AQ1222" i="5"/>
  <c r="AP1222" i="5"/>
  <c r="AO1222" i="5"/>
  <c r="AN1222" i="5"/>
  <c r="AM1222" i="5"/>
  <c r="AL1222" i="5"/>
  <c r="AK1222" i="5"/>
  <c r="AJ1222" i="5"/>
  <c r="AS1221" i="5"/>
  <c r="AR1221" i="5"/>
  <c r="AQ1221" i="5"/>
  <c r="AP1221" i="5"/>
  <c r="AO1221" i="5"/>
  <c r="AN1221" i="5"/>
  <c r="AM1221" i="5"/>
  <c r="AL1221" i="5"/>
  <c r="AK1221" i="5"/>
  <c r="AJ1221" i="5"/>
  <c r="AS1220" i="5"/>
  <c r="AR1220" i="5"/>
  <c r="AQ1220" i="5"/>
  <c r="AP1220" i="5"/>
  <c r="AO1220" i="5"/>
  <c r="AN1220" i="5"/>
  <c r="AM1220" i="5"/>
  <c r="AL1220" i="5"/>
  <c r="AK1220" i="5"/>
  <c r="AJ1220" i="5"/>
  <c r="AS1219" i="5"/>
  <c r="AR1219" i="5"/>
  <c r="AQ1219" i="5"/>
  <c r="AP1219" i="5"/>
  <c r="AO1219" i="5"/>
  <c r="AN1219" i="5"/>
  <c r="AM1219" i="5"/>
  <c r="AL1219" i="5"/>
  <c r="AK1219" i="5"/>
  <c r="AJ1219" i="5"/>
  <c r="AS1218" i="5"/>
  <c r="AR1218" i="5"/>
  <c r="AQ1218" i="5"/>
  <c r="AP1218" i="5"/>
  <c r="AO1218" i="5"/>
  <c r="AN1218" i="5"/>
  <c r="AM1218" i="5"/>
  <c r="AL1218" i="5"/>
  <c r="AK1218" i="5"/>
  <c r="AJ1218" i="5"/>
  <c r="AS1217" i="5"/>
  <c r="AR1217" i="5"/>
  <c r="AQ1217" i="5"/>
  <c r="AP1217" i="5"/>
  <c r="AO1217" i="5"/>
  <c r="AN1217" i="5"/>
  <c r="AM1217" i="5"/>
  <c r="AL1217" i="5"/>
  <c r="AK1217" i="5"/>
  <c r="AJ1217" i="5"/>
  <c r="AS1216" i="5"/>
  <c r="AR1216" i="5"/>
  <c r="AQ1216" i="5"/>
  <c r="AP1216" i="5"/>
  <c r="AO1216" i="5"/>
  <c r="AN1216" i="5"/>
  <c r="AM1216" i="5"/>
  <c r="AL1216" i="5"/>
  <c r="AK1216" i="5"/>
  <c r="AJ1216" i="5"/>
  <c r="AS1215" i="5"/>
  <c r="AR1215" i="5"/>
  <c r="AQ1215" i="5"/>
  <c r="AP1215" i="5"/>
  <c r="AO1215" i="5"/>
  <c r="AN1215" i="5"/>
  <c r="AM1215" i="5"/>
  <c r="AL1215" i="5"/>
  <c r="AK1215" i="5"/>
  <c r="AJ1215" i="5"/>
  <c r="AS1214" i="5"/>
  <c r="AR1214" i="5"/>
  <c r="AQ1214" i="5"/>
  <c r="AP1214" i="5"/>
  <c r="AO1214" i="5"/>
  <c r="AN1214" i="5"/>
  <c r="AM1214" i="5"/>
  <c r="AL1214" i="5"/>
  <c r="AK1214" i="5"/>
  <c r="AJ1214" i="5"/>
  <c r="AS1213" i="5"/>
  <c r="AR1213" i="5"/>
  <c r="AQ1213" i="5"/>
  <c r="AP1213" i="5"/>
  <c r="AO1213" i="5"/>
  <c r="AN1213" i="5"/>
  <c r="AM1213" i="5"/>
  <c r="AL1213" i="5"/>
  <c r="AK1213" i="5"/>
  <c r="AJ1213" i="5"/>
  <c r="AS1212" i="5"/>
  <c r="AR1212" i="5"/>
  <c r="AQ1212" i="5"/>
  <c r="AP1212" i="5"/>
  <c r="AO1212" i="5"/>
  <c r="AN1212" i="5"/>
  <c r="AM1212" i="5"/>
  <c r="AL1212" i="5"/>
  <c r="AK1212" i="5"/>
  <c r="AJ1212" i="5"/>
  <c r="AS1211" i="5"/>
  <c r="AR1211" i="5"/>
  <c r="AQ1211" i="5"/>
  <c r="AP1211" i="5"/>
  <c r="AO1211" i="5"/>
  <c r="AN1211" i="5"/>
  <c r="AM1211" i="5"/>
  <c r="AL1211" i="5"/>
  <c r="AK1211" i="5"/>
  <c r="AJ1211" i="5"/>
  <c r="AS1210" i="5"/>
  <c r="AR1210" i="5"/>
  <c r="AQ1210" i="5"/>
  <c r="AP1210" i="5"/>
  <c r="AO1210" i="5"/>
  <c r="AN1210" i="5"/>
  <c r="AM1210" i="5"/>
  <c r="AL1210" i="5"/>
  <c r="AK1210" i="5"/>
  <c r="AJ1210" i="5"/>
  <c r="AS1209" i="5"/>
  <c r="AR1209" i="5"/>
  <c r="AQ1209" i="5"/>
  <c r="AP1209" i="5"/>
  <c r="AO1209" i="5"/>
  <c r="AN1209" i="5"/>
  <c r="AM1209" i="5"/>
  <c r="AL1209" i="5"/>
  <c r="AK1209" i="5"/>
  <c r="AJ1209" i="5"/>
  <c r="AS1208" i="5"/>
  <c r="AR1208" i="5"/>
  <c r="AQ1208" i="5"/>
  <c r="AP1208" i="5"/>
  <c r="AO1208" i="5"/>
  <c r="AN1208" i="5"/>
  <c r="AM1208" i="5"/>
  <c r="AL1208" i="5"/>
  <c r="AK1208" i="5"/>
  <c r="AJ1208" i="5"/>
  <c r="AS1207" i="5"/>
  <c r="AR1207" i="5"/>
  <c r="AQ1207" i="5"/>
  <c r="AP1207" i="5"/>
  <c r="AO1207" i="5"/>
  <c r="AN1207" i="5"/>
  <c r="AM1207" i="5"/>
  <c r="AL1207" i="5"/>
  <c r="AK1207" i="5"/>
  <c r="AJ1207" i="5"/>
  <c r="AS1206" i="5"/>
  <c r="AR1206" i="5"/>
  <c r="AQ1206" i="5"/>
  <c r="AP1206" i="5"/>
  <c r="AO1206" i="5"/>
  <c r="AN1206" i="5"/>
  <c r="AM1206" i="5"/>
  <c r="AL1206" i="5"/>
  <c r="AK1206" i="5"/>
  <c r="AJ1206" i="5"/>
  <c r="AS1205" i="5"/>
  <c r="AR1205" i="5"/>
  <c r="AQ1205" i="5"/>
  <c r="AP1205" i="5"/>
  <c r="AO1205" i="5"/>
  <c r="AN1205" i="5"/>
  <c r="AM1205" i="5"/>
  <c r="AL1205" i="5"/>
  <c r="AK1205" i="5"/>
  <c r="AJ1205" i="5"/>
  <c r="AS1204" i="5"/>
  <c r="AR1204" i="5"/>
  <c r="AQ1204" i="5"/>
  <c r="AP1204" i="5"/>
  <c r="AO1204" i="5"/>
  <c r="AN1204" i="5"/>
  <c r="AM1204" i="5"/>
  <c r="AL1204" i="5"/>
  <c r="AK1204" i="5"/>
  <c r="AJ1204" i="5"/>
  <c r="AS1203" i="5"/>
  <c r="AR1203" i="5"/>
  <c r="AQ1203" i="5"/>
  <c r="AP1203" i="5"/>
  <c r="AO1203" i="5"/>
  <c r="AN1203" i="5"/>
  <c r="AM1203" i="5"/>
  <c r="AL1203" i="5"/>
  <c r="AK1203" i="5"/>
  <c r="AJ1203" i="5"/>
  <c r="AS1202" i="5"/>
  <c r="AR1202" i="5"/>
  <c r="AQ1202" i="5"/>
  <c r="AP1202" i="5"/>
  <c r="AO1202" i="5"/>
  <c r="AN1202" i="5"/>
  <c r="AM1202" i="5"/>
  <c r="AL1202" i="5"/>
  <c r="AK1202" i="5"/>
  <c r="AJ1202" i="5"/>
  <c r="AS1201" i="5"/>
  <c r="AR1201" i="5"/>
  <c r="AQ1201" i="5"/>
  <c r="AP1201" i="5"/>
  <c r="AO1201" i="5"/>
  <c r="AN1201" i="5"/>
  <c r="AM1201" i="5"/>
  <c r="AL1201" i="5"/>
  <c r="AK1201" i="5"/>
  <c r="AJ1201" i="5"/>
  <c r="AS1200" i="5"/>
  <c r="AR1200" i="5"/>
  <c r="AQ1200" i="5"/>
  <c r="AP1200" i="5"/>
  <c r="AO1200" i="5"/>
  <c r="AN1200" i="5"/>
  <c r="AM1200" i="5"/>
  <c r="AL1200" i="5"/>
  <c r="AK1200" i="5"/>
  <c r="AJ1200" i="5"/>
  <c r="AS1199" i="5"/>
  <c r="AR1199" i="5"/>
  <c r="AQ1199" i="5"/>
  <c r="AP1199" i="5"/>
  <c r="AO1199" i="5"/>
  <c r="AN1199" i="5"/>
  <c r="AM1199" i="5"/>
  <c r="AL1199" i="5"/>
  <c r="AK1199" i="5"/>
  <c r="AJ1199" i="5"/>
  <c r="AS1198" i="5"/>
  <c r="AR1198" i="5"/>
  <c r="AQ1198" i="5"/>
  <c r="AP1198" i="5"/>
  <c r="AO1198" i="5"/>
  <c r="AN1198" i="5"/>
  <c r="AM1198" i="5"/>
  <c r="AL1198" i="5"/>
  <c r="AK1198" i="5"/>
  <c r="AJ1198" i="5"/>
  <c r="AS1197" i="5"/>
  <c r="AR1197" i="5"/>
  <c r="AQ1197" i="5"/>
  <c r="AP1197" i="5"/>
  <c r="AO1197" i="5"/>
  <c r="AN1197" i="5"/>
  <c r="AM1197" i="5"/>
  <c r="AL1197" i="5"/>
  <c r="AK1197" i="5"/>
  <c r="AJ1197" i="5"/>
  <c r="AS1196" i="5"/>
  <c r="AR1196" i="5"/>
  <c r="AQ1196" i="5"/>
  <c r="AP1196" i="5"/>
  <c r="AO1196" i="5"/>
  <c r="AN1196" i="5"/>
  <c r="AM1196" i="5"/>
  <c r="AL1196" i="5"/>
  <c r="AK1196" i="5"/>
  <c r="AJ1196" i="5"/>
  <c r="AS1195" i="5"/>
  <c r="AR1195" i="5"/>
  <c r="AQ1195" i="5"/>
  <c r="AP1195" i="5"/>
  <c r="AO1195" i="5"/>
  <c r="AN1195" i="5"/>
  <c r="AM1195" i="5"/>
  <c r="AL1195" i="5"/>
  <c r="AK1195" i="5"/>
  <c r="AJ1195" i="5"/>
  <c r="AS1194" i="5"/>
  <c r="AR1194" i="5"/>
  <c r="AQ1194" i="5"/>
  <c r="AP1194" i="5"/>
  <c r="AO1194" i="5"/>
  <c r="AN1194" i="5"/>
  <c r="AM1194" i="5"/>
  <c r="AL1194" i="5"/>
  <c r="AK1194" i="5"/>
  <c r="AJ1194" i="5"/>
  <c r="AS1193" i="5"/>
  <c r="AR1193" i="5"/>
  <c r="AQ1193" i="5"/>
  <c r="AP1193" i="5"/>
  <c r="AO1193" i="5"/>
  <c r="AN1193" i="5"/>
  <c r="AM1193" i="5"/>
  <c r="AL1193" i="5"/>
  <c r="AK1193" i="5"/>
  <c r="AJ1193" i="5"/>
  <c r="AS1192" i="5"/>
  <c r="AR1192" i="5"/>
  <c r="AQ1192" i="5"/>
  <c r="AP1192" i="5"/>
  <c r="AO1192" i="5"/>
  <c r="AN1192" i="5"/>
  <c r="AM1192" i="5"/>
  <c r="AL1192" i="5"/>
  <c r="AK1192" i="5"/>
  <c r="AJ1192" i="5"/>
  <c r="AS1191" i="5"/>
  <c r="AR1191" i="5"/>
  <c r="AQ1191" i="5"/>
  <c r="AP1191" i="5"/>
  <c r="AO1191" i="5"/>
  <c r="AN1191" i="5"/>
  <c r="AM1191" i="5"/>
  <c r="AL1191" i="5"/>
  <c r="AK1191" i="5"/>
  <c r="AJ1191" i="5"/>
  <c r="AS1190" i="5"/>
  <c r="AR1190" i="5"/>
  <c r="AQ1190" i="5"/>
  <c r="AP1190" i="5"/>
  <c r="AO1190" i="5"/>
  <c r="AN1190" i="5"/>
  <c r="AM1190" i="5"/>
  <c r="AL1190" i="5"/>
  <c r="AK1190" i="5"/>
  <c r="AJ1190" i="5"/>
  <c r="AS1189" i="5"/>
  <c r="AR1189" i="5"/>
  <c r="AQ1189" i="5"/>
  <c r="AP1189" i="5"/>
  <c r="AO1189" i="5"/>
  <c r="AN1189" i="5"/>
  <c r="AM1189" i="5"/>
  <c r="AL1189" i="5"/>
  <c r="AK1189" i="5"/>
  <c r="AJ1189" i="5"/>
  <c r="AS1188" i="5"/>
  <c r="AR1188" i="5"/>
  <c r="AQ1188" i="5"/>
  <c r="AP1188" i="5"/>
  <c r="AO1188" i="5"/>
  <c r="AN1188" i="5"/>
  <c r="AM1188" i="5"/>
  <c r="AL1188" i="5"/>
  <c r="AK1188" i="5"/>
  <c r="AJ1188" i="5"/>
  <c r="AS1187" i="5"/>
  <c r="AR1187" i="5"/>
  <c r="AQ1187" i="5"/>
  <c r="AP1187" i="5"/>
  <c r="AO1187" i="5"/>
  <c r="AN1187" i="5"/>
  <c r="AM1187" i="5"/>
  <c r="AL1187" i="5"/>
  <c r="AK1187" i="5"/>
  <c r="AJ1187" i="5"/>
  <c r="AS1186" i="5"/>
  <c r="AR1186" i="5"/>
  <c r="AQ1186" i="5"/>
  <c r="AP1186" i="5"/>
  <c r="AO1186" i="5"/>
  <c r="AN1186" i="5"/>
  <c r="AM1186" i="5"/>
  <c r="AL1186" i="5"/>
  <c r="AK1186" i="5"/>
  <c r="AJ1186" i="5"/>
  <c r="AS1185" i="5"/>
  <c r="AR1185" i="5"/>
  <c r="AQ1185" i="5"/>
  <c r="AP1185" i="5"/>
  <c r="AO1185" i="5"/>
  <c r="AN1185" i="5"/>
  <c r="AM1185" i="5"/>
  <c r="AL1185" i="5"/>
  <c r="AK1185" i="5"/>
  <c r="AJ1185" i="5"/>
  <c r="AS1184" i="5"/>
  <c r="AR1184" i="5"/>
  <c r="AQ1184" i="5"/>
  <c r="AP1184" i="5"/>
  <c r="AO1184" i="5"/>
  <c r="AN1184" i="5"/>
  <c r="AM1184" i="5"/>
  <c r="AL1184" i="5"/>
  <c r="AK1184" i="5"/>
  <c r="AJ1184" i="5"/>
  <c r="AS1183" i="5"/>
  <c r="AR1183" i="5"/>
  <c r="AQ1183" i="5"/>
  <c r="AP1183" i="5"/>
  <c r="AO1183" i="5"/>
  <c r="AN1183" i="5"/>
  <c r="AM1183" i="5"/>
  <c r="AL1183" i="5"/>
  <c r="AK1183" i="5"/>
  <c r="AJ1183" i="5"/>
  <c r="AS1182" i="5"/>
  <c r="AR1182" i="5"/>
  <c r="AQ1182" i="5"/>
  <c r="AP1182" i="5"/>
  <c r="AO1182" i="5"/>
  <c r="AN1182" i="5"/>
  <c r="AM1182" i="5"/>
  <c r="AL1182" i="5"/>
  <c r="AK1182" i="5"/>
  <c r="AJ1182" i="5"/>
  <c r="AS1181" i="5"/>
  <c r="AR1181" i="5"/>
  <c r="AQ1181" i="5"/>
  <c r="AP1181" i="5"/>
  <c r="AO1181" i="5"/>
  <c r="AN1181" i="5"/>
  <c r="AM1181" i="5"/>
  <c r="AL1181" i="5"/>
  <c r="AK1181" i="5"/>
  <c r="AJ1181" i="5"/>
  <c r="AS1180" i="5"/>
  <c r="AR1180" i="5"/>
  <c r="AQ1180" i="5"/>
  <c r="AP1180" i="5"/>
  <c r="AO1180" i="5"/>
  <c r="AN1180" i="5"/>
  <c r="AM1180" i="5"/>
  <c r="AL1180" i="5"/>
  <c r="AK1180" i="5"/>
  <c r="AJ1180" i="5"/>
  <c r="AS1179" i="5"/>
  <c r="AR1179" i="5"/>
  <c r="AQ1179" i="5"/>
  <c r="AP1179" i="5"/>
  <c r="AO1179" i="5"/>
  <c r="AN1179" i="5"/>
  <c r="AM1179" i="5"/>
  <c r="AL1179" i="5"/>
  <c r="AK1179" i="5"/>
  <c r="AJ1179" i="5"/>
  <c r="AS1178" i="5"/>
  <c r="AR1178" i="5"/>
  <c r="AQ1178" i="5"/>
  <c r="AP1178" i="5"/>
  <c r="AO1178" i="5"/>
  <c r="AN1178" i="5"/>
  <c r="AM1178" i="5"/>
  <c r="AL1178" i="5"/>
  <c r="AK1178" i="5"/>
  <c r="AJ1178" i="5"/>
  <c r="AS1177" i="5"/>
  <c r="AR1177" i="5"/>
  <c r="AQ1177" i="5"/>
  <c r="AP1177" i="5"/>
  <c r="AO1177" i="5"/>
  <c r="AN1177" i="5"/>
  <c r="AM1177" i="5"/>
  <c r="AL1177" i="5"/>
  <c r="AK1177" i="5"/>
  <c r="AJ1177" i="5"/>
  <c r="AS1176" i="5"/>
  <c r="AR1176" i="5"/>
  <c r="AQ1176" i="5"/>
  <c r="AP1176" i="5"/>
  <c r="AO1176" i="5"/>
  <c r="AN1176" i="5"/>
  <c r="AM1176" i="5"/>
  <c r="AL1176" i="5"/>
  <c r="AK1176" i="5"/>
  <c r="AJ1176" i="5"/>
  <c r="AS1175" i="5"/>
  <c r="AR1175" i="5"/>
  <c r="AQ1175" i="5"/>
  <c r="AP1175" i="5"/>
  <c r="AO1175" i="5"/>
  <c r="AN1175" i="5"/>
  <c r="AM1175" i="5"/>
  <c r="AL1175" i="5"/>
  <c r="AK1175" i="5"/>
  <c r="AJ1175" i="5"/>
  <c r="AS1174" i="5"/>
  <c r="AR1174" i="5"/>
  <c r="AQ1174" i="5"/>
  <c r="AP1174" i="5"/>
  <c r="AO1174" i="5"/>
  <c r="AN1174" i="5"/>
  <c r="AM1174" i="5"/>
  <c r="AL1174" i="5"/>
  <c r="AK1174" i="5"/>
  <c r="AJ1174" i="5"/>
  <c r="AS1173" i="5"/>
  <c r="AR1173" i="5"/>
  <c r="AQ1173" i="5"/>
  <c r="AP1173" i="5"/>
  <c r="AO1173" i="5"/>
  <c r="AN1173" i="5"/>
  <c r="AM1173" i="5"/>
  <c r="AL1173" i="5"/>
  <c r="AK1173" i="5"/>
  <c r="AJ1173" i="5"/>
  <c r="AS1172" i="5"/>
  <c r="AR1172" i="5"/>
  <c r="AQ1172" i="5"/>
  <c r="AP1172" i="5"/>
  <c r="AO1172" i="5"/>
  <c r="AN1172" i="5"/>
  <c r="AM1172" i="5"/>
  <c r="AL1172" i="5"/>
  <c r="AK1172" i="5"/>
  <c r="AJ1172" i="5"/>
  <c r="AS1171" i="5"/>
  <c r="AR1171" i="5"/>
  <c r="AQ1171" i="5"/>
  <c r="AP1171" i="5"/>
  <c r="AO1171" i="5"/>
  <c r="AN1171" i="5"/>
  <c r="AM1171" i="5"/>
  <c r="AL1171" i="5"/>
  <c r="AK1171" i="5"/>
  <c r="AJ1171" i="5"/>
  <c r="AS1170" i="5"/>
  <c r="AR1170" i="5"/>
  <c r="AQ1170" i="5"/>
  <c r="AP1170" i="5"/>
  <c r="AO1170" i="5"/>
  <c r="AN1170" i="5"/>
  <c r="AM1170" i="5"/>
  <c r="AL1170" i="5"/>
  <c r="AK1170" i="5"/>
  <c r="AJ1170" i="5"/>
  <c r="AS1169" i="5"/>
  <c r="AR1169" i="5"/>
  <c r="AQ1169" i="5"/>
  <c r="AP1169" i="5"/>
  <c r="AO1169" i="5"/>
  <c r="AN1169" i="5"/>
  <c r="AM1169" i="5"/>
  <c r="AL1169" i="5"/>
  <c r="AK1169" i="5"/>
  <c r="AJ1169" i="5"/>
  <c r="AS1168" i="5"/>
  <c r="AR1168" i="5"/>
  <c r="AQ1168" i="5"/>
  <c r="AP1168" i="5"/>
  <c r="AO1168" i="5"/>
  <c r="AN1168" i="5"/>
  <c r="AM1168" i="5"/>
  <c r="AL1168" i="5"/>
  <c r="AK1168" i="5"/>
  <c r="AJ1168" i="5"/>
  <c r="AS1167" i="5"/>
  <c r="AR1167" i="5"/>
  <c r="AQ1167" i="5"/>
  <c r="AP1167" i="5"/>
  <c r="AO1167" i="5"/>
  <c r="AN1167" i="5"/>
  <c r="AM1167" i="5"/>
  <c r="AL1167" i="5"/>
  <c r="AK1167" i="5"/>
  <c r="AJ1167" i="5"/>
  <c r="AS1166" i="5"/>
  <c r="AR1166" i="5"/>
  <c r="AQ1166" i="5"/>
  <c r="AP1166" i="5"/>
  <c r="AO1166" i="5"/>
  <c r="AN1166" i="5"/>
  <c r="AM1166" i="5"/>
  <c r="AL1166" i="5"/>
  <c r="AK1166" i="5"/>
  <c r="AJ1166" i="5"/>
  <c r="AS1165" i="5"/>
  <c r="AR1165" i="5"/>
  <c r="AQ1165" i="5"/>
  <c r="AP1165" i="5"/>
  <c r="AO1165" i="5"/>
  <c r="AN1165" i="5"/>
  <c r="AM1165" i="5"/>
  <c r="AL1165" i="5"/>
  <c r="AK1165" i="5"/>
  <c r="AJ1165" i="5"/>
  <c r="AS1164" i="5"/>
  <c r="AR1164" i="5"/>
  <c r="AQ1164" i="5"/>
  <c r="AP1164" i="5"/>
  <c r="AO1164" i="5"/>
  <c r="AN1164" i="5"/>
  <c r="AM1164" i="5"/>
  <c r="AL1164" i="5"/>
  <c r="AK1164" i="5"/>
  <c r="AJ1164" i="5"/>
  <c r="AS1163" i="5"/>
  <c r="AR1163" i="5"/>
  <c r="AQ1163" i="5"/>
  <c r="AP1163" i="5"/>
  <c r="AO1163" i="5"/>
  <c r="AN1163" i="5"/>
  <c r="AM1163" i="5"/>
  <c r="AL1163" i="5"/>
  <c r="AK1163" i="5"/>
  <c r="AJ1163" i="5"/>
  <c r="AS1162" i="5"/>
  <c r="AR1162" i="5"/>
  <c r="AQ1162" i="5"/>
  <c r="AP1162" i="5"/>
  <c r="AO1162" i="5"/>
  <c r="AN1162" i="5"/>
  <c r="AM1162" i="5"/>
  <c r="AL1162" i="5"/>
  <c r="AK1162" i="5"/>
  <c r="AJ1162" i="5"/>
  <c r="AS1161" i="5"/>
  <c r="AR1161" i="5"/>
  <c r="AQ1161" i="5"/>
  <c r="AP1161" i="5"/>
  <c r="AO1161" i="5"/>
  <c r="AN1161" i="5"/>
  <c r="AM1161" i="5"/>
  <c r="AL1161" i="5"/>
  <c r="AK1161" i="5"/>
  <c r="AJ1161" i="5"/>
  <c r="AS1160" i="5"/>
  <c r="AR1160" i="5"/>
  <c r="AQ1160" i="5"/>
  <c r="AP1160" i="5"/>
  <c r="AO1160" i="5"/>
  <c r="AN1160" i="5"/>
  <c r="AM1160" i="5"/>
  <c r="AL1160" i="5"/>
  <c r="AK1160" i="5"/>
  <c r="AJ1160" i="5"/>
  <c r="AS1159" i="5"/>
  <c r="AR1159" i="5"/>
  <c r="AQ1159" i="5"/>
  <c r="AP1159" i="5"/>
  <c r="AO1159" i="5"/>
  <c r="AN1159" i="5"/>
  <c r="AM1159" i="5"/>
  <c r="AL1159" i="5"/>
  <c r="AK1159" i="5"/>
  <c r="AJ1159" i="5"/>
  <c r="AS1158" i="5"/>
  <c r="AR1158" i="5"/>
  <c r="AQ1158" i="5"/>
  <c r="AP1158" i="5"/>
  <c r="AO1158" i="5"/>
  <c r="AN1158" i="5"/>
  <c r="AM1158" i="5"/>
  <c r="AL1158" i="5"/>
  <c r="AK1158" i="5"/>
  <c r="AJ1158" i="5"/>
  <c r="AS1157" i="5"/>
  <c r="AR1157" i="5"/>
  <c r="AQ1157" i="5"/>
  <c r="AP1157" i="5"/>
  <c r="AO1157" i="5"/>
  <c r="AN1157" i="5"/>
  <c r="AM1157" i="5"/>
  <c r="AL1157" i="5"/>
  <c r="AK1157" i="5"/>
  <c r="AJ1157" i="5"/>
  <c r="AS1156" i="5"/>
  <c r="AR1156" i="5"/>
  <c r="AQ1156" i="5"/>
  <c r="AP1156" i="5"/>
  <c r="AO1156" i="5"/>
  <c r="AN1156" i="5"/>
  <c r="AM1156" i="5"/>
  <c r="AL1156" i="5"/>
  <c r="AK1156" i="5"/>
  <c r="AJ1156" i="5"/>
  <c r="AS1155" i="5"/>
  <c r="AR1155" i="5"/>
  <c r="AQ1155" i="5"/>
  <c r="AP1155" i="5"/>
  <c r="AO1155" i="5"/>
  <c r="AN1155" i="5"/>
  <c r="AM1155" i="5"/>
  <c r="AL1155" i="5"/>
  <c r="AK1155" i="5"/>
  <c r="AJ1155" i="5"/>
  <c r="AS1154" i="5"/>
  <c r="AR1154" i="5"/>
  <c r="AQ1154" i="5"/>
  <c r="AP1154" i="5"/>
  <c r="AO1154" i="5"/>
  <c r="AN1154" i="5"/>
  <c r="AM1154" i="5"/>
  <c r="AL1154" i="5"/>
  <c r="AK1154" i="5"/>
  <c r="AJ1154" i="5"/>
  <c r="AS1153" i="5"/>
  <c r="AR1153" i="5"/>
  <c r="AQ1153" i="5"/>
  <c r="AP1153" i="5"/>
  <c r="AO1153" i="5"/>
  <c r="AN1153" i="5"/>
  <c r="AM1153" i="5"/>
  <c r="AL1153" i="5"/>
  <c r="AK1153" i="5"/>
  <c r="AJ1153" i="5"/>
  <c r="AS1152" i="5"/>
  <c r="AR1152" i="5"/>
  <c r="AQ1152" i="5"/>
  <c r="AP1152" i="5"/>
  <c r="AO1152" i="5"/>
  <c r="AN1152" i="5"/>
  <c r="AM1152" i="5"/>
  <c r="AL1152" i="5"/>
  <c r="AK1152" i="5"/>
  <c r="AJ1152" i="5"/>
  <c r="AS1151" i="5"/>
  <c r="AR1151" i="5"/>
  <c r="AQ1151" i="5"/>
  <c r="AP1151" i="5"/>
  <c r="AO1151" i="5"/>
  <c r="AN1151" i="5"/>
  <c r="AM1151" i="5"/>
  <c r="AL1151" i="5"/>
  <c r="AK1151" i="5"/>
  <c r="AJ1151" i="5"/>
  <c r="AS1150" i="5"/>
  <c r="AR1150" i="5"/>
  <c r="AQ1150" i="5"/>
  <c r="AP1150" i="5"/>
  <c r="AO1150" i="5"/>
  <c r="AN1150" i="5"/>
  <c r="AM1150" i="5"/>
  <c r="AL1150" i="5"/>
  <c r="AK1150" i="5"/>
  <c r="AJ1150" i="5"/>
  <c r="AS1149" i="5"/>
  <c r="AR1149" i="5"/>
  <c r="AQ1149" i="5"/>
  <c r="AP1149" i="5"/>
  <c r="AO1149" i="5"/>
  <c r="AN1149" i="5"/>
  <c r="AM1149" i="5"/>
  <c r="AL1149" i="5"/>
  <c r="AK1149" i="5"/>
  <c r="AJ1149" i="5"/>
  <c r="AS1148" i="5"/>
  <c r="AR1148" i="5"/>
  <c r="AQ1148" i="5"/>
  <c r="AP1148" i="5"/>
  <c r="AO1148" i="5"/>
  <c r="AN1148" i="5"/>
  <c r="AM1148" i="5"/>
  <c r="AL1148" i="5"/>
  <c r="AK1148" i="5"/>
  <c r="AJ1148" i="5"/>
  <c r="AS1147" i="5"/>
  <c r="AR1147" i="5"/>
  <c r="AQ1147" i="5"/>
  <c r="AP1147" i="5"/>
  <c r="AO1147" i="5"/>
  <c r="AN1147" i="5"/>
  <c r="AM1147" i="5"/>
  <c r="AL1147" i="5"/>
  <c r="AK1147" i="5"/>
  <c r="AJ1147" i="5"/>
  <c r="AS1146" i="5"/>
  <c r="AR1146" i="5"/>
  <c r="AQ1146" i="5"/>
  <c r="AP1146" i="5"/>
  <c r="AO1146" i="5"/>
  <c r="AN1146" i="5"/>
  <c r="AM1146" i="5"/>
  <c r="AL1146" i="5"/>
  <c r="AK1146" i="5"/>
  <c r="AJ1146" i="5"/>
  <c r="AS1145" i="5"/>
  <c r="AR1145" i="5"/>
  <c r="AQ1145" i="5"/>
  <c r="AP1145" i="5"/>
  <c r="AO1145" i="5"/>
  <c r="AN1145" i="5"/>
  <c r="AM1145" i="5"/>
  <c r="AL1145" i="5"/>
  <c r="AK1145" i="5"/>
  <c r="AJ1145" i="5"/>
  <c r="AS1144" i="5"/>
  <c r="AR1144" i="5"/>
  <c r="AQ1144" i="5"/>
  <c r="AP1144" i="5"/>
  <c r="AO1144" i="5"/>
  <c r="AN1144" i="5"/>
  <c r="AM1144" i="5"/>
  <c r="AL1144" i="5"/>
  <c r="AK1144" i="5"/>
  <c r="AJ1144" i="5"/>
  <c r="AS1143" i="5"/>
  <c r="AR1143" i="5"/>
  <c r="AQ1143" i="5"/>
  <c r="AP1143" i="5"/>
  <c r="AO1143" i="5"/>
  <c r="AN1143" i="5"/>
  <c r="AM1143" i="5"/>
  <c r="AL1143" i="5"/>
  <c r="AK1143" i="5"/>
  <c r="AJ1143" i="5"/>
  <c r="AS1142" i="5"/>
  <c r="AR1142" i="5"/>
  <c r="AQ1142" i="5"/>
  <c r="AP1142" i="5"/>
  <c r="AO1142" i="5"/>
  <c r="AN1142" i="5"/>
  <c r="AM1142" i="5"/>
  <c r="AL1142" i="5"/>
  <c r="AK1142" i="5"/>
  <c r="AJ1142" i="5"/>
  <c r="AS1141" i="5"/>
  <c r="AR1141" i="5"/>
  <c r="AQ1141" i="5"/>
  <c r="AP1141" i="5"/>
  <c r="AO1141" i="5"/>
  <c r="AN1141" i="5"/>
  <c r="AM1141" i="5"/>
  <c r="AL1141" i="5"/>
  <c r="AK1141" i="5"/>
  <c r="AJ1141" i="5"/>
  <c r="AS1140" i="5"/>
  <c r="AR1140" i="5"/>
  <c r="AQ1140" i="5"/>
  <c r="AP1140" i="5"/>
  <c r="AO1140" i="5"/>
  <c r="AN1140" i="5"/>
  <c r="AM1140" i="5"/>
  <c r="AL1140" i="5"/>
  <c r="AK1140" i="5"/>
  <c r="AJ1140" i="5"/>
  <c r="AS1139" i="5"/>
  <c r="AR1139" i="5"/>
  <c r="AQ1139" i="5"/>
  <c r="AP1139" i="5"/>
  <c r="AO1139" i="5"/>
  <c r="AN1139" i="5"/>
  <c r="AM1139" i="5"/>
  <c r="AL1139" i="5"/>
  <c r="AK1139" i="5"/>
  <c r="AJ1139" i="5"/>
  <c r="AS1138" i="5"/>
  <c r="AR1138" i="5"/>
  <c r="AQ1138" i="5"/>
  <c r="AP1138" i="5"/>
  <c r="AO1138" i="5"/>
  <c r="AN1138" i="5"/>
  <c r="AM1138" i="5"/>
  <c r="AL1138" i="5"/>
  <c r="AK1138" i="5"/>
  <c r="AJ1138" i="5"/>
  <c r="AS1137" i="5"/>
  <c r="AR1137" i="5"/>
  <c r="AQ1137" i="5"/>
  <c r="AP1137" i="5"/>
  <c r="AO1137" i="5"/>
  <c r="AN1137" i="5"/>
  <c r="AM1137" i="5"/>
  <c r="AL1137" i="5"/>
  <c r="AK1137" i="5"/>
  <c r="AJ1137" i="5"/>
  <c r="AS1136" i="5"/>
  <c r="AR1136" i="5"/>
  <c r="AQ1136" i="5"/>
  <c r="AP1136" i="5"/>
  <c r="AO1136" i="5"/>
  <c r="AN1136" i="5"/>
  <c r="AM1136" i="5"/>
  <c r="AL1136" i="5"/>
  <c r="AK1136" i="5"/>
  <c r="AJ1136" i="5"/>
  <c r="AS1135" i="5"/>
  <c r="AR1135" i="5"/>
  <c r="AQ1135" i="5"/>
  <c r="AP1135" i="5"/>
  <c r="AO1135" i="5"/>
  <c r="AN1135" i="5"/>
  <c r="AM1135" i="5"/>
  <c r="AL1135" i="5"/>
  <c r="AK1135" i="5"/>
  <c r="AJ1135" i="5"/>
  <c r="AS1134" i="5"/>
  <c r="AR1134" i="5"/>
  <c r="AQ1134" i="5"/>
  <c r="AP1134" i="5"/>
  <c r="AO1134" i="5"/>
  <c r="AN1134" i="5"/>
  <c r="AM1134" i="5"/>
  <c r="AL1134" i="5"/>
  <c r="AK1134" i="5"/>
  <c r="AJ1134" i="5"/>
  <c r="AS1133" i="5"/>
  <c r="AR1133" i="5"/>
  <c r="AQ1133" i="5"/>
  <c r="AP1133" i="5"/>
  <c r="AO1133" i="5"/>
  <c r="AN1133" i="5"/>
  <c r="AM1133" i="5"/>
  <c r="AL1133" i="5"/>
  <c r="AK1133" i="5"/>
  <c r="AJ1133" i="5"/>
  <c r="AS1132" i="5"/>
  <c r="AR1132" i="5"/>
  <c r="AQ1132" i="5"/>
  <c r="AP1132" i="5"/>
  <c r="AO1132" i="5"/>
  <c r="AN1132" i="5"/>
  <c r="AM1132" i="5"/>
  <c r="AL1132" i="5"/>
  <c r="AK1132" i="5"/>
  <c r="AJ1132" i="5"/>
  <c r="AS1131" i="5"/>
  <c r="AR1131" i="5"/>
  <c r="AQ1131" i="5"/>
  <c r="AP1131" i="5"/>
  <c r="AO1131" i="5"/>
  <c r="AN1131" i="5"/>
  <c r="AM1131" i="5"/>
  <c r="AL1131" i="5"/>
  <c r="AK1131" i="5"/>
  <c r="AJ1131" i="5"/>
  <c r="AS1130" i="5"/>
  <c r="AR1130" i="5"/>
  <c r="AQ1130" i="5"/>
  <c r="AP1130" i="5"/>
  <c r="AO1130" i="5"/>
  <c r="AN1130" i="5"/>
  <c r="AM1130" i="5"/>
  <c r="AL1130" i="5"/>
  <c r="AK1130" i="5"/>
  <c r="AJ1130" i="5"/>
  <c r="AS1129" i="5"/>
  <c r="AR1129" i="5"/>
  <c r="AQ1129" i="5"/>
  <c r="AP1129" i="5"/>
  <c r="AO1129" i="5"/>
  <c r="AN1129" i="5"/>
  <c r="AM1129" i="5"/>
  <c r="AL1129" i="5"/>
  <c r="AK1129" i="5"/>
  <c r="AJ1129" i="5"/>
  <c r="AS1128" i="5"/>
  <c r="AR1128" i="5"/>
  <c r="AQ1128" i="5"/>
  <c r="AP1128" i="5"/>
  <c r="AO1128" i="5"/>
  <c r="AN1128" i="5"/>
  <c r="AM1128" i="5"/>
  <c r="AL1128" i="5"/>
  <c r="AK1128" i="5"/>
  <c r="AJ1128" i="5"/>
  <c r="AS1127" i="5"/>
  <c r="AR1127" i="5"/>
  <c r="AQ1127" i="5"/>
  <c r="AP1127" i="5"/>
  <c r="AO1127" i="5"/>
  <c r="AN1127" i="5"/>
  <c r="AM1127" i="5"/>
  <c r="AL1127" i="5"/>
  <c r="AK1127" i="5"/>
  <c r="AJ1127" i="5"/>
  <c r="AS1126" i="5"/>
  <c r="AR1126" i="5"/>
  <c r="AQ1126" i="5"/>
  <c r="AP1126" i="5"/>
  <c r="AO1126" i="5"/>
  <c r="AN1126" i="5"/>
  <c r="AM1126" i="5"/>
  <c r="AL1126" i="5"/>
  <c r="AK1126" i="5"/>
  <c r="AJ1126" i="5"/>
  <c r="AS1125" i="5"/>
  <c r="AR1125" i="5"/>
  <c r="AQ1125" i="5"/>
  <c r="AP1125" i="5"/>
  <c r="AO1125" i="5"/>
  <c r="AN1125" i="5"/>
  <c r="AM1125" i="5"/>
  <c r="AL1125" i="5"/>
  <c r="AK1125" i="5"/>
  <c r="AJ1125" i="5"/>
  <c r="AS1124" i="5"/>
  <c r="AR1124" i="5"/>
  <c r="AQ1124" i="5"/>
  <c r="AP1124" i="5"/>
  <c r="AO1124" i="5"/>
  <c r="AN1124" i="5"/>
  <c r="AM1124" i="5"/>
  <c r="AL1124" i="5"/>
  <c r="AK1124" i="5"/>
  <c r="AJ1124" i="5"/>
  <c r="AS1123" i="5"/>
  <c r="AR1123" i="5"/>
  <c r="AQ1123" i="5"/>
  <c r="AP1123" i="5"/>
  <c r="AO1123" i="5"/>
  <c r="AN1123" i="5"/>
  <c r="AM1123" i="5"/>
  <c r="AL1123" i="5"/>
  <c r="AK1123" i="5"/>
  <c r="AJ1123" i="5"/>
  <c r="AS1122" i="5"/>
  <c r="AR1122" i="5"/>
  <c r="AQ1122" i="5"/>
  <c r="AP1122" i="5"/>
  <c r="AO1122" i="5"/>
  <c r="AN1122" i="5"/>
  <c r="AM1122" i="5"/>
  <c r="AL1122" i="5"/>
  <c r="AK1122" i="5"/>
  <c r="AJ1122" i="5"/>
  <c r="AS1121" i="5"/>
  <c r="AR1121" i="5"/>
  <c r="AQ1121" i="5"/>
  <c r="AP1121" i="5"/>
  <c r="AO1121" i="5"/>
  <c r="AN1121" i="5"/>
  <c r="AM1121" i="5"/>
  <c r="AL1121" i="5"/>
  <c r="AK1121" i="5"/>
  <c r="AJ1121" i="5"/>
  <c r="AS1120" i="5"/>
  <c r="AR1120" i="5"/>
  <c r="AQ1120" i="5"/>
  <c r="AP1120" i="5"/>
  <c r="AO1120" i="5"/>
  <c r="AN1120" i="5"/>
  <c r="AM1120" i="5"/>
  <c r="AL1120" i="5"/>
  <c r="AK1120" i="5"/>
  <c r="AJ1120" i="5"/>
  <c r="AS1119" i="5"/>
  <c r="AR1119" i="5"/>
  <c r="AQ1119" i="5"/>
  <c r="AP1119" i="5"/>
  <c r="AO1119" i="5"/>
  <c r="AN1119" i="5"/>
  <c r="AM1119" i="5"/>
  <c r="AL1119" i="5"/>
  <c r="AK1119" i="5"/>
  <c r="AJ1119" i="5"/>
  <c r="AS1118" i="5"/>
  <c r="AR1118" i="5"/>
  <c r="AQ1118" i="5"/>
  <c r="AP1118" i="5"/>
  <c r="AO1118" i="5"/>
  <c r="AN1118" i="5"/>
  <c r="AM1118" i="5"/>
  <c r="AL1118" i="5"/>
  <c r="AK1118" i="5"/>
  <c r="AJ1118" i="5"/>
  <c r="AS1117" i="5"/>
  <c r="AR1117" i="5"/>
  <c r="AQ1117" i="5"/>
  <c r="AP1117" i="5"/>
  <c r="AO1117" i="5"/>
  <c r="AN1117" i="5"/>
  <c r="AM1117" i="5"/>
  <c r="AL1117" i="5"/>
  <c r="AK1117" i="5"/>
  <c r="AJ1117" i="5"/>
  <c r="AS1116" i="5"/>
  <c r="AR1116" i="5"/>
  <c r="AQ1116" i="5"/>
  <c r="AP1116" i="5"/>
  <c r="AO1116" i="5"/>
  <c r="AN1116" i="5"/>
  <c r="AM1116" i="5"/>
  <c r="AL1116" i="5"/>
  <c r="AK1116" i="5"/>
  <c r="AJ1116" i="5"/>
  <c r="AS1115" i="5"/>
  <c r="AR1115" i="5"/>
  <c r="AQ1115" i="5"/>
  <c r="AP1115" i="5"/>
  <c r="AO1115" i="5"/>
  <c r="AN1115" i="5"/>
  <c r="AM1115" i="5"/>
  <c r="AL1115" i="5"/>
  <c r="AK1115" i="5"/>
  <c r="AJ1115" i="5"/>
  <c r="AS1114" i="5"/>
  <c r="AR1114" i="5"/>
  <c r="AQ1114" i="5"/>
  <c r="AP1114" i="5"/>
  <c r="AO1114" i="5"/>
  <c r="AN1114" i="5"/>
  <c r="AM1114" i="5"/>
  <c r="AL1114" i="5"/>
  <c r="AK1114" i="5"/>
  <c r="AJ1114" i="5"/>
  <c r="AS1113" i="5"/>
  <c r="AR1113" i="5"/>
  <c r="AQ1113" i="5"/>
  <c r="AP1113" i="5"/>
  <c r="AO1113" i="5"/>
  <c r="AN1113" i="5"/>
  <c r="AM1113" i="5"/>
  <c r="AL1113" i="5"/>
  <c r="AK1113" i="5"/>
  <c r="AJ1113" i="5"/>
  <c r="AS1112" i="5"/>
  <c r="AR1112" i="5"/>
  <c r="AQ1112" i="5"/>
  <c r="AP1112" i="5"/>
  <c r="AO1112" i="5"/>
  <c r="AN1112" i="5"/>
  <c r="AM1112" i="5"/>
  <c r="AL1112" i="5"/>
  <c r="AK1112" i="5"/>
  <c r="AJ1112" i="5"/>
  <c r="AS1111" i="5"/>
  <c r="AR1111" i="5"/>
  <c r="AQ1111" i="5"/>
  <c r="AP1111" i="5"/>
  <c r="AO1111" i="5"/>
  <c r="AN1111" i="5"/>
  <c r="AM1111" i="5"/>
  <c r="AL1111" i="5"/>
  <c r="AK1111" i="5"/>
  <c r="AJ1111" i="5"/>
  <c r="AS1110" i="5"/>
  <c r="AR1110" i="5"/>
  <c r="AQ1110" i="5"/>
  <c r="AP1110" i="5"/>
  <c r="AO1110" i="5"/>
  <c r="AN1110" i="5"/>
  <c r="AM1110" i="5"/>
  <c r="AL1110" i="5"/>
  <c r="AK1110" i="5"/>
  <c r="AJ1110" i="5"/>
  <c r="AS1109" i="5"/>
  <c r="AR1109" i="5"/>
  <c r="AQ1109" i="5"/>
  <c r="AP1109" i="5"/>
  <c r="AO1109" i="5"/>
  <c r="AN1109" i="5"/>
  <c r="AM1109" i="5"/>
  <c r="AL1109" i="5"/>
  <c r="AK1109" i="5"/>
  <c r="AJ1109" i="5"/>
  <c r="AS1108" i="5"/>
  <c r="AR1108" i="5"/>
  <c r="AQ1108" i="5"/>
  <c r="AP1108" i="5"/>
  <c r="AO1108" i="5"/>
  <c r="AN1108" i="5"/>
  <c r="AM1108" i="5"/>
  <c r="AL1108" i="5"/>
  <c r="AK1108" i="5"/>
  <c r="AJ1108" i="5"/>
  <c r="AS1107" i="5"/>
  <c r="AR1107" i="5"/>
  <c r="AQ1107" i="5"/>
  <c r="AP1107" i="5"/>
  <c r="AO1107" i="5"/>
  <c r="AN1107" i="5"/>
  <c r="AM1107" i="5"/>
  <c r="AL1107" i="5"/>
  <c r="AK1107" i="5"/>
  <c r="AJ1107" i="5"/>
  <c r="AS1106" i="5"/>
  <c r="AR1106" i="5"/>
  <c r="AQ1106" i="5"/>
  <c r="AP1106" i="5"/>
  <c r="AO1106" i="5"/>
  <c r="AN1106" i="5"/>
  <c r="AM1106" i="5"/>
  <c r="AL1106" i="5"/>
  <c r="AK1106" i="5"/>
  <c r="AJ1106" i="5"/>
  <c r="AS1105" i="5"/>
  <c r="AR1105" i="5"/>
  <c r="AQ1105" i="5"/>
  <c r="AP1105" i="5"/>
  <c r="AO1105" i="5"/>
  <c r="AN1105" i="5"/>
  <c r="AM1105" i="5"/>
  <c r="AL1105" i="5"/>
  <c r="AK1105" i="5"/>
  <c r="AJ1105" i="5"/>
  <c r="AS1104" i="5"/>
  <c r="AR1104" i="5"/>
  <c r="AQ1104" i="5"/>
  <c r="AP1104" i="5"/>
  <c r="AO1104" i="5"/>
  <c r="AN1104" i="5"/>
  <c r="AM1104" i="5"/>
  <c r="AL1104" i="5"/>
  <c r="AK1104" i="5"/>
  <c r="AJ1104" i="5"/>
  <c r="AS1103" i="5"/>
  <c r="AR1103" i="5"/>
  <c r="AQ1103" i="5"/>
  <c r="AP1103" i="5"/>
  <c r="AO1103" i="5"/>
  <c r="AN1103" i="5"/>
  <c r="AM1103" i="5"/>
  <c r="AL1103" i="5"/>
  <c r="AK1103" i="5"/>
  <c r="AJ1103" i="5"/>
  <c r="AS1102" i="5"/>
  <c r="AR1102" i="5"/>
  <c r="AQ1102" i="5"/>
  <c r="AP1102" i="5"/>
  <c r="AO1102" i="5"/>
  <c r="AN1102" i="5"/>
  <c r="AM1102" i="5"/>
  <c r="AL1102" i="5"/>
  <c r="AK1102" i="5"/>
  <c r="AJ1102" i="5"/>
  <c r="AS1101" i="5"/>
  <c r="AR1101" i="5"/>
  <c r="AQ1101" i="5"/>
  <c r="AP1101" i="5"/>
  <c r="AO1101" i="5"/>
  <c r="AN1101" i="5"/>
  <c r="AM1101" i="5"/>
  <c r="AL1101" i="5"/>
  <c r="AK1101" i="5"/>
  <c r="AJ1101" i="5"/>
  <c r="AS1100" i="5"/>
  <c r="AR1100" i="5"/>
  <c r="AQ1100" i="5"/>
  <c r="AP1100" i="5"/>
  <c r="AO1100" i="5"/>
  <c r="AN1100" i="5"/>
  <c r="AM1100" i="5"/>
  <c r="AL1100" i="5"/>
  <c r="AK1100" i="5"/>
  <c r="AJ1100" i="5"/>
  <c r="AS1099" i="5"/>
  <c r="AR1099" i="5"/>
  <c r="AQ1099" i="5"/>
  <c r="AP1099" i="5"/>
  <c r="AO1099" i="5"/>
  <c r="AN1099" i="5"/>
  <c r="AM1099" i="5"/>
  <c r="AL1099" i="5"/>
  <c r="AK1099" i="5"/>
  <c r="AJ1099" i="5"/>
  <c r="AS1098" i="5"/>
  <c r="AR1098" i="5"/>
  <c r="AQ1098" i="5"/>
  <c r="AP1098" i="5"/>
  <c r="AO1098" i="5"/>
  <c r="AN1098" i="5"/>
  <c r="AM1098" i="5"/>
  <c r="AL1098" i="5"/>
  <c r="AK1098" i="5"/>
  <c r="AJ1098" i="5"/>
  <c r="AS1097" i="5"/>
  <c r="AR1097" i="5"/>
  <c r="AQ1097" i="5"/>
  <c r="AP1097" i="5"/>
  <c r="AO1097" i="5"/>
  <c r="AN1097" i="5"/>
  <c r="AM1097" i="5"/>
  <c r="AL1097" i="5"/>
  <c r="AK1097" i="5"/>
  <c r="AJ1097" i="5"/>
  <c r="AS1096" i="5"/>
  <c r="AR1096" i="5"/>
  <c r="AQ1096" i="5"/>
  <c r="AP1096" i="5"/>
  <c r="AO1096" i="5"/>
  <c r="AN1096" i="5"/>
  <c r="AM1096" i="5"/>
  <c r="AL1096" i="5"/>
  <c r="AK1096" i="5"/>
  <c r="AJ1096" i="5"/>
  <c r="AS1095" i="5"/>
  <c r="AR1095" i="5"/>
  <c r="AQ1095" i="5"/>
  <c r="AP1095" i="5"/>
  <c r="AO1095" i="5"/>
  <c r="AN1095" i="5"/>
  <c r="AM1095" i="5"/>
  <c r="AL1095" i="5"/>
  <c r="AK1095" i="5"/>
  <c r="AJ1095" i="5"/>
  <c r="AS1094" i="5"/>
  <c r="AR1094" i="5"/>
  <c r="AQ1094" i="5"/>
  <c r="AP1094" i="5"/>
  <c r="AO1094" i="5"/>
  <c r="AN1094" i="5"/>
  <c r="AM1094" i="5"/>
  <c r="AL1094" i="5"/>
  <c r="AK1094" i="5"/>
  <c r="AJ1094" i="5"/>
  <c r="AS1093" i="5"/>
  <c r="AR1093" i="5"/>
  <c r="AQ1093" i="5"/>
  <c r="AP1093" i="5"/>
  <c r="AO1093" i="5"/>
  <c r="AN1093" i="5"/>
  <c r="AM1093" i="5"/>
  <c r="AL1093" i="5"/>
  <c r="AK1093" i="5"/>
  <c r="AJ1093" i="5"/>
  <c r="AS1092" i="5"/>
  <c r="AR1092" i="5"/>
  <c r="AQ1092" i="5"/>
  <c r="AP1092" i="5"/>
  <c r="AO1092" i="5"/>
  <c r="AN1092" i="5"/>
  <c r="AM1092" i="5"/>
  <c r="AL1092" i="5"/>
  <c r="AK1092" i="5"/>
  <c r="AJ1092" i="5"/>
  <c r="AS1091" i="5"/>
  <c r="AR1091" i="5"/>
  <c r="AQ1091" i="5"/>
  <c r="AP1091" i="5"/>
  <c r="AO1091" i="5"/>
  <c r="AN1091" i="5"/>
  <c r="AM1091" i="5"/>
  <c r="AL1091" i="5"/>
  <c r="AK1091" i="5"/>
  <c r="AJ1091" i="5"/>
  <c r="AS1090" i="5"/>
  <c r="AR1090" i="5"/>
  <c r="AQ1090" i="5"/>
  <c r="AP1090" i="5"/>
  <c r="AO1090" i="5"/>
  <c r="AN1090" i="5"/>
  <c r="AM1090" i="5"/>
  <c r="AL1090" i="5"/>
  <c r="AK1090" i="5"/>
  <c r="AJ1090" i="5"/>
  <c r="AS1089" i="5"/>
  <c r="AR1089" i="5"/>
  <c r="AQ1089" i="5"/>
  <c r="AP1089" i="5"/>
  <c r="AO1089" i="5"/>
  <c r="AN1089" i="5"/>
  <c r="AM1089" i="5"/>
  <c r="AL1089" i="5"/>
  <c r="AK1089" i="5"/>
  <c r="AJ1089" i="5"/>
  <c r="AS1088" i="5"/>
  <c r="AR1088" i="5"/>
  <c r="AQ1088" i="5"/>
  <c r="AP1088" i="5"/>
  <c r="AO1088" i="5"/>
  <c r="AN1088" i="5"/>
  <c r="AM1088" i="5"/>
  <c r="AL1088" i="5"/>
  <c r="AK1088" i="5"/>
  <c r="AJ1088" i="5"/>
  <c r="AS1087" i="5"/>
  <c r="AR1087" i="5"/>
  <c r="AQ1087" i="5"/>
  <c r="AP1087" i="5"/>
  <c r="AO1087" i="5"/>
  <c r="AN1087" i="5"/>
  <c r="AM1087" i="5"/>
  <c r="AL1087" i="5"/>
  <c r="AK1087" i="5"/>
  <c r="AJ1087" i="5"/>
  <c r="AS1086" i="5"/>
  <c r="AR1086" i="5"/>
  <c r="AQ1086" i="5"/>
  <c r="AP1086" i="5"/>
  <c r="AO1086" i="5"/>
  <c r="AN1086" i="5"/>
  <c r="AM1086" i="5"/>
  <c r="AL1086" i="5"/>
  <c r="AK1086" i="5"/>
  <c r="AJ1086" i="5"/>
  <c r="AS1085" i="5"/>
  <c r="AR1085" i="5"/>
  <c r="AQ1085" i="5"/>
  <c r="AP1085" i="5"/>
  <c r="AO1085" i="5"/>
  <c r="AN1085" i="5"/>
  <c r="AM1085" i="5"/>
  <c r="AL1085" i="5"/>
  <c r="AK1085" i="5"/>
  <c r="AJ1085" i="5"/>
  <c r="AS1084" i="5"/>
  <c r="AR1084" i="5"/>
  <c r="AQ1084" i="5"/>
  <c r="AP1084" i="5"/>
  <c r="AO1084" i="5"/>
  <c r="AN1084" i="5"/>
  <c r="AM1084" i="5"/>
  <c r="AL1084" i="5"/>
  <c r="AK1084" i="5"/>
  <c r="AJ1084" i="5"/>
  <c r="AS1083" i="5"/>
  <c r="AR1083" i="5"/>
  <c r="AQ1083" i="5"/>
  <c r="AP1083" i="5"/>
  <c r="AO1083" i="5"/>
  <c r="AN1083" i="5"/>
  <c r="AM1083" i="5"/>
  <c r="AL1083" i="5"/>
  <c r="AK1083" i="5"/>
  <c r="AJ1083" i="5"/>
  <c r="AS1082" i="5"/>
  <c r="AR1082" i="5"/>
  <c r="AQ1082" i="5"/>
  <c r="AP1082" i="5"/>
  <c r="AO1082" i="5"/>
  <c r="AN1082" i="5"/>
  <c r="AM1082" i="5"/>
  <c r="AL1082" i="5"/>
  <c r="AK1082" i="5"/>
  <c r="AJ1082" i="5"/>
  <c r="AS1081" i="5"/>
  <c r="AR1081" i="5"/>
  <c r="AQ1081" i="5"/>
  <c r="AP1081" i="5"/>
  <c r="AO1081" i="5"/>
  <c r="AN1081" i="5"/>
  <c r="AM1081" i="5"/>
  <c r="AL1081" i="5"/>
  <c r="AK1081" i="5"/>
  <c r="AJ1081" i="5"/>
  <c r="AS1080" i="5"/>
  <c r="AR1080" i="5"/>
  <c r="AQ1080" i="5"/>
  <c r="AP1080" i="5"/>
  <c r="AO1080" i="5"/>
  <c r="AN1080" i="5"/>
  <c r="AM1080" i="5"/>
  <c r="AL1080" i="5"/>
  <c r="AK1080" i="5"/>
  <c r="AJ1080" i="5"/>
  <c r="AS1079" i="5"/>
  <c r="AR1079" i="5"/>
  <c r="AQ1079" i="5"/>
  <c r="AP1079" i="5"/>
  <c r="AO1079" i="5"/>
  <c r="AN1079" i="5"/>
  <c r="AM1079" i="5"/>
  <c r="AL1079" i="5"/>
  <c r="AK1079" i="5"/>
  <c r="AJ1079" i="5"/>
  <c r="AS1078" i="5"/>
  <c r="AR1078" i="5"/>
  <c r="AQ1078" i="5"/>
  <c r="AP1078" i="5"/>
  <c r="AO1078" i="5"/>
  <c r="AN1078" i="5"/>
  <c r="AM1078" i="5"/>
  <c r="AL1078" i="5"/>
  <c r="AK1078" i="5"/>
  <c r="AJ1078" i="5"/>
  <c r="AS1077" i="5"/>
  <c r="AR1077" i="5"/>
  <c r="AQ1077" i="5"/>
  <c r="AP1077" i="5"/>
  <c r="AO1077" i="5"/>
  <c r="AN1077" i="5"/>
  <c r="AM1077" i="5"/>
  <c r="AL1077" i="5"/>
  <c r="AK1077" i="5"/>
  <c r="AJ1077" i="5"/>
  <c r="AS1076" i="5"/>
  <c r="AR1076" i="5"/>
  <c r="AQ1076" i="5"/>
  <c r="AP1076" i="5"/>
  <c r="AO1076" i="5"/>
  <c r="AN1076" i="5"/>
  <c r="AM1076" i="5"/>
  <c r="AL1076" i="5"/>
  <c r="AK1076" i="5"/>
  <c r="AJ1076" i="5"/>
  <c r="AS1075" i="5"/>
  <c r="AR1075" i="5"/>
  <c r="AQ1075" i="5"/>
  <c r="AP1075" i="5"/>
  <c r="AO1075" i="5"/>
  <c r="AN1075" i="5"/>
  <c r="AM1075" i="5"/>
  <c r="AL1075" i="5"/>
  <c r="AK1075" i="5"/>
  <c r="AJ1075" i="5"/>
  <c r="AS1074" i="5"/>
  <c r="AR1074" i="5"/>
  <c r="AQ1074" i="5"/>
  <c r="AP1074" i="5"/>
  <c r="AO1074" i="5"/>
  <c r="AN1074" i="5"/>
  <c r="AM1074" i="5"/>
  <c r="AL1074" i="5"/>
  <c r="AK1074" i="5"/>
  <c r="AJ1074" i="5"/>
  <c r="AS1073" i="5"/>
  <c r="AR1073" i="5"/>
  <c r="AQ1073" i="5"/>
  <c r="AP1073" i="5"/>
  <c r="AO1073" i="5"/>
  <c r="AN1073" i="5"/>
  <c r="AM1073" i="5"/>
  <c r="AL1073" i="5"/>
  <c r="AK1073" i="5"/>
  <c r="AJ1073" i="5"/>
  <c r="AS1072" i="5"/>
  <c r="AR1072" i="5"/>
  <c r="AQ1072" i="5"/>
  <c r="AP1072" i="5"/>
  <c r="AO1072" i="5"/>
  <c r="AN1072" i="5"/>
  <c r="AM1072" i="5"/>
  <c r="AL1072" i="5"/>
  <c r="AK1072" i="5"/>
  <c r="AJ1072" i="5"/>
  <c r="AS1071" i="5"/>
  <c r="AR1071" i="5"/>
  <c r="AQ1071" i="5"/>
  <c r="AP1071" i="5"/>
  <c r="AO1071" i="5"/>
  <c r="AN1071" i="5"/>
  <c r="AM1071" i="5"/>
  <c r="AL1071" i="5"/>
  <c r="AK1071" i="5"/>
  <c r="AJ1071" i="5"/>
  <c r="AS1070" i="5"/>
  <c r="AR1070" i="5"/>
  <c r="AQ1070" i="5"/>
  <c r="AP1070" i="5"/>
  <c r="AO1070" i="5"/>
  <c r="AN1070" i="5"/>
  <c r="AM1070" i="5"/>
  <c r="AL1070" i="5"/>
  <c r="AK1070" i="5"/>
  <c r="AJ1070" i="5"/>
  <c r="AS1069" i="5"/>
  <c r="AR1069" i="5"/>
  <c r="AQ1069" i="5"/>
  <c r="AP1069" i="5"/>
  <c r="AO1069" i="5"/>
  <c r="AN1069" i="5"/>
  <c r="AM1069" i="5"/>
  <c r="AL1069" i="5"/>
  <c r="AK1069" i="5"/>
  <c r="AJ1069" i="5"/>
  <c r="AS1068" i="5"/>
  <c r="AR1068" i="5"/>
  <c r="AQ1068" i="5"/>
  <c r="AP1068" i="5"/>
  <c r="AO1068" i="5"/>
  <c r="AN1068" i="5"/>
  <c r="AM1068" i="5"/>
  <c r="AL1068" i="5"/>
  <c r="AK1068" i="5"/>
  <c r="AJ1068" i="5"/>
  <c r="AS1067" i="5"/>
  <c r="AR1067" i="5"/>
  <c r="AQ1067" i="5"/>
  <c r="AP1067" i="5"/>
  <c r="AO1067" i="5"/>
  <c r="AN1067" i="5"/>
  <c r="AM1067" i="5"/>
  <c r="AL1067" i="5"/>
  <c r="AK1067" i="5"/>
  <c r="AJ1067" i="5"/>
  <c r="AS1066" i="5"/>
  <c r="AR1066" i="5"/>
  <c r="AQ1066" i="5"/>
  <c r="AP1066" i="5"/>
  <c r="AO1066" i="5"/>
  <c r="AN1066" i="5"/>
  <c r="AM1066" i="5"/>
  <c r="AL1066" i="5"/>
  <c r="AK1066" i="5"/>
  <c r="AJ1066" i="5"/>
  <c r="AS1065" i="5"/>
  <c r="AR1065" i="5"/>
  <c r="AQ1065" i="5"/>
  <c r="AP1065" i="5"/>
  <c r="AO1065" i="5"/>
  <c r="AN1065" i="5"/>
  <c r="AM1065" i="5"/>
  <c r="AL1065" i="5"/>
  <c r="AK1065" i="5"/>
  <c r="AJ1065" i="5"/>
  <c r="AS1064" i="5"/>
  <c r="AR1064" i="5"/>
  <c r="AQ1064" i="5"/>
  <c r="AP1064" i="5"/>
  <c r="AO1064" i="5"/>
  <c r="AN1064" i="5"/>
  <c r="AM1064" i="5"/>
  <c r="AL1064" i="5"/>
  <c r="AK1064" i="5"/>
  <c r="AJ1064" i="5"/>
  <c r="AS1063" i="5"/>
  <c r="AR1063" i="5"/>
  <c r="AQ1063" i="5"/>
  <c r="AP1063" i="5"/>
  <c r="AO1063" i="5"/>
  <c r="AN1063" i="5"/>
  <c r="AM1063" i="5"/>
  <c r="AL1063" i="5"/>
  <c r="AK1063" i="5"/>
  <c r="AJ1063" i="5"/>
  <c r="AS1062" i="5"/>
  <c r="AR1062" i="5"/>
  <c r="AQ1062" i="5"/>
  <c r="AP1062" i="5"/>
  <c r="AO1062" i="5"/>
  <c r="AN1062" i="5"/>
  <c r="AM1062" i="5"/>
  <c r="AL1062" i="5"/>
  <c r="AK1062" i="5"/>
  <c r="AJ1062" i="5"/>
  <c r="AS1061" i="5"/>
  <c r="AR1061" i="5"/>
  <c r="AQ1061" i="5"/>
  <c r="AP1061" i="5"/>
  <c r="AO1061" i="5"/>
  <c r="AN1061" i="5"/>
  <c r="AM1061" i="5"/>
  <c r="AL1061" i="5"/>
  <c r="AK1061" i="5"/>
  <c r="AJ1061" i="5"/>
  <c r="AS1060" i="5"/>
  <c r="AR1060" i="5"/>
  <c r="AQ1060" i="5"/>
  <c r="AP1060" i="5"/>
  <c r="AO1060" i="5"/>
  <c r="AN1060" i="5"/>
  <c r="AM1060" i="5"/>
  <c r="AL1060" i="5"/>
  <c r="AK1060" i="5"/>
  <c r="AJ1060" i="5"/>
  <c r="AS1059" i="5"/>
  <c r="AR1059" i="5"/>
  <c r="AQ1059" i="5"/>
  <c r="AP1059" i="5"/>
  <c r="AO1059" i="5"/>
  <c r="AN1059" i="5"/>
  <c r="AM1059" i="5"/>
  <c r="AL1059" i="5"/>
  <c r="AK1059" i="5"/>
  <c r="AJ1059" i="5"/>
  <c r="AS1058" i="5"/>
  <c r="AR1058" i="5"/>
  <c r="AQ1058" i="5"/>
  <c r="AP1058" i="5"/>
  <c r="AO1058" i="5"/>
  <c r="AN1058" i="5"/>
  <c r="AM1058" i="5"/>
  <c r="AL1058" i="5"/>
  <c r="AK1058" i="5"/>
  <c r="AJ1058" i="5"/>
  <c r="AS1057" i="5"/>
  <c r="AR1057" i="5"/>
  <c r="AQ1057" i="5"/>
  <c r="AP1057" i="5"/>
  <c r="AO1057" i="5"/>
  <c r="AN1057" i="5"/>
  <c r="AM1057" i="5"/>
  <c r="AL1057" i="5"/>
  <c r="AK1057" i="5"/>
  <c r="AJ1057" i="5"/>
  <c r="AS1056" i="5"/>
  <c r="AR1056" i="5"/>
  <c r="AQ1056" i="5"/>
  <c r="AP1056" i="5"/>
  <c r="AO1056" i="5"/>
  <c r="AN1056" i="5"/>
  <c r="AM1056" i="5"/>
  <c r="AL1056" i="5"/>
  <c r="AK1056" i="5"/>
  <c r="AJ1056" i="5"/>
  <c r="AS1055" i="5"/>
  <c r="AR1055" i="5"/>
  <c r="AQ1055" i="5"/>
  <c r="AP1055" i="5"/>
  <c r="AO1055" i="5"/>
  <c r="AN1055" i="5"/>
  <c r="AM1055" i="5"/>
  <c r="AL1055" i="5"/>
  <c r="AK1055" i="5"/>
  <c r="AJ1055" i="5"/>
  <c r="AS1054" i="5"/>
  <c r="AR1054" i="5"/>
  <c r="AQ1054" i="5"/>
  <c r="AP1054" i="5"/>
  <c r="AO1054" i="5"/>
  <c r="AN1054" i="5"/>
  <c r="AM1054" i="5"/>
  <c r="AL1054" i="5"/>
  <c r="AK1054" i="5"/>
  <c r="AJ1054" i="5"/>
  <c r="AS1053" i="5"/>
  <c r="AR1053" i="5"/>
  <c r="AQ1053" i="5"/>
  <c r="AP1053" i="5"/>
  <c r="AO1053" i="5"/>
  <c r="AN1053" i="5"/>
  <c r="AM1053" i="5"/>
  <c r="AL1053" i="5"/>
  <c r="AK1053" i="5"/>
  <c r="AJ1053" i="5"/>
  <c r="AS1052" i="5"/>
  <c r="AR1052" i="5"/>
  <c r="AQ1052" i="5"/>
  <c r="AP1052" i="5"/>
  <c r="AO1052" i="5"/>
  <c r="AN1052" i="5"/>
  <c r="AM1052" i="5"/>
  <c r="AL1052" i="5"/>
  <c r="AK1052" i="5"/>
  <c r="AJ1052" i="5"/>
  <c r="AS1051" i="5"/>
  <c r="AR1051" i="5"/>
  <c r="AQ1051" i="5"/>
  <c r="AP1051" i="5"/>
  <c r="AO1051" i="5"/>
  <c r="AN1051" i="5"/>
  <c r="AM1051" i="5"/>
  <c r="AL1051" i="5"/>
  <c r="AK1051" i="5"/>
  <c r="AJ1051" i="5"/>
  <c r="AS1050" i="5"/>
  <c r="AR1050" i="5"/>
  <c r="AQ1050" i="5"/>
  <c r="AP1050" i="5"/>
  <c r="AO1050" i="5"/>
  <c r="AN1050" i="5"/>
  <c r="AM1050" i="5"/>
  <c r="AL1050" i="5"/>
  <c r="AK1050" i="5"/>
  <c r="AJ1050" i="5"/>
  <c r="AS1049" i="5"/>
  <c r="AR1049" i="5"/>
  <c r="AQ1049" i="5"/>
  <c r="AP1049" i="5"/>
  <c r="AO1049" i="5"/>
  <c r="AN1049" i="5"/>
  <c r="AM1049" i="5"/>
  <c r="AL1049" i="5"/>
  <c r="AK1049" i="5"/>
  <c r="AJ1049" i="5"/>
  <c r="AS1048" i="5"/>
  <c r="AR1048" i="5"/>
  <c r="AQ1048" i="5"/>
  <c r="AP1048" i="5"/>
  <c r="AO1048" i="5"/>
  <c r="AN1048" i="5"/>
  <c r="AM1048" i="5"/>
  <c r="AL1048" i="5"/>
  <c r="AK1048" i="5"/>
  <c r="AJ1048" i="5"/>
  <c r="AS1047" i="5"/>
  <c r="AR1047" i="5"/>
  <c r="AQ1047" i="5"/>
  <c r="AP1047" i="5"/>
  <c r="AO1047" i="5"/>
  <c r="AN1047" i="5"/>
  <c r="AM1047" i="5"/>
  <c r="AL1047" i="5"/>
  <c r="AK1047" i="5"/>
  <c r="AJ1047" i="5"/>
  <c r="AS1046" i="5"/>
  <c r="AR1046" i="5"/>
  <c r="AQ1046" i="5"/>
  <c r="AP1046" i="5"/>
  <c r="AO1046" i="5"/>
  <c r="AN1046" i="5"/>
  <c r="AM1046" i="5"/>
  <c r="AL1046" i="5"/>
  <c r="AK1046" i="5"/>
  <c r="AJ1046" i="5"/>
  <c r="AS1045" i="5"/>
  <c r="AR1045" i="5"/>
  <c r="AQ1045" i="5"/>
  <c r="AP1045" i="5"/>
  <c r="AO1045" i="5"/>
  <c r="AN1045" i="5"/>
  <c r="AM1045" i="5"/>
  <c r="AL1045" i="5"/>
  <c r="AK1045" i="5"/>
  <c r="AJ1045" i="5"/>
  <c r="AS1044" i="5"/>
  <c r="AR1044" i="5"/>
  <c r="AQ1044" i="5"/>
  <c r="AP1044" i="5"/>
  <c r="AO1044" i="5"/>
  <c r="AN1044" i="5"/>
  <c r="AM1044" i="5"/>
  <c r="AL1044" i="5"/>
  <c r="AK1044" i="5"/>
  <c r="AJ1044" i="5"/>
  <c r="AS1043" i="5"/>
  <c r="AR1043" i="5"/>
  <c r="AQ1043" i="5"/>
  <c r="AP1043" i="5"/>
  <c r="AO1043" i="5"/>
  <c r="AN1043" i="5"/>
  <c r="AM1043" i="5"/>
  <c r="AL1043" i="5"/>
  <c r="AK1043" i="5"/>
  <c r="AJ1043" i="5"/>
  <c r="AS1042" i="5"/>
  <c r="AR1042" i="5"/>
  <c r="AQ1042" i="5"/>
  <c r="AP1042" i="5"/>
  <c r="AO1042" i="5"/>
  <c r="AN1042" i="5"/>
  <c r="AM1042" i="5"/>
  <c r="AL1042" i="5"/>
  <c r="AK1042" i="5"/>
  <c r="AJ1042" i="5"/>
  <c r="AS1041" i="5"/>
  <c r="AR1041" i="5"/>
  <c r="AQ1041" i="5"/>
  <c r="AP1041" i="5"/>
  <c r="AO1041" i="5"/>
  <c r="AN1041" i="5"/>
  <c r="AM1041" i="5"/>
  <c r="AL1041" i="5"/>
  <c r="AK1041" i="5"/>
  <c r="AJ1041" i="5"/>
  <c r="AS1040" i="5"/>
  <c r="AR1040" i="5"/>
  <c r="AQ1040" i="5"/>
  <c r="AP1040" i="5"/>
  <c r="AO1040" i="5"/>
  <c r="AN1040" i="5"/>
  <c r="AM1040" i="5"/>
  <c r="AL1040" i="5"/>
  <c r="AK1040" i="5"/>
  <c r="AJ1040" i="5"/>
  <c r="AS1039" i="5"/>
  <c r="AR1039" i="5"/>
  <c r="AQ1039" i="5"/>
  <c r="AP1039" i="5"/>
  <c r="AO1039" i="5"/>
  <c r="AN1039" i="5"/>
  <c r="AM1039" i="5"/>
  <c r="AL1039" i="5"/>
  <c r="AK1039" i="5"/>
  <c r="AJ1039" i="5"/>
  <c r="AS1038" i="5"/>
  <c r="AR1038" i="5"/>
  <c r="AQ1038" i="5"/>
  <c r="AP1038" i="5"/>
  <c r="AO1038" i="5"/>
  <c r="AN1038" i="5"/>
  <c r="AM1038" i="5"/>
  <c r="AL1038" i="5"/>
  <c r="AK1038" i="5"/>
  <c r="AJ1038" i="5"/>
  <c r="AS1037" i="5"/>
  <c r="AR1037" i="5"/>
  <c r="AQ1037" i="5"/>
  <c r="AP1037" i="5"/>
  <c r="AO1037" i="5"/>
  <c r="AN1037" i="5"/>
  <c r="AM1037" i="5"/>
  <c r="AL1037" i="5"/>
  <c r="AK1037" i="5"/>
  <c r="AJ1037" i="5"/>
  <c r="AS1036" i="5"/>
  <c r="AR1036" i="5"/>
  <c r="AQ1036" i="5"/>
  <c r="AP1036" i="5"/>
  <c r="AO1036" i="5"/>
  <c r="AN1036" i="5"/>
  <c r="AM1036" i="5"/>
  <c r="AL1036" i="5"/>
  <c r="AK1036" i="5"/>
  <c r="AJ1036" i="5"/>
  <c r="AS1035" i="5"/>
  <c r="AR1035" i="5"/>
  <c r="AQ1035" i="5"/>
  <c r="AP1035" i="5"/>
  <c r="AO1035" i="5"/>
  <c r="AN1035" i="5"/>
  <c r="AM1035" i="5"/>
  <c r="AL1035" i="5"/>
  <c r="AK1035" i="5"/>
  <c r="AJ1035" i="5"/>
  <c r="AS1034" i="5"/>
  <c r="AR1034" i="5"/>
  <c r="AQ1034" i="5"/>
  <c r="AP1034" i="5"/>
  <c r="AO1034" i="5"/>
  <c r="AN1034" i="5"/>
  <c r="AM1034" i="5"/>
  <c r="AL1034" i="5"/>
  <c r="AK1034" i="5"/>
  <c r="AJ1034" i="5"/>
  <c r="AS1033" i="5"/>
  <c r="AR1033" i="5"/>
  <c r="AQ1033" i="5"/>
  <c r="AP1033" i="5"/>
  <c r="AO1033" i="5"/>
  <c r="AN1033" i="5"/>
  <c r="AM1033" i="5"/>
  <c r="AL1033" i="5"/>
  <c r="AK1033" i="5"/>
  <c r="AJ1033" i="5"/>
  <c r="AS1032" i="5"/>
  <c r="AR1032" i="5"/>
  <c r="AQ1032" i="5"/>
  <c r="AP1032" i="5"/>
  <c r="AO1032" i="5"/>
  <c r="AN1032" i="5"/>
  <c r="AM1032" i="5"/>
  <c r="AL1032" i="5"/>
  <c r="AK1032" i="5"/>
  <c r="AJ1032" i="5"/>
  <c r="AS1031" i="5"/>
  <c r="AR1031" i="5"/>
  <c r="AQ1031" i="5"/>
  <c r="AP1031" i="5"/>
  <c r="AO1031" i="5"/>
  <c r="AN1031" i="5"/>
  <c r="AM1031" i="5"/>
  <c r="AL1031" i="5"/>
  <c r="AK1031" i="5"/>
  <c r="AJ1031" i="5"/>
  <c r="AS1030" i="5"/>
  <c r="AR1030" i="5"/>
  <c r="AQ1030" i="5"/>
  <c r="AP1030" i="5"/>
  <c r="AO1030" i="5"/>
  <c r="AN1030" i="5"/>
  <c r="AM1030" i="5"/>
  <c r="AL1030" i="5"/>
  <c r="AK1030" i="5"/>
  <c r="AJ1030" i="5"/>
  <c r="AS1029" i="5"/>
  <c r="AR1029" i="5"/>
  <c r="AQ1029" i="5"/>
  <c r="AP1029" i="5"/>
  <c r="AO1029" i="5"/>
  <c r="AN1029" i="5"/>
  <c r="AM1029" i="5"/>
  <c r="AL1029" i="5"/>
  <c r="AK1029" i="5"/>
  <c r="AJ1029" i="5"/>
  <c r="AS1028" i="5"/>
  <c r="AR1028" i="5"/>
  <c r="AQ1028" i="5"/>
  <c r="AP1028" i="5"/>
  <c r="AO1028" i="5"/>
  <c r="AN1028" i="5"/>
  <c r="AM1028" i="5"/>
  <c r="AL1028" i="5"/>
  <c r="AK1028" i="5"/>
  <c r="AJ1028" i="5"/>
  <c r="AS1027" i="5"/>
  <c r="AR1027" i="5"/>
  <c r="AQ1027" i="5"/>
  <c r="AP1027" i="5"/>
  <c r="AO1027" i="5"/>
  <c r="AN1027" i="5"/>
  <c r="AM1027" i="5"/>
  <c r="AL1027" i="5"/>
  <c r="AK1027" i="5"/>
  <c r="AJ1027" i="5"/>
  <c r="AS1026" i="5"/>
  <c r="AR1026" i="5"/>
  <c r="AQ1026" i="5"/>
  <c r="AP1026" i="5"/>
  <c r="AO1026" i="5"/>
  <c r="AN1026" i="5"/>
  <c r="AM1026" i="5"/>
  <c r="AL1026" i="5"/>
  <c r="AK1026" i="5"/>
  <c r="AJ1026" i="5"/>
  <c r="AS1025" i="5"/>
  <c r="AR1025" i="5"/>
  <c r="AQ1025" i="5"/>
  <c r="AP1025" i="5"/>
  <c r="AO1025" i="5"/>
  <c r="AN1025" i="5"/>
  <c r="AM1025" i="5"/>
  <c r="AL1025" i="5"/>
  <c r="AK1025" i="5"/>
  <c r="AJ1025" i="5"/>
  <c r="AS1024" i="5"/>
  <c r="AR1024" i="5"/>
  <c r="AQ1024" i="5"/>
  <c r="AP1024" i="5"/>
  <c r="AO1024" i="5"/>
  <c r="AN1024" i="5"/>
  <c r="AM1024" i="5"/>
  <c r="AL1024" i="5"/>
  <c r="AK1024" i="5"/>
  <c r="AJ1024" i="5"/>
  <c r="AS1023" i="5"/>
  <c r="AR1023" i="5"/>
  <c r="AQ1023" i="5"/>
  <c r="AP1023" i="5"/>
  <c r="AO1023" i="5"/>
  <c r="AN1023" i="5"/>
  <c r="AM1023" i="5"/>
  <c r="AL1023" i="5"/>
  <c r="AK1023" i="5"/>
  <c r="AJ1023" i="5"/>
  <c r="AS1022" i="5"/>
  <c r="AR1022" i="5"/>
  <c r="AQ1022" i="5"/>
  <c r="AP1022" i="5"/>
  <c r="AO1022" i="5"/>
  <c r="AN1022" i="5"/>
  <c r="AM1022" i="5"/>
  <c r="AL1022" i="5"/>
  <c r="AK1022" i="5"/>
  <c r="AJ1022" i="5"/>
  <c r="AS1021" i="5"/>
  <c r="AR1021" i="5"/>
  <c r="AQ1021" i="5"/>
  <c r="AP1021" i="5"/>
  <c r="AO1021" i="5"/>
  <c r="AN1021" i="5"/>
  <c r="AM1021" i="5"/>
  <c r="AL1021" i="5"/>
  <c r="AK1021" i="5"/>
  <c r="AJ1021" i="5"/>
  <c r="AS1020" i="5"/>
  <c r="AR1020" i="5"/>
  <c r="AQ1020" i="5"/>
  <c r="AP1020" i="5"/>
  <c r="AO1020" i="5"/>
  <c r="AN1020" i="5"/>
  <c r="AM1020" i="5"/>
  <c r="AL1020" i="5"/>
  <c r="AK1020" i="5"/>
  <c r="AJ1020" i="5"/>
  <c r="AS1019" i="5"/>
  <c r="AR1019" i="5"/>
  <c r="AQ1019" i="5"/>
  <c r="AP1019" i="5"/>
  <c r="AO1019" i="5"/>
  <c r="AN1019" i="5"/>
  <c r="AM1019" i="5"/>
  <c r="AL1019" i="5"/>
  <c r="AK1019" i="5"/>
  <c r="AJ1019" i="5"/>
  <c r="AS1018" i="5"/>
  <c r="AR1018" i="5"/>
  <c r="AQ1018" i="5"/>
  <c r="AP1018" i="5"/>
  <c r="AO1018" i="5"/>
  <c r="AN1018" i="5"/>
  <c r="AM1018" i="5"/>
  <c r="AL1018" i="5"/>
  <c r="AK1018" i="5"/>
  <c r="AJ1018" i="5"/>
  <c r="AS1017" i="5"/>
  <c r="AR1017" i="5"/>
  <c r="AQ1017" i="5"/>
  <c r="AP1017" i="5"/>
  <c r="AO1017" i="5"/>
  <c r="AN1017" i="5"/>
  <c r="AM1017" i="5"/>
  <c r="AL1017" i="5"/>
  <c r="AK1017" i="5"/>
  <c r="AJ1017" i="5"/>
  <c r="AS1016" i="5"/>
  <c r="AR1016" i="5"/>
  <c r="AQ1016" i="5"/>
  <c r="AP1016" i="5"/>
  <c r="AO1016" i="5"/>
  <c r="AN1016" i="5"/>
  <c r="AM1016" i="5"/>
  <c r="AL1016" i="5"/>
  <c r="AK1016" i="5"/>
  <c r="AJ1016" i="5"/>
  <c r="AS1015" i="5"/>
  <c r="AR1015" i="5"/>
  <c r="AQ1015" i="5"/>
  <c r="AP1015" i="5"/>
  <c r="AO1015" i="5"/>
  <c r="AN1015" i="5"/>
  <c r="AM1015" i="5"/>
  <c r="AL1015" i="5"/>
  <c r="AK1015" i="5"/>
  <c r="AJ1015" i="5"/>
  <c r="AS1014" i="5"/>
  <c r="AR1014" i="5"/>
  <c r="AQ1014" i="5"/>
  <c r="AP1014" i="5"/>
  <c r="AO1014" i="5"/>
  <c r="AN1014" i="5"/>
  <c r="AM1014" i="5"/>
  <c r="AL1014" i="5"/>
  <c r="AK1014" i="5"/>
  <c r="AJ1014" i="5"/>
  <c r="AS1013" i="5"/>
  <c r="AR1013" i="5"/>
  <c r="AQ1013" i="5"/>
  <c r="AP1013" i="5"/>
  <c r="AO1013" i="5"/>
  <c r="AN1013" i="5"/>
  <c r="AM1013" i="5"/>
  <c r="AL1013" i="5"/>
  <c r="AK1013" i="5"/>
  <c r="AJ1013" i="5"/>
  <c r="AS1012" i="5"/>
  <c r="AR1012" i="5"/>
  <c r="AQ1012" i="5"/>
  <c r="AP1012" i="5"/>
  <c r="AO1012" i="5"/>
  <c r="AN1012" i="5"/>
  <c r="AM1012" i="5"/>
  <c r="AL1012" i="5"/>
  <c r="AK1012" i="5"/>
  <c r="AJ1012" i="5"/>
  <c r="AS1011" i="5"/>
  <c r="AR1011" i="5"/>
  <c r="AQ1011" i="5"/>
  <c r="AP1011" i="5"/>
  <c r="AO1011" i="5"/>
  <c r="AN1011" i="5"/>
  <c r="AM1011" i="5"/>
  <c r="AL1011" i="5"/>
  <c r="AK1011" i="5"/>
  <c r="AJ1011" i="5"/>
  <c r="AS1010" i="5"/>
  <c r="AR1010" i="5"/>
  <c r="AQ1010" i="5"/>
  <c r="AP1010" i="5"/>
  <c r="AO1010" i="5"/>
  <c r="AN1010" i="5"/>
  <c r="AM1010" i="5"/>
  <c r="AL1010" i="5"/>
  <c r="AK1010" i="5"/>
  <c r="AJ1010" i="5"/>
  <c r="AS1009" i="5"/>
  <c r="AR1009" i="5"/>
  <c r="AQ1009" i="5"/>
  <c r="AP1009" i="5"/>
  <c r="AO1009" i="5"/>
  <c r="AN1009" i="5"/>
  <c r="AM1009" i="5"/>
  <c r="AL1009" i="5"/>
  <c r="AK1009" i="5"/>
  <c r="AJ1009" i="5"/>
  <c r="AS1008" i="5"/>
  <c r="AR1008" i="5"/>
  <c r="AQ1008" i="5"/>
  <c r="AP1008" i="5"/>
  <c r="AO1008" i="5"/>
  <c r="AN1008" i="5"/>
  <c r="AM1008" i="5"/>
  <c r="AL1008" i="5"/>
  <c r="AK1008" i="5"/>
  <c r="AJ1008" i="5"/>
  <c r="AS1007" i="5"/>
  <c r="AR1007" i="5"/>
  <c r="AQ1007" i="5"/>
  <c r="AP1007" i="5"/>
  <c r="AO1007" i="5"/>
  <c r="AN1007" i="5"/>
  <c r="AM1007" i="5"/>
  <c r="AL1007" i="5"/>
  <c r="AK1007" i="5"/>
  <c r="AJ1007" i="5"/>
  <c r="AS1006" i="5"/>
  <c r="AR1006" i="5"/>
  <c r="AQ1006" i="5"/>
  <c r="AP1006" i="5"/>
  <c r="AO1006" i="5"/>
  <c r="AN1006" i="5"/>
  <c r="AM1006" i="5"/>
  <c r="AL1006" i="5"/>
  <c r="AK1006" i="5"/>
  <c r="AJ1006" i="5"/>
  <c r="AS1005" i="5"/>
  <c r="AR1005" i="5"/>
  <c r="AQ1005" i="5"/>
  <c r="AP1005" i="5"/>
  <c r="AO1005" i="5"/>
  <c r="AN1005" i="5"/>
  <c r="AM1005" i="5"/>
  <c r="AL1005" i="5"/>
  <c r="AK1005" i="5"/>
  <c r="AJ1005" i="5"/>
  <c r="AS1004" i="5"/>
  <c r="AR1004" i="5"/>
  <c r="AQ1004" i="5"/>
  <c r="AP1004" i="5"/>
  <c r="AO1004" i="5"/>
  <c r="AN1004" i="5"/>
  <c r="AM1004" i="5"/>
  <c r="AL1004" i="5"/>
  <c r="AK1004" i="5"/>
  <c r="AJ1004" i="5"/>
  <c r="AS1003" i="5"/>
  <c r="AR1003" i="5"/>
  <c r="AQ1003" i="5"/>
  <c r="AP1003" i="5"/>
  <c r="AO1003" i="5"/>
  <c r="AN1003" i="5"/>
  <c r="AM1003" i="5"/>
  <c r="AL1003" i="5"/>
  <c r="AK1003" i="5"/>
  <c r="AJ1003" i="5"/>
  <c r="AS1002" i="5"/>
  <c r="AR1002" i="5"/>
  <c r="AQ1002" i="5"/>
  <c r="AP1002" i="5"/>
  <c r="AO1002" i="5"/>
  <c r="AN1002" i="5"/>
  <c r="AM1002" i="5"/>
  <c r="AL1002" i="5"/>
  <c r="AK1002" i="5"/>
  <c r="AJ1002" i="5"/>
  <c r="AS1001" i="5"/>
  <c r="AR1001" i="5"/>
  <c r="AQ1001" i="5"/>
  <c r="AP1001" i="5"/>
  <c r="AO1001" i="5"/>
  <c r="AN1001" i="5"/>
  <c r="AM1001" i="5"/>
  <c r="AL1001" i="5"/>
  <c r="AK1001" i="5"/>
  <c r="AJ1001" i="5"/>
  <c r="AS1000" i="5"/>
  <c r="AR1000" i="5"/>
  <c r="AQ1000" i="5"/>
  <c r="AP1000" i="5"/>
  <c r="AO1000" i="5"/>
  <c r="AN1000" i="5"/>
  <c r="AM1000" i="5"/>
  <c r="AL1000" i="5"/>
  <c r="AK1000" i="5"/>
  <c r="AJ1000" i="5"/>
  <c r="AS999" i="5"/>
  <c r="AR999" i="5"/>
  <c r="AQ999" i="5"/>
  <c r="AP999" i="5"/>
  <c r="AO999" i="5"/>
  <c r="AN999" i="5"/>
  <c r="AM999" i="5"/>
  <c r="AL999" i="5"/>
  <c r="AK999" i="5"/>
  <c r="AJ999" i="5"/>
  <c r="AS998" i="5"/>
  <c r="AR998" i="5"/>
  <c r="AQ998" i="5"/>
  <c r="AP998" i="5"/>
  <c r="AO998" i="5"/>
  <c r="AN998" i="5"/>
  <c r="AM998" i="5"/>
  <c r="AL998" i="5"/>
  <c r="AK998" i="5"/>
  <c r="AJ998" i="5"/>
  <c r="AS997" i="5"/>
  <c r="AR997" i="5"/>
  <c r="AQ997" i="5"/>
  <c r="AP997" i="5"/>
  <c r="AO997" i="5"/>
  <c r="AN997" i="5"/>
  <c r="AM997" i="5"/>
  <c r="AL997" i="5"/>
  <c r="AK997" i="5"/>
  <c r="AJ997" i="5"/>
  <c r="AS996" i="5"/>
  <c r="AR996" i="5"/>
  <c r="AQ996" i="5"/>
  <c r="AP996" i="5"/>
  <c r="AO996" i="5"/>
  <c r="AN996" i="5"/>
  <c r="AM996" i="5"/>
  <c r="AL996" i="5"/>
  <c r="AK996" i="5"/>
  <c r="AJ996" i="5"/>
  <c r="AS995" i="5"/>
  <c r="AR995" i="5"/>
  <c r="AQ995" i="5"/>
  <c r="AP995" i="5"/>
  <c r="AO995" i="5"/>
  <c r="AN995" i="5"/>
  <c r="AM995" i="5"/>
  <c r="AL995" i="5"/>
  <c r="AK995" i="5"/>
  <c r="AJ995" i="5"/>
  <c r="AS994" i="5"/>
  <c r="AR994" i="5"/>
  <c r="AQ994" i="5"/>
  <c r="AP994" i="5"/>
  <c r="AO994" i="5"/>
  <c r="AN994" i="5"/>
  <c r="AM994" i="5"/>
  <c r="AL994" i="5"/>
  <c r="AK994" i="5"/>
  <c r="AJ994" i="5"/>
  <c r="AS993" i="5"/>
  <c r="AR993" i="5"/>
  <c r="AQ993" i="5"/>
  <c r="AP993" i="5"/>
  <c r="AO993" i="5"/>
  <c r="AN993" i="5"/>
  <c r="AM993" i="5"/>
  <c r="AL993" i="5"/>
  <c r="AK993" i="5"/>
  <c r="AJ993" i="5"/>
  <c r="AS992" i="5"/>
  <c r="AR992" i="5"/>
  <c r="AQ992" i="5"/>
  <c r="AP992" i="5"/>
  <c r="AO992" i="5"/>
  <c r="AN992" i="5"/>
  <c r="AM992" i="5"/>
  <c r="AL992" i="5"/>
  <c r="AK992" i="5"/>
  <c r="AJ992" i="5"/>
  <c r="AS991" i="5"/>
  <c r="AR991" i="5"/>
  <c r="AQ991" i="5"/>
  <c r="AP991" i="5"/>
  <c r="AO991" i="5"/>
  <c r="AN991" i="5"/>
  <c r="AM991" i="5"/>
  <c r="AL991" i="5"/>
  <c r="AK991" i="5"/>
  <c r="AJ991" i="5"/>
  <c r="AS990" i="5"/>
  <c r="AR990" i="5"/>
  <c r="AQ990" i="5"/>
  <c r="AP990" i="5"/>
  <c r="AO990" i="5"/>
  <c r="AN990" i="5"/>
  <c r="AM990" i="5"/>
  <c r="AL990" i="5"/>
  <c r="AK990" i="5"/>
  <c r="AJ990" i="5"/>
  <c r="AS989" i="5"/>
  <c r="AR989" i="5"/>
  <c r="AQ989" i="5"/>
  <c r="AP989" i="5"/>
  <c r="AO989" i="5"/>
  <c r="AN989" i="5"/>
  <c r="AM989" i="5"/>
  <c r="AL989" i="5"/>
  <c r="AK989" i="5"/>
  <c r="AJ989" i="5"/>
  <c r="AS988" i="5"/>
  <c r="AR988" i="5"/>
  <c r="AQ988" i="5"/>
  <c r="AP988" i="5"/>
  <c r="AO988" i="5"/>
  <c r="AN988" i="5"/>
  <c r="AM988" i="5"/>
  <c r="AL988" i="5"/>
  <c r="AK988" i="5"/>
  <c r="AJ988" i="5"/>
  <c r="AS987" i="5"/>
  <c r="AR987" i="5"/>
  <c r="AQ987" i="5"/>
  <c r="AP987" i="5"/>
  <c r="AO987" i="5"/>
  <c r="AN987" i="5"/>
  <c r="AM987" i="5"/>
  <c r="AL987" i="5"/>
  <c r="AK987" i="5"/>
  <c r="AJ987" i="5"/>
  <c r="AS986" i="5"/>
  <c r="AR986" i="5"/>
  <c r="AQ986" i="5"/>
  <c r="AP986" i="5"/>
  <c r="AO986" i="5"/>
  <c r="AN986" i="5"/>
  <c r="AM986" i="5"/>
  <c r="AL986" i="5"/>
  <c r="AK986" i="5"/>
  <c r="AJ986" i="5"/>
  <c r="AS985" i="5"/>
  <c r="AR985" i="5"/>
  <c r="AQ985" i="5"/>
  <c r="AP985" i="5"/>
  <c r="AO985" i="5"/>
  <c r="AN985" i="5"/>
  <c r="AM985" i="5"/>
  <c r="AL985" i="5"/>
  <c r="AK985" i="5"/>
  <c r="AJ985" i="5"/>
  <c r="AS984" i="5"/>
  <c r="AR984" i="5"/>
  <c r="AQ984" i="5"/>
  <c r="AP984" i="5"/>
  <c r="AO984" i="5"/>
  <c r="AN984" i="5"/>
  <c r="AM984" i="5"/>
  <c r="AL984" i="5"/>
  <c r="AK984" i="5"/>
  <c r="AJ984" i="5"/>
  <c r="AS983" i="5"/>
  <c r="AR983" i="5"/>
  <c r="AQ983" i="5"/>
  <c r="AP983" i="5"/>
  <c r="AO983" i="5"/>
  <c r="AN983" i="5"/>
  <c r="AM983" i="5"/>
  <c r="AL983" i="5"/>
  <c r="AK983" i="5"/>
  <c r="AJ983" i="5"/>
  <c r="AS982" i="5"/>
  <c r="AR982" i="5"/>
  <c r="AQ982" i="5"/>
  <c r="AP982" i="5"/>
  <c r="AO982" i="5"/>
  <c r="AN982" i="5"/>
  <c r="AM982" i="5"/>
  <c r="AL982" i="5"/>
  <c r="AK982" i="5"/>
  <c r="AJ982" i="5"/>
  <c r="AS981" i="5"/>
  <c r="AR981" i="5"/>
  <c r="AQ981" i="5"/>
  <c r="AP981" i="5"/>
  <c r="AO981" i="5"/>
  <c r="AN981" i="5"/>
  <c r="AM981" i="5"/>
  <c r="AL981" i="5"/>
  <c r="AK981" i="5"/>
  <c r="AJ981" i="5"/>
  <c r="AS980" i="5"/>
  <c r="AR980" i="5"/>
  <c r="AQ980" i="5"/>
  <c r="AP980" i="5"/>
  <c r="AO980" i="5"/>
  <c r="AN980" i="5"/>
  <c r="AM980" i="5"/>
  <c r="AL980" i="5"/>
  <c r="AK980" i="5"/>
  <c r="AJ980" i="5"/>
  <c r="AS979" i="5"/>
  <c r="AR979" i="5"/>
  <c r="AQ979" i="5"/>
  <c r="AP979" i="5"/>
  <c r="AO979" i="5"/>
  <c r="AN979" i="5"/>
  <c r="AM979" i="5"/>
  <c r="AL979" i="5"/>
  <c r="AK979" i="5"/>
  <c r="AJ979" i="5"/>
  <c r="AS978" i="5"/>
  <c r="AR978" i="5"/>
  <c r="AQ978" i="5"/>
  <c r="AP978" i="5"/>
  <c r="AO978" i="5"/>
  <c r="AN978" i="5"/>
  <c r="AM978" i="5"/>
  <c r="AL978" i="5"/>
  <c r="AK978" i="5"/>
  <c r="AJ978" i="5"/>
  <c r="AS977" i="5"/>
  <c r="AR977" i="5"/>
  <c r="AQ977" i="5"/>
  <c r="AP977" i="5"/>
  <c r="AO977" i="5"/>
  <c r="AN977" i="5"/>
  <c r="AM977" i="5"/>
  <c r="AL977" i="5"/>
  <c r="AK977" i="5"/>
  <c r="AJ977" i="5"/>
  <c r="AS976" i="5"/>
  <c r="AR976" i="5"/>
  <c r="AQ976" i="5"/>
  <c r="AP976" i="5"/>
  <c r="AO976" i="5"/>
  <c r="AN976" i="5"/>
  <c r="AM976" i="5"/>
  <c r="AL976" i="5"/>
  <c r="AK976" i="5"/>
  <c r="AJ976" i="5"/>
  <c r="AS975" i="5"/>
  <c r="AR975" i="5"/>
  <c r="AQ975" i="5"/>
  <c r="AP975" i="5"/>
  <c r="AO975" i="5"/>
  <c r="AN975" i="5"/>
  <c r="AM975" i="5"/>
  <c r="AL975" i="5"/>
  <c r="AK975" i="5"/>
  <c r="AJ975" i="5"/>
  <c r="AS974" i="5"/>
  <c r="AR974" i="5"/>
  <c r="AQ974" i="5"/>
  <c r="AP974" i="5"/>
  <c r="AO974" i="5"/>
  <c r="AN974" i="5"/>
  <c r="AM974" i="5"/>
  <c r="AL974" i="5"/>
  <c r="AK974" i="5"/>
  <c r="AJ974" i="5"/>
  <c r="AS973" i="5"/>
  <c r="AR973" i="5"/>
  <c r="AQ973" i="5"/>
  <c r="AP973" i="5"/>
  <c r="AO973" i="5"/>
  <c r="AN973" i="5"/>
  <c r="AM973" i="5"/>
  <c r="AL973" i="5"/>
  <c r="AK973" i="5"/>
  <c r="AJ973" i="5"/>
  <c r="AS972" i="5"/>
  <c r="AR972" i="5"/>
  <c r="AQ972" i="5"/>
  <c r="AP972" i="5"/>
  <c r="AO972" i="5"/>
  <c r="AN972" i="5"/>
  <c r="AM972" i="5"/>
  <c r="AL972" i="5"/>
  <c r="AK972" i="5"/>
  <c r="AJ972" i="5"/>
  <c r="AS971" i="5"/>
  <c r="AR971" i="5"/>
  <c r="AQ971" i="5"/>
  <c r="AP971" i="5"/>
  <c r="AO971" i="5"/>
  <c r="AN971" i="5"/>
  <c r="AM971" i="5"/>
  <c r="AL971" i="5"/>
  <c r="AK971" i="5"/>
  <c r="AJ971" i="5"/>
  <c r="AS970" i="5"/>
  <c r="AR970" i="5"/>
  <c r="AQ970" i="5"/>
  <c r="AP970" i="5"/>
  <c r="AO970" i="5"/>
  <c r="AN970" i="5"/>
  <c r="AM970" i="5"/>
  <c r="AL970" i="5"/>
  <c r="AK970" i="5"/>
  <c r="AJ970" i="5"/>
  <c r="AS969" i="5"/>
  <c r="AR969" i="5"/>
  <c r="AQ969" i="5"/>
  <c r="AP969" i="5"/>
  <c r="AO969" i="5"/>
  <c r="AN969" i="5"/>
  <c r="AM969" i="5"/>
  <c r="AL969" i="5"/>
  <c r="AK969" i="5"/>
  <c r="AJ969" i="5"/>
  <c r="AS968" i="5"/>
  <c r="AR968" i="5"/>
  <c r="AQ968" i="5"/>
  <c r="AP968" i="5"/>
  <c r="AO968" i="5"/>
  <c r="AN968" i="5"/>
  <c r="AM968" i="5"/>
  <c r="AL968" i="5"/>
  <c r="AK968" i="5"/>
  <c r="AJ968" i="5"/>
  <c r="AS967" i="5"/>
  <c r="AR967" i="5"/>
  <c r="AQ967" i="5"/>
  <c r="AP967" i="5"/>
  <c r="AO967" i="5"/>
  <c r="AN967" i="5"/>
  <c r="AM967" i="5"/>
  <c r="AL967" i="5"/>
  <c r="AK967" i="5"/>
  <c r="AJ967" i="5"/>
  <c r="AS966" i="5"/>
  <c r="AR966" i="5"/>
  <c r="AQ966" i="5"/>
  <c r="AP966" i="5"/>
  <c r="AO966" i="5"/>
  <c r="AN966" i="5"/>
  <c r="AM966" i="5"/>
  <c r="AL966" i="5"/>
  <c r="AK966" i="5"/>
  <c r="AJ966" i="5"/>
  <c r="AS965" i="5"/>
  <c r="AR965" i="5"/>
  <c r="AQ965" i="5"/>
  <c r="AP965" i="5"/>
  <c r="AO965" i="5"/>
  <c r="AN965" i="5"/>
  <c r="AM965" i="5"/>
  <c r="AL965" i="5"/>
  <c r="AK965" i="5"/>
  <c r="AJ965" i="5"/>
  <c r="AS964" i="5"/>
  <c r="AR964" i="5"/>
  <c r="AQ964" i="5"/>
  <c r="AP964" i="5"/>
  <c r="AO964" i="5"/>
  <c r="AN964" i="5"/>
  <c r="AM964" i="5"/>
  <c r="AL964" i="5"/>
  <c r="AK964" i="5"/>
  <c r="AJ964" i="5"/>
  <c r="AS963" i="5"/>
  <c r="AR963" i="5"/>
  <c r="AQ963" i="5"/>
  <c r="AP963" i="5"/>
  <c r="AO963" i="5"/>
  <c r="AN963" i="5"/>
  <c r="AM963" i="5"/>
  <c r="AL963" i="5"/>
  <c r="AK963" i="5"/>
  <c r="AJ963" i="5"/>
  <c r="AS962" i="5"/>
  <c r="AR962" i="5"/>
  <c r="AQ962" i="5"/>
  <c r="AP962" i="5"/>
  <c r="AO962" i="5"/>
  <c r="AN962" i="5"/>
  <c r="AM962" i="5"/>
  <c r="AL962" i="5"/>
  <c r="AK962" i="5"/>
  <c r="AJ962" i="5"/>
  <c r="AS961" i="5"/>
  <c r="AR961" i="5"/>
  <c r="AQ961" i="5"/>
  <c r="AP961" i="5"/>
  <c r="AO961" i="5"/>
  <c r="AN961" i="5"/>
  <c r="AM961" i="5"/>
  <c r="AL961" i="5"/>
  <c r="AK961" i="5"/>
  <c r="AJ961" i="5"/>
  <c r="AS960" i="5"/>
  <c r="AR960" i="5"/>
  <c r="AQ960" i="5"/>
  <c r="AP960" i="5"/>
  <c r="AO960" i="5"/>
  <c r="AN960" i="5"/>
  <c r="AM960" i="5"/>
  <c r="AL960" i="5"/>
  <c r="AK960" i="5"/>
  <c r="AJ960" i="5"/>
  <c r="AS959" i="5"/>
  <c r="AR959" i="5"/>
  <c r="AQ959" i="5"/>
  <c r="AP959" i="5"/>
  <c r="AO959" i="5"/>
  <c r="AN959" i="5"/>
  <c r="AM959" i="5"/>
  <c r="AL959" i="5"/>
  <c r="AK959" i="5"/>
  <c r="AJ959" i="5"/>
  <c r="AS958" i="5"/>
  <c r="AR958" i="5"/>
  <c r="AQ958" i="5"/>
  <c r="AP958" i="5"/>
  <c r="AO958" i="5"/>
  <c r="AN958" i="5"/>
  <c r="AM958" i="5"/>
  <c r="AL958" i="5"/>
  <c r="AK958" i="5"/>
  <c r="AJ958" i="5"/>
  <c r="AS957" i="5"/>
  <c r="AR957" i="5"/>
  <c r="AQ957" i="5"/>
  <c r="AP957" i="5"/>
  <c r="AO957" i="5"/>
  <c r="AN957" i="5"/>
  <c r="AM957" i="5"/>
  <c r="AL957" i="5"/>
  <c r="AK957" i="5"/>
  <c r="AJ957" i="5"/>
  <c r="AS956" i="5"/>
  <c r="AR956" i="5"/>
  <c r="AQ956" i="5"/>
  <c r="AP956" i="5"/>
  <c r="AO956" i="5"/>
  <c r="AN956" i="5"/>
  <c r="AM956" i="5"/>
  <c r="AL956" i="5"/>
  <c r="AK956" i="5"/>
  <c r="AJ956" i="5"/>
  <c r="AS955" i="5"/>
  <c r="AR955" i="5"/>
  <c r="AQ955" i="5"/>
  <c r="AP955" i="5"/>
  <c r="AO955" i="5"/>
  <c r="AN955" i="5"/>
  <c r="AM955" i="5"/>
  <c r="AL955" i="5"/>
  <c r="AK955" i="5"/>
  <c r="AJ955" i="5"/>
  <c r="AS954" i="5"/>
  <c r="AR954" i="5"/>
  <c r="AQ954" i="5"/>
  <c r="AP954" i="5"/>
  <c r="AO954" i="5"/>
  <c r="AN954" i="5"/>
  <c r="AM954" i="5"/>
  <c r="AL954" i="5"/>
  <c r="AK954" i="5"/>
  <c r="AJ954" i="5"/>
  <c r="AS953" i="5"/>
  <c r="AR953" i="5"/>
  <c r="AQ953" i="5"/>
  <c r="AP953" i="5"/>
  <c r="AO953" i="5"/>
  <c r="AN953" i="5"/>
  <c r="AM953" i="5"/>
  <c r="AL953" i="5"/>
  <c r="AK953" i="5"/>
  <c r="AJ953" i="5"/>
  <c r="AS952" i="5"/>
  <c r="AR952" i="5"/>
  <c r="AQ952" i="5"/>
  <c r="AP952" i="5"/>
  <c r="AO952" i="5"/>
  <c r="AN952" i="5"/>
  <c r="AM952" i="5"/>
  <c r="AL952" i="5"/>
  <c r="AK952" i="5"/>
  <c r="AJ952" i="5"/>
  <c r="AS951" i="5"/>
  <c r="AR951" i="5"/>
  <c r="AQ951" i="5"/>
  <c r="AP951" i="5"/>
  <c r="AO951" i="5"/>
  <c r="AN951" i="5"/>
  <c r="AM951" i="5"/>
  <c r="AL951" i="5"/>
  <c r="AK951" i="5"/>
  <c r="AJ951" i="5"/>
  <c r="AS950" i="5"/>
  <c r="AR950" i="5"/>
  <c r="AQ950" i="5"/>
  <c r="AP950" i="5"/>
  <c r="AO950" i="5"/>
  <c r="AN950" i="5"/>
  <c r="AM950" i="5"/>
  <c r="AL950" i="5"/>
  <c r="AK950" i="5"/>
  <c r="AJ950" i="5"/>
  <c r="AS949" i="5"/>
  <c r="AR949" i="5"/>
  <c r="AQ949" i="5"/>
  <c r="AP949" i="5"/>
  <c r="AO949" i="5"/>
  <c r="AN949" i="5"/>
  <c r="AM949" i="5"/>
  <c r="AL949" i="5"/>
  <c r="AK949" i="5"/>
  <c r="AJ949" i="5"/>
  <c r="AS948" i="5"/>
  <c r="AR948" i="5"/>
  <c r="AQ948" i="5"/>
  <c r="AP948" i="5"/>
  <c r="AO948" i="5"/>
  <c r="AN948" i="5"/>
  <c r="AM948" i="5"/>
  <c r="AL948" i="5"/>
  <c r="AK948" i="5"/>
  <c r="AJ948" i="5"/>
  <c r="AS947" i="5"/>
  <c r="AR947" i="5"/>
  <c r="AQ947" i="5"/>
  <c r="AP947" i="5"/>
  <c r="AO947" i="5"/>
  <c r="AN947" i="5"/>
  <c r="AM947" i="5"/>
  <c r="AL947" i="5"/>
  <c r="AK947" i="5"/>
  <c r="AJ947" i="5"/>
  <c r="AS946" i="5"/>
  <c r="AR946" i="5"/>
  <c r="AQ946" i="5"/>
  <c r="AP946" i="5"/>
  <c r="AO946" i="5"/>
  <c r="AN946" i="5"/>
  <c r="AM946" i="5"/>
  <c r="AL946" i="5"/>
  <c r="AK946" i="5"/>
  <c r="AJ946" i="5"/>
  <c r="AS945" i="5"/>
  <c r="AR945" i="5"/>
  <c r="AQ945" i="5"/>
  <c r="AP945" i="5"/>
  <c r="AO945" i="5"/>
  <c r="AN945" i="5"/>
  <c r="AM945" i="5"/>
  <c r="AL945" i="5"/>
  <c r="AK945" i="5"/>
  <c r="AJ945" i="5"/>
  <c r="AS944" i="5"/>
  <c r="AR944" i="5"/>
  <c r="AQ944" i="5"/>
  <c r="AP944" i="5"/>
  <c r="AO944" i="5"/>
  <c r="AN944" i="5"/>
  <c r="AM944" i="5"/>
  <c r="AL944" i="5"/>
  <c r="AK944" i="5"/>
  <c r="AJ944" i="5"/>
  <c r="AS943" i="5"/>
  <c r="AR943" i="5"/>
  <c r="AQ943" i="5"/>
  <c r="AP943" i="5"/>
  <c r="AO943" i="5"/>
  <c r="AN943" i="5"/>
  <c r="AM943" i="5"/>
  <c r="AL943" i="5"/>
  <c r="AK943" i="5"/>
  <c r="AJ943" i="5"/>
  <c r="AS942" i="5"/>
  <c r="AR942" i="5"/>
  <c r="AQ942" i="5"/>
  <c r="AP942" i="5"/>
  <c r="AO942" i="5"/>
  <c r="AN942" i="5"/>
  <c r="AM942" i="5"/>
  <c r="AL942" i="5"/>
  <c r="AK942" i="5"/>
  <c r="AJ942" i="5"/>
  <c r="AS941" i="5"/>
  <c r="AR941" i="5"/>
  <c r="AQ941" i="5"/>
  <c r="AP941" i="5"/>
  <c r="AO941" i="5"/>
  <c r="AN941" i="5"/>
  <c r="AM941" i="5"/>
  <c r="AL941" i="5"/>
  <c r="AK941" i="5"/>
  <c r="AJ941" i="5"/>
  <c r="AS940" i="5"/>
  <c r="AR940" i="5"/>
  <c r="AQ940" i="5"/>
  <c r="AP940" i="5"/>
  <c r="AO940" i="5"/>
  <c r="AN940" i="5"/>
  <c r="AM940" i="5"/>
  <c r="AL940" i="5"/>
  <c r="AK940" i="5"/>
  <c r="AJ940" i="5"/>
  <c r="AS939" i="5"/>
  <c r="AR939" i="5"/>
  <c r="AQ939" i="5"/>
  <c r="AP939" i="5"/>
  <c r="AO939" i="5"/>
  <c r="AN939" i="5"/>
  <c r="AM939" i="5"/>
  <c r="AL939" i="5"/>
  <c r="AK939" i="5"/>
  <c r="AJ939" i="5"/>
  <c r="AS938" i="5"/>
  <c r="AR938" i="5"/>
  <c r="AQ938" i="5"/>
  <c r="AP938" i="5"/>
  <c r="AO938" i="5"/>
  <c r="AN938" i="5"/>
  <c r="AM938" i="5"/>
  <c r="AL938" i="5"/>
  <c r="AK938" i="5"/>
  <c r="AJ938" i="5"/>
  <c r="AS937" i="5"/>
  <c r="AR937" i="5"/>
  <c r="AQ937" i="5"/>
  <c r="AP937" i="5"/>
  <c r="AO937" i="5"/>
  <c r="AN937" i="5"/>
  <c r="AM937" i="5"/>
  <c r="AL937" i="5"/>
  <c r="AK937" i="5"/>
  <c r="AJ937" i="5"/>
  <c r="AS936" i="5"/>
  <c r="AR936" i="5"/>
  <c r="AQ936" i="5"/>
  <c r="AP936" i="5"/>
  <c r="AO936" i="5"/>
  <c r="AN936" i="5"/>
  <c r="AM936" i="5"/>
  <c r="AL936" i="5"/>
  <c r="AK936" i="5"/>
  <c r="AJ936" i="5"/>
  <c r="AS935" i="5"/>
  <c r="AR935" i="5"/>
  <c r="AQ935" i="5"/>
  <c r="AP935" i="5"/>
  <c r="AO935" i="5"/>
  <c r="AN935" i="5"/>
  <c r="AM935" i="5"/>
  <c r="AL935" i="5"/>
  <c r="AK935" i="5"/>
  <c r="AJ935" i="5"/>
  <c r="AS934" i="5"/>
  <c r="AR934" i="5"/>
  <c r="AQ934" i="5"/>
  <c r="AP934" i="5"/>
  <c r="AO934" i="5"/>
  <c r="AN934" i="5"/>
  <c r="AM934" i="5"/>
  <c r="AL934" i="5"/>
  <c r="AK934" i="5"/>
  <c r="AJ934" i="5"/>
  <c r="AS933" i="5"/>
  <c r="AR933" i="5"/>
  <c r="AQ933" i="5"/>
  <c r="AP933" i="5"/>
  <c r="AO933" i="5"/>
  <c r="AN933" i="5"/>
  <c r="AM933" i="5"/>
  <c r="AL933" i="5"/>
  <c r="AK933" i="5"/>
  <c r="AJ933" i="5"/>
  <c r="AS932" i="5"/>
  <c r="AR932" i="5"/>
  <c r="AQ932" i="5"/>
  <c r="AP932" i="5"/>
  <c r="AO932" i="5"/>
  <c r="AN932" i="5"/>
  <c r="AM932" i="5"/>
  <c r="AL932" i="5"/>
  <c r="AK932" i="5"/>
  <c r="AJ932" i="5"/>
  <c r="AS931" i="5"/>
  <c r="AR931" i="5"/>
  <c r="AQ931" i="5"/>
  <c r="AP931" i="5"/>
  <c r="AO931" i="5"/>
  <c r="AN931" i="5"/>
  <c r="AM931" i="5"/>
  <c r="AL931" i="5"/>
  <c r="AK931" i="5"/>
  <c r="AJ931" i="5"/>
  <c r="AS930" i="5"/>
  <c r="AR930" i="5"/>
  <c r="AQ930" i="5"/>
  <c r="AP930" i="5"/>
  <c r="AO930" i="5"/>
  <c r="AN930" i="5"/>
  <c r="AM930" i="5"/>
  <c r="AL930" i="5"/>
  <c r="AK930" i="5"/>
  <c r="AJ930" i="5"/>
  <c r="AS929" i="5"/>
  <c r="AR929" i="5"/>
  <c r="AQ929" i="5"/>
  <c r="AP929" i="5"/>
  <c r="AO929" i="5"/>
  <c r="AN929" i="5"/>
  <c r="AM929" i="5"/>
  <c r="AL929" i="5"/>
  <c r="AK929" i="5"/>
  <c r="AJ929" i="5"/>
  <c r="AS928" i="5"/>
  <c r="AR928" i="5"/>
  <c r="AQ928" i="5"/>
  <c r="AP928" i="5"/>
  <c r="AO928" i="5"/>
  <c r="AN928" i="5"/>
  <c r="AM928" i="5"/>
  <c r="AL928" i="5"/>
  <c r="AK928" i="5"/>
  <c r="AJ928" i="5"/>
  <c r="AS927" i="5"/>
  <c r="AR927" i="5"/>
  <c r="AQ927" i="5"/>
  <c r="AP927" i="5"/>
  <c r="AO927" i="5"/>
  <c r="AN927" i="5"/>
  <c r="AM927" i="5"/>
  <c r="AL927" i="5"/>
  <c r="AK927" i="5"/>
  <c r="AJ927" i="5"/>
  <c r="AS926" i="5"/>
  <c r="AR926" i="5"/>
  <c r="AQ926" i="5"/>
  <c r="AP926" i="5"/>
  <c r="AO926" i="5"/>
  <c r="AN926" i="5"/>
  <c r="AM926" i="5"/>
  <c r="AL926" i="5"/>
  <c r="AK926" i="5"/>
  <c r="AJ926" i="5"/>
  <c r="AS925" i="5"/>
  <c r="AR925" i="5"/>
  <c r="AQ925" i="5"/>
  <c r="AP925" i="5"/>
  <c r="AO925" i="5"/>
  <c r="AN925" i="5"/>
  <c r="AM925" i="5"/>
  <c r="AL925" i="5"/>
  <c r="AK925" i="5"/>
  <c r="AJ925" i="5"/>
  <c r="AS924" i="5"/>
  <c r="AR924" i="5"/>
  <c r="AQ924" i="5"/>
  <c r="AP924" i="5"/>
  <c r="AO924" i="5"/>
  <c r="AN924" i="5"/>
  <c r="AM924" i="5"/>
  <c r="AL924" i="5"/>
  <c r="AK924" i="5"/>
  <c r="AJ924" i="5"/>
  <c r="AS923" i="5"/>
  <c r="AR923" i="5"/>
  <c r="AQ923" i="5"/>
  <c r="AP923" i="5"/>
  <c r="AO923" i="5"/>
  <c r="AN923" i="5"/>
  <c r="AM923" i="5"/>
  <c r="AL923" i="5"/>
  <c r="AK923" i="5"/>
  <c r="AJ923" i="5"/>
  <c r="AS922" i="5"/>
  <c r="AR922" i="5"/>
  <c r="AQ922" i="5"/>
  <c r="AP922" i="5"/>
  <c r="AO922" i="5"/>
  <c r="AN922" i="5"/>
  <c r="AM922" i="5"/>
  <c r="AL922" i="5"/>
  <c r="AK922" i="5"/>
  <c r="AJ922" i="5"/>
  <c r="AS921" i="5"/>
  <c r="AR921" i="5"/>
  <c r="AQ921" i="5"/>
  <c r="AP921" i="5"/>
  <c r="AO921" i="5"/>
  <c r="AN921" i="5"/>
  <c r="AM921" i="5"/>
  <c r="AL921" i="5"/>
  <c r="AK921" i="5"/>
  <c r="AJ921" i="5"/>
  <c r="AS920" i="5"/>
  <c r="AR920" i="5"/>
  <c r="AQ920" i="5"/>
  <c r="AP920" i="5"/>
  <c r="AO920" i="5"/>
  <c r="AN920" i="5"/>
  <c r="AM920" i="5"/>
  <c r="AL920" i="5"/>
  <c r="AK920" i="5"/>
  <c r="AJ920" i="5"/>
  <c r="AS919" i="5"/>
  <c r="AR919" i="5"/>
  <c r="AQ919" i="5"/>
  <c r="AP919" i="5"/>
  <c r="AO919" i="5"/>
  <c r="AN919" i="5"/>
  <c r="AM919" i="5"/>
  <c r="AL919" i="5"/>
  <c r="AK919" i="5"/>
  <c r="AJ919" i="5"/>
  <c r="AS918" i="5"/>
  <c r="AR918" i="5"/>
  <c r="AQ918" i="5"/>
  <c r="AP918" i="5"/>
  <c r="AO918" i="5"/>
  <c r="AN918" i="5"/>
  <c r="AM918" i="5"/>
  <c r="AL918" i="5"/>
  <c r="AK918" i="5"/>
  <c r="AJ918" i="5"/>
  <c r="AS917" i="5"/>
  <c r="AR917" i="5"/>
  <c r="AQ917" i="5"/>
  <c r="AP917" i="5"/>
  <c r="AO917" i="5"/>
  <c r="AN917" i="5"/>
  <c r="AM917" i="5"/>
  <c r="AL917" i="5"/>
  <c r="AK917" i="5"/>
  <c r="AJ917" i="5"/>
  <c r="AS916" i="5"/>
  <c r="AR916" i="5"/>
  <c r="AQ916" i="5"/>
  <c r="AP916" i="5"/>
  <c r="AO916" i="5"/>
  <c r="AN916" i="5"/>
  <c r="AM916" i="5"/>
  <c r="AL916" i="5"/>
  <c r="AK916" i="5"/>
  <c r="AJ916" i="5"/>
  <c r="AS915" i="5"/>
  <c r="AR915" i="5"/>
  <c r="AQ915" i="5"/>
  <c r="AP915" i="5"/>
  <c r="AO915" i="5"/>
  <c r="AN915" i="5"/>
  <c r="AM915" i="5"/>
  <c r="AL915" i="5"/>
  <c r="AK915" i="5"/>
  <c r="AJ915" i="5"/>
  <c r="AS914" i="5"/>
  <c r="AR914" i="5"/>
  <c r="AQ914" i="5"/>
  <c r="AP914" i="5"/>
  <c r="AO914" i="5"/>
  <c r="AN914" i="5"/>
  <c r="AM914" i="5"/>
  <c r="AL914" i="5"/>
  <c r="AK914" i="5"/>
  <c r="AJ914" i="5"/>
  <c r="AS913" i="5"/>
  <c r="AR913" i="5"/>
  <c r="AQ913" i="5"/>
  <c r="AP913" i="5"/>
  <c r="AO913" i="5"/>
  <c r="AN913" i="5"/>
  <c r="AM913" i="5"/>
  <c r="AL913" i="5"/>
  <c r="AK913" i="5"/>
  <c r="AJ913" i="5"/>
  <c r="AS912" i="5"/>
  <c r="AR912" i="5"/>
  <c r="AQ912" i="5"/>
  <c r="AP912" i="5"/>
  <c r="AO912" i="5"/>
  <c r="AN912" i="5"/>
  <c r="AM912" i="5"/>
  <c r="AL912" i="5"/>
  <c r="AK912" i="5"/>
  <c r="AJ912" i="5"/>
  <c r="AS911" i="5"/>
  <c r="AR911" i="5"/>
  <c r="AQ911" i="5"/>
  <c r="AP911" i="5"/>
  <c r="AO911" i="5"/>
  <c r="AN911" i="5"/>
  <c r="AM911" i="5"/>
  <c r="AL911" i="5"/>
  <c r="AK911" i="5"/>
  <c r="AJ911" i="5"/>
  <c r="AS910" i="5"/>
  <c r="AR910" i="5"/>
  <c r="AQ910" i="5"/>
  <c r="AP910" i="5"/>
  <c r="AO910" i="5"/>
  <c r="AN910" i="5"/>
  <c r="AM910" i="5"/>
  <c r="AL910" i="5"/>
  <c r="AK910" i="5"/>
  <c r="AJ910" i="5"/>
  <c r="AS909" i="5"/>
  <c r="AR909" i="5"/>
  <c r="AQ909" i="5"/>
  <c r="AP909" i="5"/>
  <c r="AO909" i="5"/>
  <c r="AN909" i="5"/>
  <c r="AM909" i="5"/>
  <c r="AL909" i="5"/>
  <c r="AK909" i="5"/>
  <c r="AJ909" i="5"/>
  <c r="AS908" i="5"/>
  <c r="AR908" i="5"/>
  <c r="AQ908" i="5"/>
  <c r="AP908" i="5"/>
  <c r="AO908" i="5"/>
  <c r="AN908" i="5"/>
  <c r="AM908" i="5"/>
  <c r="AL908" i="5"/>
  <c r="AK908" i="5"/>
  <c r="AJ908" i="5"/>
  <c r="AS907" i="5"/>
  <c r="AR907" i="5"/>
  <c r="AQ907" i="5"/>
  <c r="AP907" i="5"/>
  <c r="AO907" i="5"/>
  <c r="AN907" i="5"/>
  <c r="AM907" i="5"/>
  <c r="AL907" i="5"/>
  <c r="AK907" i="5"/>
  <c r="AJ907" i="5"/>
  <c r="AS906" i="5"/>
  <c r="AR906" i="5"/>
  <c r="AQ906" i="5"/>
  <c r="AP906" i="5"/>
  <c r="AO906" i="5"/>
  <c r="AN906" i="5"/>
  <c r="AM906" i="5"/>
  <c r="AL906" i="5"/>
  <c r="AK906" i="5"/>
  <c r="AJ906" i="5"/>
  <c r="AS905" i="5"/>
  <c r="AR905" i="5"/>
  <c r="AQ905" i="5"/>
  <c r="AP905" i="5"/>
  <c r="AO905" i="5"/>
  <c r="AN905" i="5"/>
  <c r="AM905" i="5"/>
  <c r="AL905" i="5"/>
  <c r="AK905" i="5"/>
  <c r="AJ905" i="5"/>
  <c r="AS904" i="5"/>
  <c r="AR904" i="5"/>
  <c r="AQ904" i="5"/>
  <c r="AP904" i="5"/>
  <c r="AO904" i="5"/>
  <c r="AN904" i="5"/>
  <c r="AM904" i="5"/>
  <c r="AL904" i="5"/>
  <c r="AK904" i="5"/>
  <c r="AJ904" i="5"/>
  <c r="AS903" i="5"/>
  <c r="AR903" i="5"/>
  <c r="AQ903" i="5"/>
  <c r="AP903" i="5"/>
  <c r="AO903" i="5"/>
  <c r="AN903" i="5"/>
  <c r="AM903" i="5"/>
  <c r="AL903" i="5"/>
  <c r="AK903" i="5"/>
  <c r="AJ903" i="5"/>
  <c r="AS902" i="5"/>
  <c r="AR902" i="5"/>
  <c r="AQ902" i="5"/>
  <c r="AP902" i="5"/>
  <c r="AO902" i="5"/>
  <c r="AN902" i="5"/>
  <c r="AM902" i="5"/>
  <c r="AL902" i="5"/>
  <c r="AK902" i="5"/>
  <c r="AJ902" i="5"/>
  <c r="AS901" i="5"/>
  <c r="AR901" i="5"/>
  <c r="AQ901" i="5"/>
  <c r="AP901" i="5"/>
  <c r="AO901" i="5"/>
  <c r="AN901" i="5"/>
  <c r="AM901" i="5"/>
  <c r="AL901" i="5"/>
  <c r="AK901" i="5"/>
  <c r="AJ901" i="5"/>
  <c r="AS900" i="5"/>
  <c r="AR900" i="5"/>
  <c r="AQ900" i="5"/>
  <c r="AP900" i="5"/>
  <c r="AO900" i="5"/>
  <c r="AN900" i="5"/>
  <c r="AM900" i="5"/>
  <c r="AL900" i="5"/>
  <c r="AK900" i="5"/>
  <c r="AJ900" i="5"/>
  <c r="AS899" i="5"/>
  <c r="AR899" i="5"/>
  <c r="AQ899" i="5"/>
  <c r="AP899" i="5"/>
  <c r="AO899" i="5"/>
  <c r="AN899" i="5"/>
  <c r="AM899" i="5"/>
  <c r="AL899" i="5"/>
  <c r="AK899" i="5"/>
  <c r="AJ899" i="5"/>
  <c r="AS898" i="5"/>
  <c r="AR898" i="5"/>
  <c r="AQ898" i="5"/>
  <c r="AP898" i="5"/>
  <c r="AO898" i="5"/>
  <c r="AN898" i="5"/>
  <c r="AM898" i="5"/>
  <c r="AL898" i="5"/>
  <c r="AK898" i="5"/>
  <c r="AJ898" i="5"/>
  <c r="AS897" i="5"/>
  <c r="AR897" i="5"/>
  <c r="AQ897" i="5"/>
  <c r="AP897" i="5"/>
  <c r="AO897" i="5"/>
  <c r="AN897" i="5"/>
  <c r="AM897" i="5"/>
  <c r="AL897" i="5"/>
  <c r="AK897" i="5"/>
  <c r="AJ897" i="5"/>
  <c r="AS896" i="5"/>
  <c r="AR896" i="5"/>
  <c r="AQ896" i="5"/>
  <c r="AP896" i="5"/>
  <c r="AO896" i="5"/>
  <c r="AN896" i="5"/>
  <c r="AM896" i="5"/>
  <c r="AL896" i="5"/>
  <c r="AK896" i="5"/>
  <c r="AJ896" i="5"/>
  <c r="AS895" i="5"/>
  <c r="AR895" i="5"/>
  <c r="AQ895" i="5"/>
  <c r="AP895" i="5"/>
  <c r="AO895" i="5"/>
  <c r="AN895" i="5"/>
  <c r="AM895" i="5"/>
  <c r="AL895" i="5"/>
  <c r="AK895" i="5"/>
  <c r="AJ895" i="5"/>
  <c r="AS894" i="5"/>
  <c r="AR894" i="5"/>
  <c r="AQ894" i="5"/>
  <c r="AP894" i="5"/>
  <c r="AO894" i="5"/>
  <c r="AN894" i="5"/>
  <c r="AM894" i="5"/>
  <c r="AL894" i="5"/>
  <c r="AK894" i="5"/>
  <c r="AJ894" i="5"/>
  <c r="AS893" i="5"/>
  <c r="AR893" i="5"/>
  <c r="AQ893" i="5"/>
  <c r="AP893" i="5"/>
  <c r="AO893" i="5"/>
  <c r="AN893" i="5"/>
  <c r="AM893" i="5"/>
  <c r="AL893" i="5"/>
  <c r="AK893" i="5"/>
  <c r="AJ893" i="5"/>
  <c r="AS892" i="5"/>
  <c r="AR892" i="5"/>
  <c r="AQ892" i="5"/>
  <c r="AP892" i="5"/>
  <c r="AO892" i="5"/>
  <c r="AN892" i="5"/>
  <c r="AM892" i="5"/>
  <c r="AL892" i="5"/>
  <c r="AK892" i="5"/>
  <c r="AJ892" i="5"/>
  <c r="AS891" i="5"/>
  <c r="AR891" i="5"/>
  <c r="AQ891" i="5"/>
  <c r="AP891" i="5"/>
  <c r="AO891" i="5"/>
  <c r="AN891" i="5"/>
  <c r="AM891" i="5"/>
  <c r="AL891" i="5"/>
  <c r="AK891" i="5"/>
  <c r="AJ891" i="5"/>
  <c r="AS890" i="5"/>
  <c r="AR890" i="5"/>
  <c r="AQ890" i="5"/>
  <c r="AP890" i="5"/>
  <c r="AO890" i="5"/>
  <c r="AN890" i="5"/>
  <c r="AM890" i="5"/>
  <c r="AL890" i="5"/>
  <c r="AK890" i="5"/>
  <c r="AJ890" i="5"/>
  <c r="AS889" i="5"/>
  <c r="AR889" i="5"/>
  <c r="AQ889" i="5"/>
  <c r="AP889" i="5"/>
  <c r="AO889" i="5"/>
  <c r="AN889" i="5"/>
  <c r="AM889" i="5"/>
  <c r="AL889" i="5"/>
  <c r="AK889" i="5"/>
  <c r="AJ889" i="5"/>
  <c r="AS888" i="5"/>
  <c r="AR888" i="5"/>
  <c r="AQ888" i="5"/>
  <c r="AP888" i="5"/>
  <c r="AO888" i="5"/>
  <c r="AN888" i="5"/>
  <c r="AM888" i="5"/>
  <c r="AL888" i="5"/>
  <c r="AK888" i="5"/>
  <c r="AJ888" i="5"/>
  <c r="AS887" i="5"/>
  <c r="AR887" i="5"/>
  <c r="AQ887" i="5"/>
  <c r="AP887" i="5"/>
  <c r="AO887" i="5"/>
  <c r="AN887" i="5"/>
  <c r="AM887" i="5"/>
  <c r="AL887" i="5"/>
  <c r="AK887" i="5"/>
  <c r="AJ887" i="5"/>
  <c r="AS886" i="5"/>
  <c r="AR886" i="5"/>
  <c r="AQ886" i="5"/>
  <c r="AP886" i="5"/>
  <c r="AO886" i="5"/>
  <c r="AN886" i="5"/>
  <c r="AM886" i="5"/>
  <c r="AL886" i="5"/>
  <c r="AK886" i="5"/>
  <c r="AJ886" i="5"/>
  <c r="AS885" i="5"/>
  <c r="AR885" i="5"/>
  <c r="AQ885" i="5"/>
  <c r="AP885" i="5"/>
  <c r="AO885" i="5"/>
  <c r="AN885" i="5"/>
  <c r="AM885" i="5"/>
  <c r="AL885" i="5"/>
  <c r="AK885" i="5"/>
  <c r="AJ885" i="5"/>
  <c r="AS884" i="5"/>
  <c r="AR884" i="5"/>
  <c r="AQ884" i="5"/>
  <c r="AP884" i="5"/>
  <c r="AO884" i="5"/>
  <c r="AN884" i="5"/>
  <c r="AM884" i="5"/>
  <c r="AL884" i="5"/>
  <c r="AK884" i="5"/>
  <c r="AJ884" i="5"/>
  <c r="AS883" i="5"/>
  <c r="AR883" i="5"/>
  <c r="AQ883" i="5"/>
  <c r="AP883" i="5"/>
  <c r="AO883" i="5"/>
  <c r="AN883" i="5"/>
  <c r="AM883" i="5"/>
  <c r="AL883" i="5"/>
  <c r="AK883" i="5"/>
  <c r="AJ883" i="5"/>
  <c r="AS882" i="5"/>
  <c r="AR882" i="5"/>
  <c r="AQ882" i="5"/>
  <c r="AP882" i="5"/>
  <c r="AO882" i="5"/>
  <c r="AN882" i="5"/>
  <c r="AM882" i="5"/>
  <c r="AL882" i="5"/>
  <c r="AK882" i="5"/>
  <c r="AJ882" i="5"/>
  <c r="AS881" i="5"/>
  <c r="AR881" i="5"/>
  <c r="AQ881" i="5"/>
  <c r="AP881" i="5"/>
  <c r="AO881" i="5"/>
  <c r="AN881" i="5"/>
  <c r="AM881" i="5"/>
  <c r="AL881" i="5"/>
  <c r="AK881" i="5"/>
  <c r="AJ881" i="5"/>
  <c r="AS880" i="5"/>
  <c r="AR880" i="5"/>
  <c r="AQ880" i="5"/>
  <c r="AP880" i="5"/>
  <c r="AO880" i="5"/>
  <c r="AN880" i="5"/>
  <c r="AM880" i="5"/>
  <c r="AL880" i="5"/>
  <c r="AK880" i="5"/>
  <c r="AJ880" i="5"/>
  <c r="AS879" i="5"/>
  <c r="AR879" i="5"/>
  <c r="AQ879" i="5"/>
  <c r="AP879" i="5"/>
  <c r="AO879" i="5"/>
  <c r="AN879" i="5"/>
  <c r="AM879" i="5"/>
  <c r="AL879" i="5"/>
  <c r="AK879" i="5"/>
  <c r="AJ879" i="5"/>
  <c r="AS878" i="5"/>
  <c r="AR878" i="5"/>
  <c r="AQ878" i="5"/>
  <c r="AP878" i="5"/>
  <c r="AO878" i="5"/>
  <c r="AN878" i="5"/>
  <c r="AM878" i="5"/>
  <c r="AL878" i="5"/>
  <c r="AK878" i="5"/>
  <c r="AJ878" i="5"/>
  <c r="AS877" i="5"/>
  <c r="AR877" i="5"/>
  <c r="AQ877" i="5"/>
  <c r="AP877" i="5"/>
  <c r="AO877" i="5"/>
  <c r="AN877" i="5"/>
  <c r="AM877" i="5"/>
  <c r="AL877" i="5"/>
  <c r="AK877" i="5"/>
  <c r="AJ877" i="5"/>
  <c r="AS876" i="5"/>
  <c r="AR876" i="5"/>
  <c r="AQ876" i="5"/>
  <c r="AP876" i="5"/>
  <c r="AO876" i="5"/>
  <c r="AN876" i="5"/>
  <c r="AM876" i="5"/>
  <c r="AL876" i="5"/>
  <c r="AK876" i="5"/>
  <c r="AJ876" i="5"/>
  <c r="AS875" i="5"/>
  <c r="AR875" i="5"/>
  <c r="AQ875" i="5"/>
  <c r="AP875" i="5"/>
  <c r="AO875" i="5"/>
  <c r="AN875" i="5"/>
  <c r="AM875" i="5"/>
  <c r="AL875" i="5"/>
  <c r="AK875" i="5"/>
  <c r="AJ875" i="5"/>
  <c r="AS874" i="5"/>
  <c r="AR874" i="5"/>
  <c r="AQ874" i="5"/>
  <c r="AP874" i="5"/>
  <c r="AO874" i="5"/>
  <c r="AN874" i="5"/>
  <c r="AM874" i="5"/>
  <c r="AL874" i="5"/>
  <c r="AK874" i="5"/>
  <c r="AJ874" i="5"/>
  <c r="AS873" i="5"/>
  <c r="AR873" i="5"/>
  <c r="AQ873" i="5"/>
  <c r="AP873" i="5"/>
  <c r="AO873" i="5"/>
  <c r="AN873" i="5"/>
  <c r="AM873" i="5"/>
  <c r="AL873" i="5"/>
  <c r="AK873" i="5"/>
  <c r="AJ873" i="5"/>
  <c r="AS872" i="5"/>
  <c r="AR872" i="5"/>
  <c r="AQ872" i="5"/>
  <c r="AP872" i="5"/>
  <c r="AO872" i="5"/>
  <c r="AN872" i="5"/>
  <c r="AM872" i="5"/>
  <c r="AL872" i="5"/>
  <c r="AK872" i="5"/>
  <c r="AJ872" i="5"/>
  <c r="AS871" i="5"/>
  <c r="AR871" i="5"/>
  <c r="AQ871" i="5"/>
  <c r="AP871" i="5"/>
  <c r="AO871" i="5"/>
  <c r="AN871" i="5"/>
  <c r="AM871" i="5"/>
  <c r="AL871" i="5"/>
  <c r="AK871" i="5"/>
  <c r="AJ871" i="5"/>
  <c r="AS870" i="5"/>
  <c r="AR870" i="5"/>
  <c r="AQ870" i="5"/>
  <c r="AP870" i="5"/>
  <c r="AO870" i="5"/>
  <c r="AN870" i="5"/>
  <c r="AM870" i="5"/>
  <c r="AL870" i="5"/>
  <c r="AK870" i="5"/>
  <c r="AJ870" i="5"/>
  <c r="AS869" i="5"/>
  <c r="AR869" i="5"/>
  <c r="AQ869" i="5"/>
  <c r="AP869" i="5"/>
  <c r="AO869" i="5"/>
  <c r="AN869" i="5"/>
  <c r="AM869" i="5"/>
  <c r="AL869" i="5"/>
  <c r="AK869" i="5"/>
  <c r="AJ869" i="5"/>
  <c r="AS868" i="5"/>
  <c r="AR868" i="5"/>
  <c r="AQ868" i="5"/>
  <c r="AP868" i="5"/>
  <c r="AO868" i="5"/>
  <c r="AN868" i="5"/>
  <c r="AM868" i="5"/>
  <c r="AL868" i="5"/>
  <c r="AK868" i="5"/>
  <c r="AJ868" i="5"/>
  <c r="AS867" i="5"/>
  <c r="AR867" i="5"/>
  <c r="AQ867" i="5"/>
  <c r="AP867" i="5"/>
  <c r="AO867" i="5"/>
  <c r="AN867" i="5"/>
  <c r="AM867" i="5"/>
  <c r="AL867" i="5"/>
  <c r="AK867" i="5"/>
  <c r="AJ867" i="5"/>
  <c r="AS866" i="5"/>
  <c r="AR866" i="5"/>
  <c r="AQ866" i="5"/>
  <c r="AP866" i="5"/>
  <c r="AO866" i="5"/>
  <c r="AN866" i="5"/>
  <c r="AM866" i="5"/>
  <c r="AL866" i="5"/>
  <c r="AK866" i="5"/>
  <c r="AJ866" i="5"/>
  <c r="AS865" i="5"/>
  <c r="AR865" i="5"/>
  <c r="AQ865" i="5"/>
  <c r="AP865" i="5"/>
  <c r="AO865" i="5"/>
  <c r="AN865" i="5"/>
  <c r="AM865" i="5"/>
  <c r="AL865" i="5"/>
  <c r="AK865" i="5"/>
  <c r="AJ865" i="5"/>
  <c r="AS864" i="5"/>
  <c r="AR864" i="5"/>
  <c r="AQ864" i="5"/>
  <c r="AP864" i="5"/>
  <c r="AO864" i="5"/>
  <c r="AN864" i="5"/>
  <c r="AM864" i="5"/>
  <c r="AL864" i="5"/>
  <c r="AK864" i="5"/>
  <c r="AJ864" i="5"/>
  <c r="AS863" i="5"/>
  <c r="AR863" i="5"/>
  <c r="AQ863" i="5"/>
  <c r="AP863" i="5"/>
  <c r="AO863" i="5"/>
  <c r="AN863" i="5"/>
  <c r="AM863" i="5"/>
  <c r="AL863" i="5"/>
  <c r="AK863" i="5"/>
  <c r="AJ863" i="5"/>
  <c r="AS862" i="5"/>
  <c r="AR862" i="5"/>
  <c r="AQ862" i="5"/>
  <c r="AP862" i="5"/>
  <c r="AO862" i="5"/>
  <c r="AN862" i="5"/>
  <c r="AM862" i="5"/>
  <c r="AL862" i="5"/>
  <c r="AK862" i="5"/>
  <c r="AJ862" i="5"/>
  <c r="AS861" i="5"/>
  <c r="AR861" i="5"/>
  <c r="AQ861" i="5"/>
  <c r="AP861" i="5"/>
  <c r="AO861" i="5"/>
  <c r="AN861" i="5"/>
  <c r="AM861" i="5"/>
  <c r="AL861" i="5"/>
  <c r="AK861" i="5"/>
  <c r="AJ861" i="5"/>
  <c r="AS860" i="5"/>
  <c r="AR860" i="5"/>
  <c r="AQ860" i="5"/>
  <c r="AP860" i="5"/>
  <c r="AO860" i="5"/>
  <c r="AN860" i="5"/>
  <c r="AM860" i="5"/>
  <c r="AL860" i="5"/>
  <c r="AK860" i="5"/>
  <c r="AJ860" i="5"/>
  <c r="AS859" i="5"/>
  <c r="AR859" i="5"/>
  <c r="AQ859" i="5"/>
  <c r="AP859" i="5"/>
  <c r="AO859" i="5"/>
  <c r="AN859" i="5"/>
  <c r="AM859" i="5"/>
  <c r="AL859" i="5"/>
  <c r="AK859" i="5"/>
  <c r="AJ859" i="5"/>
  <c r="AS858" i="5"/>
  <c r="AR858" i="5"/>
  <c r="AQ858" i="5"/>
  <c r="AP858" i="5"/>
  <c r="AO858" i="5"/>
  <c r="AN858" i="5"/>
  <c r="AM858" i="5"/>
  <c r="AL858" i="5"/>
  <c r="AK858" i="5"/>
  <c r="AJ858" i="5"/>
  <c r="AS857" i="5"/>
  <c r="AR857" i="5"/>
  <c r="AQ857" i="5"/>
  <c r="AP857" i="5"/>
  <c r="AO857" i="5"/>
  <c r="AN857" i="5"/>
  <c r="AM857" i="5"/>
  <c r="AL857" i="5"/>
  <c r="AK857" i="5"/>
  <c r="AJ857" i="5"/>
  <c r="AS856" i="5"/>
  <c r="AR856" i="5"/>
  <c r="AQ856" i="5"/>
  <c r="AP856" i="5"/>
  <c r="AO856" i="5"/>
  <c r="AN856" i="5"/>
  <c r="AM856" i="5"/>
  <c r="AL856" i="5"/>
  <c r="AK856" i="5"/>
  <c r="AJ856" i="5"/>
  <c r="AS855" i="5"/>
  <c r="AR855" i="5"/>
  <c r="AQ855" i="5"/>
  <c r="AP855" i="5"/>
  <c r="AO855" i="5"/>
  <c r="AN855" i="5"/>
  <c r="AM855" i="5"/>
  <c r="AL855" i="5"/>
  <c r="AK855" i="5"/>
  <c r="AJ855" i="5"/>
  <c r="AS854" i="5"/>
  <c r="AR854" i="5"/>
  <c r="AQ854" i="5"/>
  <c r="AP854" i="5"/>
  <c r="AO854" i="5"/>
  <c r="AN854" i="5"/>
  <c r="AM854" i="5"/>
  <c r="AL854" i="5"/>
  <c r="AK854" i="5"/>
  <c r="AJ854" i="5"/>
  <c r="AS853" i="5"/>
  <c r="AR853" i="5"/>
  <c r="AQ853" i="5"/>
  <c r="AP853" i="5"/>
  <c r="AO853" i="5"/>
  <c r="AN853" i="5"/>
  <c r="AM853" i="5"/>
  <c r="AL853" i="5"/>
  <c r="AK853" i="5"/>
  <c r="AJ853" i="5"/>
  <c r="AS852" i="5"/>
  <c r="AR852" i="5"/>
  <c r="AQ852" i="5"/>
  <c r="AP852" i="5"/>
  <c r="AO852" i="5"/>
  <c r="AN852" i="5"/>
  <c r="AM852" i="5"/>
  <c r="AL852" i="5"/>
  <c r="AK852" i="5"/>
  <c r="AJ852" i="5"/>
  <c r="AS851" i="5"/>
  <c r="AR851" i="5"/>
  <c r="AQ851" i="5"/>
  <c r="AP851" i="5"/>
  <c r="AO851" i="5"/>
  <c r="AN851" i="5"/>
  <c r="AM851" i="5"/>
  <c r="AL851" i="5"/>
  <c r="AK851" i="5"/>
  <c r="AJ851" i="5"/>
  <c r="AS850" i="5"/>
  <c r="AR850" i="5"/>
  <c r="AQ850" i="5"/>
  <c r="AP850" i="5"/>
  <c r="AO850" i="5"/>
  <c r="AN850" i="5"/>
  <c r="AM850" i="5"/>
  <c r="AL850" i="5"/>
  <c r="AK850" i="5"/>
  <c r="AJ850" i="5"/>
  <c r="AS849" i="5"/>
  <c r="AR849" i="5"/>
  <c r="AQ849" i="5"/>
  <c r="AP849" i="5"/>
  <c r="AO849" i="5"/>
  <c r="AN849" i="5"/>
  <c r="AM849" i="5"/>
  <c r="AL849" i="5"/>
  <c r="AK849" i="5"/>
  <c r="AJ849" i="5"/>
  <c r="AS848" i="5"/>
  <c r="AR848" i="5"/>
  <c r="AQ848" i="5"/>
  <c r="AP848" i="5"/>
  <c r="AO848" i="5"/>
  <c r="AN848" i="5"/>
  <c r="AM848" i="5"/>
  <c r="AL848" i="5"/>
  <c r="AK848" i="5"/>
  <c r="AJ848" i="5"/>
  <c r="AS847" i="5"/>
  <c r="AR847" i="5"/>
  <c r="AQ847" i="5"/>
  <c r="AP847" i="5"/>
  <c r="AO847" i="5"/>
  <c r="AN847" i="5"/>
  <c r="AM847" i="5"/>
  <c r="AL847" i="5"/>
  <c r="AK847" i="5"/>
  <c r="AJ847" i="5"/>
  <c r="AS846" i="5"/>
  <c r="AR846" i="5"/>
  <c r="AQ846" i="5"/>
  <c r="AP846" i="5"/>
  <c r="AO846" i="5"/>
  <c r="AN846" i="5"/>
  <c r="AM846" i="5"/>
  <c r="AL846" i="5"/>
  <c r="AK846" i="5"/>
  <c r="AJ846" i="5"/>
  <c r="AS845" i="5"/>
  <c r="AR845" i="5"/>
  <c r="AQ845" i="5"/>
  <c r="AP845" i="5"/>
  <c r="AO845" i="5"/>
  <c r="AN845" i="5"/>
  <c r="AM845" i="5"/>
  <c r="AL845" i="5"/>
  <c r="AK845" i="5"/>
  <c r="AJ845" i="5"/>
  <c r="AS844" i="5"/>
  <c r="AR844" i="5"/>
  <c r="AQ844" i="5"/>
  <c r="AP844" i="5"/>
  <c r="AO844" i="5"/>
  <c r="AN844" i="5"/>
  <c r="AM844" i="5"/>
  <c r="AL844" i="5"/>
  <c r="AK844" i="5"/>
  <c r="AJ844" i="5"/>
  <c r="AS843" i="5"/>
  <c r="AR843" i="5"/>
  <c r="AQ843" i="5"/>
  <c r="AP843" i="5"/>
  <c r="AO843" i="5"/>
  <c r="AN843" i="5"/>
  <c r="AM843" i="5"/>
  <c r="AL843" i="5"/>
  <c r="AK843" i="5"/>
  <c r="AJ843" i="5"/>
  <c r="AS842" i="5"/>
  <c r="AR842" i="5"/>
  <c r="AQ842" i="5"/>
  <c r="AP842" i="5"/>
  <c r="AO842" i="5"/>
  <c r="AN842" i="5"/>
  <c r="AM842" i="5"/>
  <c r="AL842" i="5"/>
  <c r="AK842" i="5"/>
  <c r="AJ842" i="5"/>
  <c r="AS841" i="5"/>
  <c r="AR841" i="5"/>
  <c r="AQ841" i="5"/>
  <c r="AP841" i="5"/>
  <c r="AO841" i="5"/>
  <c r="AN841" i="5"/>
  <c r="AM841" i="5"/>
  <c r="AL841" i="5"/>
  <c r="AK841" i="5"/>
  <c r="AJ841" i="5"/>
  <c r="AS840" i="5"/>
  <c r="AR840" i="5"/>
  <c r="AQ840" i="5"/>
  <c r="AP840" i="5"/>
  <c r="AO840" i="5"/>
  <c r="AN840" i="5"/>
  <c r="AM840" i="5"/>
  <c r="AL840" i="5"/>
  <c r="AK840" i="5"/>
  <c r="AJ840" i="5"/>
  <c r="AS839" i="5"/>
  <c r="AR839" i="5"/>
  <c r="AQ839" i="5"/>
  <c r="AP839" i="5"/>
  <c r="AO839" i="5"/>
  <c r="AN839" i="5"/>
  <c r="AM839" i="5"/>
  <c r="AL839" i="5"/>
  <c r="AK839" i="5"/>
  <c r="AJ839" i="5"/>
  <c r="AS838" i="5"/>
  <c r="AR838" i="5"/>
  <c r="AQ838" i="5"/>
  <c r="AP838" i="5"/>
  <c r="AO838" i="5"/>
  <c r="AN838" i="5"/>
  <c r="AM838" i="5"/>
  <c r="AL838" i="5"/>
  <c r="AK838" i="5"/>
  <c r="AJ838" i="5"/>
  <c r="AS837" i="5"/>
  <c r="AR837" i="5"/>
  <c r="AQ837" i="5"/>
  <c r="AP837" i="5"/>
  <c r="AO837" i="5"/>
  <c r="AN837" i="5"/>
  <c r="AM837" i="5"/>
  <c r="AL837" i="5"/>
  <c r="AK837" i="5"/>
  <c r="AJ837" i="5"/>
  <c r="AS836" i="5"/>
  <c r="AR836" i="5"/>
  <c r="AQ836" i="5"/>
  <c r="AP836" i="5"/>
  <c r="AO836" i="5"/>
  <c r="AN836" i="5"/>
  <c r="AM836" i="5"/>
  <c r="AL836" i="5"/>
  <c r="AK836" i="5"/>
  <c r="AJ836" i="5"/>
  <c r="AS835" i="5"/>
  <c r="AR835" i="5"/>
  <c r="AQ835" i="5"/>
  <c r="AP835" i="5"/>
  <c r="AO835" i="5"/>
  <c r="AN835" i="5"/>
  <c r="AM835" i="5"/>
  <c r="AL835" i="5"/>
  <c r="AK835" i="5"/>
  <c r="AJ835" i="5"/>
  <c r="AS834" i="5"/>
  <c r="AR834" i="5"/>
  <c r="AQ834" i="5"/>
  <c r="AP834" i="5"/>
  <c r="AO834" i="5"/>
  <c r="AN834" i="5"/>
  <c r="AM834" i="5"/>
  <c r="AL834" i="5"/>
  <c r="AK834" i="5"/>
  <c r="AJ834" i="5"/>
  <c r="AS833" i="5"/>
  <c r="AR833" i="5"/>
  <c r="AQ833" i="5"/>
  <c r="AP833" i="5"/>
  <c r="AO833" i="5"/>
  <c r="AN833" i="5"/>
  <c r="AM833" i="5"/>
  <c r="AL833" i="5"/>
  <c r="AK833" i="5"/>
  <c r="AJ833" i="5"/>
  <c r="AS832" i="5"/>
  <c r="AR832" i="5"/>
  <c r="AQ832" i="5"/>
  <c r="AP832" i="5"/>
  <c r="AO832" i="5"/>
  <c r="AN832" i="5"/>
  <c r="AM832" i="5"/>
  <c r="AL832" i="5"/>
  <c r="AK832" i="5"/>
  <c r="AJ832" i="5"/>
  <c r="AS831" i="5"/>
  <c r="AR831" i="5"/>
  <c r="AQ831" i="5"/>
  <c r="AP831" i="5"/>
  <c r="AO831" i="5"/>
  <c r="AN831" i="5"/>
  <c r="AM831" i="5"/>
  <c r="AL831" i="5"/>
  <c r="AK831" i="5"/>
  <c r="AJ831" i="5"/>
  <c r="AS830" i="5"/>
  <c r="AR830" i="5"/>
  <c r="AQ830" i="5"/>
  <c r="AP830" i="5"/>
  <c r="AO830" i="5"/>
  <c r="AN830" i="5"/>
  <c r="AM830" i="5"/>
  <c r="AL830" i="5"/>
  <c r="AK830" i="5"/>
  <c r="AJ830" i="5"/>
  <c r="AS829" i="5"/>
  <c r="AR829" i="5"/>
  <c r="AQ829" i="5"/>
  <c r="AP829" i="5"/>
  <c r="AO829" i="5"/>
  <c r="AN829" i="5"/>
  <c r="AM829" i="5"/>
  <c r="AL829" i="5"/>
  <c r="AK829" i="5"/>
  <c r="AJ829" i="5"/>
  <c r="AS828" i="5"/>
  <c r="AR828" i="5"/>
  <c r="AQ828" i="5"/>
  <c r="AP828" i="5"/>
  <c r="AO828" i="5"/>
  <c r="AN828" i="5"/>
  <c r="AM828" i="5"/>
  <c r="AL828" i="5"/>
  <c r="AK828" i="5"/>
  <c r="AJ828" i="5"/>
  <c r="AS827" i="5"/>
  <c r="AR827" i="5"/>
  <c r="AQ827" i="5"/>
  <c r="AP827" i="5"/>
  <c r="AO827" i="5"/>
  <c r="AN827" i="5"/>
  <c r="AM827" i="5"/>
  <c r="AL827" i="5"/>
  <c r="AK827" i="5"/>
  <c r="AJ827" i="5"/>
  <c r="AS826" i="5"/>
  <c r="AR826" i="5"/>
  <c r="AQ826" i="5"/>
  <c r="AP826" i="5"/>
  <c r="AO826" i="5"/>
  <c r="AN826" i="5"/>
  <c r="AM826" i="5"/>
  <c r="AL826" i="5"/>
  <c r="AK826" i="5"/>
  <c r="AJ826" i="5"/>
  <c r="AS825" i="5"/>
  <c r="AR825" i="5"/>
  <c r="AQ825" i="5"/>
  <c r="AP825" i="5"/>
  <c r="AO825" i="5"/>
  <c r="AN825" i="5"/>
  <c r="AM825" i="5"/>
  <c r="AL825" i="5"/>
  <c r="AK825" i="5"/>
  <c r="AJ825" i="5"/>
  <c r="AS824" i="5"/>
  <c r="AR824" i="5"/>
  <c r="AQ824" i="5"/>
  <c r="AP824" i="5"/>
  <c r="AO824" i="5"/>
  <c r="AN824" i="5"/>
  <c r="AM824" i="5"/>
  <c r="AL824" i="5"/>
  <c r="AK824" i="5"/>
  <c r="AJ824" i="5"/>
  <c r="AS823" i="5"/>
  <c r="AR823" i="5"/>
  <c r="AQ823" i="5"/>
  <c r="AP823" i="5"/>
  <c r="AO823" i="5"/>
  <c r="AN823" i="5"/>
  <c r="AM823" i="5"/>
  <c r="AL823" i="5"/>
  <c r="AK823" i="5"/>
  <c r="AJ823" i="5"/>
  <c r="AS822" i="5"/>
  <c r="AR822" i="5"/>
  <c r="AQ822" i="5"/>
  <c r="AP822" i="5"/>
  <c r="AO822" i="5"/>
  <c r="AN822" i="5"/>
  <c r="AM822" i="5"/>
  <c r="AL822" i="5"/>
  <c r="AK822" i="5"/>
  <c r="AJ822" i="5"/>
  <c r="AS821" i="5"/>
  <c r="AR821" i="5"/>
  <c r="AQ821" i="5"/>
  <c r="AP821" i="5"/>
  <c r="AO821" i="5"/>
  <c r="AN821" i="5"/>
  <c r="AM821" i="5"/>
  <c r="AL821" i="5"/>
  <c r="AK821" i="5"/>
  <c r="AJ821" i="5"/>
  <c r="AS820" i="5"/>
  <c r="AR820" i="5"/>
  <c r="AQ820" i="5"/>
  <c r="AP820" i="5"/>
  <c r="AO820" i="5"/>
  <c r="AN820" i="5"/>
  <c r="AM820" i="5"/>
  <c r="AL820" i="5"/>
  <c r="AK820" i="5"/>
  <c r="AJ820" i="5"/>
  <c r="AS819" i="5"/>
  <c r="AR819" i="5"/>
  <c r="AQ819" i="5"/>
  <c r="AP819" i="5"/>
  <c r="AO819" i="5"/>
  <c r="AN819" i="5"/>
  <c r="AM819" i="5"/>
  <c r="AL819" i="5"/>
  <c r="AK819" i="5"/>
  <c r="AJ819" i="5"/>
  <c r="AS818" i="5"/>
  <c r="AR818" i="5"/>
  <c r="AQ818" i="5"/>
  <c r="AP818" i="5"/>
  <c r="AO818" i="5"/>
  <c r="AN818" i="5"/>
  <c r="AM818" i="5"/>
  <c r="AL818" i="5"/>
  <c r="AK818" i="5"/>
  <c r="AJ818" i="5"/>
  <c r="AS817" i="5"/>
  <c r="AR817" i="5"/>
  <c r="AQ817" i="5"/>
  <c r="AP817" i="5"/>
  <c r="AO817" i="5"/>
  <c r="AN817" i="5"/>
  <c r="AM817" i="5"/>
  <c r="AL817" i="5"/>
  <c r="AK817" i="5"/>
  <c r="AJ817" i="5"/>
  <c r="AS816" i="5"/>
  <c r="AR816" i="5"/>
  <c r="AQ816" i="5"/>
  <c r="AP816" i="5"/>
  <c r="AO816" i="5"/>
  <c r="AN816" i="5"/>
  <c r="AM816" i="5"/>
  <c r="AL816" i="5"/>
  <c r="AK816" i="5"/>
  <c r="AJ816" i="5"/>
  <c r="AS815" i="5"/>
  <c r="AR815" i="5"/>
  <c r="AQ815" i="5"/>
  <c r="AP815" i="5"/>
  <c r="AO815" i="5"/>
  <c r="AN815" i="5"/>
  <c r="AM815" i="5"/>
  <c r="AL815" i="5"/>
  <c r="AK815" i="5"/>
  <c r="AJ815" i="5"/>
  <c r="AS814" i="5"/>
  <c r="AR814" i="5"/>
  <c r="AQ814" i="5"/>
  <c r="AP814" i="5"/>
  <c r="AO814" i="5"/>
  <c r="AN814" i="5"/>
  <c r="AM814" i="5"/>
  <c r="AL814" i="5"/>
  <c r="AK814" i="5"/>
  <c r="AJ814" i="5"/>
  <c r="AS813" i="5"/>
  <c r="AR813" i="5"/>
  <c r="AQ813" i="5"/>
  <c r="AP813" i="5"/>
  <c r="AO813" i="5"/>
  <c r="AN813" i="5"/>
  <c r="AM813" i="5"/>
  <c r="AL813" i="5"/>
  <c r="AK813" i="5"/>
  <c r="AJ813" i="5"/>
  <c r="AS812" i="5"/>
  <c r="AR812" i="5"/>
  <c r="AQ812" i="5"/>
  <c r="AP812" i="5"/>
  <c r="AO812" i="5"/>
  <c r="AN812" i="5"/>
  <c r="AM812" i="5"/>
  <c r="AL812" i="5"/>
  <c r="AK812" i="5"/>
  <c r="AJ812" i="5"/>
  <c r="AS811" i="5"/>
  <c r="AR811" i="5"/>
  <c r="AQ811" i="5"/>
  <c r="AP811" i="5"/>
  <c r="AO811" i="5"/>
  <c r="AN811" i="5"/>
  <c r="AM811" i="5"/>
  <c r="AL811" i="5"/>
  <c r="AK811" i="5"/>
  <c r="AJ811" i="5"/>
  <c r="AS810" i="5"/>
  <c r="AR810" i="5"/>
  <c r="AQ810" i="5"/>
  <c r="AP810" i="5"/>
  <c r="AO810" i="5"/>
  <c r="AN810" i="5"/>
  <c r="AM810" i="5"/>
  <c r="AL810" i="5"/>
  <c r="AK810" i="5"/>
  <c r="AJ810" i="5"/>
  <c r="AS809" i="5"/>
  <c r="AR809" i="5"/>
  <c r="AQ809" i="5"/>
  <c r="AP809" i="5"/>
  <c r="AO809" i="5"/>
  <c r="AN809" i="5"/>
  <c r="AM809" i="5"/>
  <c r="AL809" i="5"/>
  <c r="AK809" i="5"/>
  <c r="AJ809" i="5"/>
  <c r="AS808" i="5"/>
  <c r="AR808" i="5"/>
  <c r="AQ808" i="5"/>
  <c r="AP808" i="5"/>
  <c r="AO808" i="5"/>
  <c r="AN808" i="5"/>
  <c r="AM808" i="5"/>
  <c r="AL808" i="5"/>
  <c r="AK808" i="5"/>
  <c r="AJ808" i="5"/>
  <c r="AS807" i="5"/>
  <c r="AR807" i="5"/>
  <c r="AQ807" i="5"/>
  <c r="AP807" i="5"/>
  <c r="AO807" i="5"/>
  <c r="AN807" i="5"/>
  <c r="AM807" i="5"/>
  <c r="AL807" i="5"/>
  <c r="AK807" i="5"/>
  <c r="AJ807" i="5"/>
  <c r="AS806" i="5"/>
  <c r="AR806" i="5"/>
  <c r="AQ806" i="5"/>
  <c r="AP806" i="5"/>
  <c r="AO806" i="5"/>
  <c r="AN806" i="5"/>
  <c r="AM806" i="5"/>
  <c r="AL806" i="5"/>
  <c r="AK806" i="5"/>
  <c r="AJ806" i="5"/>
  <c r="AS805" i="5"/>
  <c r="AR805" i="5"/>
  <c r="AQ805" i="5"/>
  <c r="AP805" i="5"/>
  <c r="AO805" i="5"/>
  <c r="AN805" i="5"/>
  <c r="AM805" i="5"/>
  <c r="AL805" i="5"/>
  <c r="AK805" i="5"/>
  <c r="AJ805" i="5"/>
  <c r="AS804" i="5"/>
  <c r="AR804" i="5"/>
  <c r="AQ804" i="5"/>
  <c r="AP804" i="5"/>
  <c r="AO804" i="5"/>
  <c r="AN804" i="5"/>
  <c r="AM804" i="5"/>
  <c r="AL804" i="5"/>
  <c r="AK804" i="5"/>
  <c r="AJ804" i="5"/>
  <c r="AS803" i="5"/>
  <c r="AR803" i="5"/>
  <c r="AQ803" i="5"/>
  <c r="AP803" i="5"/>
  <c r="AO803" i="5"/>
  <c r="AN803" i="5"/>
  <c r="AM803" i="5"/>
  <c r="AL803" i="5"/>
  <c r="AK803" i="5"/>
  <c r="AJ803" i="5"/>
  <c r="AS802" i="5"/>
  <c r="AR802" i="5"/>
  <c r="AQ802" i="5"/>
  <c r="AP802" i="5"/>
  <c r="AO802" i="5"/>
  <c r="AN802" i="5"/>
  <c r="AM802" i="5"/>
  <c r="AL802" i="5"/>
  <c r="AK802" i="5"/>
  <c r="AJ802" i="5"/>
  <c r="AS801" i="5"/>
  <c r="AR801" i="5"/>
  <c r="AQ801" i="5"/>
  <c r="AP801" i="5"/>
  <c r="AO801" i="5"/>
  <c r="AN801" i="5"/>
  <c r="AM801" i="5"/>
  <c r="AL801" i="5"/>
  <c r="AK801" i="5"/>
  <c r="AJ801" i="5"/>
  <c r="AS800" i="5"/>
  <c r="AR800" i="5"/>
  <c r="AQ800" i="5"/>
  <c r="AP800" i="5"/>
  <c r="AO800" i="5"/>
  <c r="AN800" i="5"/>
  <c r="AM800" i="5"/>
  <c r="AL800" i="5"/>
  <c r="AK800" i="5"/>
  <c r="AJ800" i="5"/>
  <c r="AS799" i="5"/>
  <c r="AR799" i="5"/>
  <c r="AQ799" i="5"/>
  <c r="AP799" i="5"/>
  <c r="AO799" i="5"/>
  <c r="AN799" i="5"/>
  <c r="AM799" i="5"/>
  <c r="AL799" i="5"/>
  <c r="AK799" i="5"/>
  <c r="AJ799" i="5"/>
  <c r="AS798" i="5"/>
  <c r="AR798" i="5"/>
  <c r="AQ798" i="5"/>
  <c r="AP798" i="5"/>
  <c r="AO798" i="5"/>
  <c r="AN798" i="5"/>
  <c r="AM798" i="5"/>
  <c r="AL798" i="5"/>
  <c r="AK798" i="5"/>
  <c r="AJ798" i="5"/>
  <c r="AS797" i="5"/>
  <c r="AR797" i="5"/>
  <c r="AQ797" i="5"/>
  <c r="AP797" i="5"/>
  <c r="AO797" i="5"/>
  <c r="AN797" i="5"/>
  <c r="AM797" i="5"/>
  <c r="AL797" i="5"/>
  <c r="AK797" i="5"/>
  <c r="AJ797" i="5"/>
  <c r="AS796" i="5"/>
  <c r="AR796" i="5"/>
  <c r="AQ796" i="5"/>
  <c r="AP796" i="5"/>
  <c r="AO796" i="5"/>
  <c r="AN796" i="5"/>
  <c r="AM796" i="5"/>
  <c r="AL796" i="5"/>
  <c r="AK796" i="5"/>
  <c r="AJ796" i="5"/>
  <c r="AS795" i="5"/>
  <c r="AR795" i="5"/>
  <c r="AQ795" i="5"/>
  <c r="AP795" i="5"/>
  <c r="AO795" i="5"/>
  <c r="AN795" i="5"/>
  <c r="AM795" i="5"/>
  <c r="AL795" i="5"/>
  <c r="AK795" i="5"/>
  <c r="AJ795" i="5"/>
  <c r="AS794" i="5"/>
  <c r="AR794" i="5"/>
  <c r="AQ794" i="5"/>
  <c r="AP794" i="5"/>
  <c r="AO794" i="5"/>
  <c r="AN794" i="5"/>
  <c r="AM794" i="5"/>
  <c r="AL794" i="5"/>
  <c r="AK794" i="5"/>
  <c r="AJ794" i="5"/>
  <c r="AS793" i="5"/>
  <c r="AR793" i="5"/>
  <c r="AQ793" i="5"/>
  <c r="AP793" i="5"/>
  <c r="AO793" i="5"/>
  <c r="AN793" i="5"/>
  <c r="AM793" i="5"/>
  <c r="AL793" i="5"/>
  <c r="AK793" i="5"/>
  <c r="AJ793" i="5"/>
  <c r="AS792" i="5"/>
  <c r="AR792" i="5"/>
  <c r="AQ792" i="5"/>
  <c r="AP792" i="5"/>
  <c r="AO792" i="5"/>
  <c r="AN792" i="5"/>
  <c r="AM792" i="5"/>
  <c r="AL792" i="5"/>
  <c r="AK792" i="5"/>
  <c r="AJ792" i="5"/>
  <c r="AS791" i="5"/>
  <c r="AR791" i="5"/>
  <c r="AQ791" i="5"/>
  <c r="AP791" i="5"/>
  <c r="AO791" i="5"/>
  <c r="AN791" i="5"/>
  <c r="AM791" i="5"/>
  <c r="AL791" i="5"/>
  <c r="AK791" i="5"/>
  <c r="AJ791" i="5"/>
  <c r="AS790" i="5"/>
  <c r="AR790" i="5"/>
  <c r="AQ790" i="5"/>
  <c r="AP790" i="5"/>
  <c r="AO790" i="5"/>
  <c r="AN790" i="5"/>
  <c r="AM790" i="5"/>
  <c r="AL790" i="5"/>
  <c r="AK790" i="5"/>
  <c r="AJ790" i="5"/>
  <c r="AS789" i="5"/>
  <c r="AR789" i="5"/>
  <c r="AQ789" i="5"/>
  <c r="AP789" i="5"/>
  <c r="AO789" i="5"/>
  <c r="AN789" i="5"/>
  <c r="AM789" i="5"/>
  <c r="AL789" i="5"/>
  <c r="AK789" i="5"/>
  <c r="AJ789" i="5"/>
  <c r="AS788" i="5"/>
  <c r="AR788" i="5"/>
  <c r="AQ788" i="5"/>
  <c r="AP788" i="5"/>
  <c r="AO788" i="5"/>
  <c r="AN788" i="5"/>
  <c r="AM788" i="5"/>
  <c r="AL788" i="5"/>
  <c r="AK788" i="5"/>
  <c r="AJ788" i="5"/>
  <c r="AS787" i="5"/>
  <c r="AR787" i="5"/>
  <c r="AQ787" i="5"/>
  <c r="AP787" i="5"/>
  <c r="AO787" i="5"/>
  <c r="AN787" i="5"/>
  <c r="AM787" i="5"/>
  <c r="AL787" i="5"/>
  <c r="AK787" i="5"/>
  <c r="AJ787" i="5"/>
  <c r="AS786" i="5"/>
  <c r="AR786" i="5"/>
  <c r="AQ786" i="5"/>
  <c r="AP786" i="5"/>
  <c r="AO786" i="5"/>
  <c r="AN786" i="5"/>
  <c r="AM786" i="5"/>
  <c r="AL786" i="5"/>
  <c r="AK786" i="5"/>
  <c r="AJ786" i="5"/>
  <c r="AS785" i="5"/>
  <c r="AR785" i="5"/>
  <c r="AQ785" i="5"/>
  <c r="AP785" i="5"/>
  <c r="AO785" i="5"/>
  <c r="AN785" i="5"/>
  <c r="AM785" i="5"/>
  <c r="AL785" i="5"/>
  <c r="AK785" i="5"/>
  <c r="AJ785" i="5"/>
  <c r="AS784" i="5"/>
  <c r="AR784" i="5"/>
  <c r="AQ784" i="5"/>
  <c r="AP784" i="5"/>
  <c r="AO784" i="5"/>
  <c r="AN784" i="5"/>
  <c r="AM784" i="5"/>
  <c r="AL784" i="5"/>
  <c r="AK784" i="5"/>
  <c r="AJ784" i="5"/>
  <c r="AS783" i="5"/>
  <c r="AR783" i="5"/>
  <c r="AQ783" i="5"/>
  <c r="AP783" i="5"/>
  <c r="AO783" i="5"/>
  <c r="AN783" i="5"/>
  <c r="AM783" i="5"/>
  <c r="AL783" i="5"/>
  <c r="AK783" i="5"/>
  <c r="AJ783" i="5"/>
  <c r="AS782" i="5"/>
  <c r="AR782" i="5"/>
  <c r="AQ782" i="5"/>
  <c r="AP782" i="5"/>
  <c r="AO782" i="5"/>
  <c r="AN782" i="5"/>
  <c r="AM782" i="5"/>
  <c r="AL782" i="5"/>
  <c r="AK782" i="5"/>
  <c r="AJ782" i="5"/>
  <c r="AS781" i="5"/>
  <c r="AR781" i="5"/>
  <c r="AQ781" i="5"/>
  <c r="AP781" i="5"/>
  <c r="AO781" i="5"/>
  <c r="AN781" i="5"/>
  <c r="AM781" i="5"/>
  <c r="AL781" i="5"/>
  <c r="AK781" i="5"/>
  <c r="AJ781" i="5"/>
  <c r="AS780" i="5"/>
  <c r="AR780" i="5"/>
  <c r="AQ780" i="5"/>
  <c r="AP780" i="5"/>
  <c r="AO780" i="5"/>
  <c r="AN780" i="5"/>
  <c r="AM780" i="5"/>
  <c r="AL780" i="5"/>
  <c r="AK780" i="5"/>
  <c r="AJ780" i="5"/>
  <c r="AS779" i="5"/>
  <c r="AR779" i="5"/>
  <c r="AQ779" i="5"/>
  <c r="AP779" i="5"/>
  <c r="AO779" i="5"/>
  <c r="AN779" i="5"/>
  <c r="AM779" i="5"/>
  <c r="AL779" i="5"/>
  <c r="AK779" i="5"/>
  <c r="AJ779" i="5"/>
  <c r="AS778" i="5"/>
  <c r="AR778" i="5"/>
  <c r="AQ778" i="5"/>
  <c r="AP778" i="5"/>
  <c r="AO778" i="5"/>
  <c r="AN778" i="5"/>
  <c r="AM778" i="5"/>
  <c r="AL778" i="5"/>
  <c r="AK778" i="5"/>
  <c r="AJ778" i="5"/>
  <c r="AS777" i="5"/>
  <c r="AR777" i="5"/>
  <c r="AQ777" i="5"/>
  <c r="AP777" i="5"/>
  <c r="AO777" i="5"/>
  <c r="AN777" i="5"/>
  <c r="AM777" i="5"/>
  <c r="AL777" i="5"/>
  <c r="AK777" i="5"/>
  <c r="AJ777" i="5"/>
  <c r="AS776" i="5"/>
  <c r="AR776" i="5"/>
  <c r="AQ776" i="5"/>
  <c r="AP776" i="5"/>
  <c r="AO776" i="5"/>
  <c r="AN776" i="5"/>
  <c r="AM776" i="5"/>
  <c r="AL776" i="5"/>
  <c r="AK776" i="5"/>
  <c r="AJ776" i="5"/>
  <c r="AS775" i="5"/>
  <c r="AR775" i="5"/>
  <c r="AQ775" i="5"/>
  <c r="AP775" i="5"/>
  <c r="AO775" i="5"/>
  <c r="AN775" i="5"/>
  <c r="AM775" i="5"/>
  <c r="AL775" i="5"/>
  <c r="AK775" i="5"/>
  <c r="AJ775" i="5"/>
  <c r="AS774" i="5"/>
  <c r="AR774" i="5"/>
  <c r="AQ774" i="5"/>
  <c r="AP774" i="5"/>
  <c r="AO774" i="5"/>
  <c r="AN774" i="5"/>
  <c r="AM774" i="5"/>
  <c r="AL774" i="5"/>
  <c r="AK774" i="5"/>
  <c r="AJ774" i="5"/>
  <c r="AS773" i="5"/>
  <c r="AR773" i="5"/>
  <c r="AQ773" i="5"/>
  <c r="AP773" i="5"/>
  <c r="AO773" i="5"/>
  <c r="AN773" i="5"/>
  <c r="AM773" i="5"/>
  <c r="AL773" i="5"/>
  <c r="AK773" i="5"/>
  <c r="AJ773" i="5"/>
  <c r="AS772" i="5"/>
  <c r="AR772" i="5"/>
  <c r="AQ772" i="5"/>
  <c r="AP772" i="5"/>
  <c r="AO772" i="5"/>
  <c r="AN772" i="5"/>
  <c r="AM772" i="5"/>
  <c r="AL772" i="5"/>
  <c r="AK772" i="5"/>
  <c r="AJ772" i="5"/>
  <c r="AS771" i="5"/>
  <c r="AR771" i="5"/>
  <c r="AQ771" i="5"/>
  <c r="AP771" i="5"/>
  <c r="AO771" i="5"/>
  <c r="AN771" i="5"/>
  <c r="AM771" i="5"/>
  <c r="AL771" i="5"/>
  <c r="AK771" i="5"/>
  <c r="AJ771" i="5"/>
  <c r="AS770" i="5"/>
  <c r="AR770" i="5"/>
  <c r="AQ770" i="5"/>
  <c r="AP770" i="5"/>
  <c r="AO770" i="5"/>
  <c r="AN770" i="5"/>
  <c r="AM770" i="5"/>
  <c r="AL770" i="5"/>
  <c r="AK770" i="5"/>
  <c r="AJ770" i="5"/>
  <c r="AS769" i="5"/>
  <c r="AR769" i="5"/>
  <c r="AQ769" i="5"/>
  <c r="AP769" i="5"/>
  <c r="AO769" i="5"/>
  <c r="AN769" i="5"/>
  <c r="AM769" i="5"/>
  <c r="AL769" i="5"/>
  <c r="AK769" i="5"/>
  <c r="AJ769" i="5"/>
  <c r="AS768" i="5"/>
  <c r="AR768" i="5"/>
  <c r="AQ768" i="5"/>
  <c r="AP768" i="5"/>
  <c r="AO768" i="5"/>
  <c r="AN768" i="5"/>
  <c r="AM768" i="5"/>
  <c r="AL768" i="5"/>
  <c r="AK768" i="5"/>
  <c r="AJ768" i="5"/>
  <c r="AS767" i="5"/>
  <c r="AR767" i="5"/>
  <c r="AQ767" i="5"/>
  <c r="AP767" i="5"/>
  <c r="AO767" i="5"/>
  <c r="AN767" i="5"/>
  <c r="AM767" i="5"/>
  <c r="AL767" i="5"/>
  <c r="AK767" i="5"/>
  <c r="AJ767" i="5"/>
  <c r="AS766" i="5"/>
  <c r="AR766" i="5"/>
  <c r="AQ766" i="5"/>
  <c r="AP766" i="5"/>
  <c r="AO766" i="5"/>
  <c r="AN766" i="5"/>
  <c r="AM766" i="5"/>
  <c r="AL766" i="5"/>
  <c r="AK766" i="5"/>
  <c r="AJ766" i="5"/>
  <c r="AS765" i="5"/>
  <c r="AR765" i="5"/>
  <c r="AQ765" i="5"/>
  <c r="AP765" i="5"/>
  <c r="AO765" i="5"/>
  <c r="AN765" i="5"/>
  <c r="AM765" i="5"/>
  <c r="AL765" i="5"/>
  <c r="AK765" i="5"/>
  <c r="AJ765" i="5"/>
  <c r="AS764" i="5"/>
  <c r="AR764" i="5"/>
  <c r="AQ764" i="5"/>
  <c r="AP764" i="5"/>
  <c r="AO764" i="5"/>
  <c r="AN764" i="5"/>
  <c r="AM764" i="5"/>
  <c r="AL764" i="5"/>
  <c r="AK764" i="5"/>
  <c r="AJ764" i="5"/>
  <c r="AS763" i="5"/>
  <c r="AR763" i="5"/>
  <c r="AQ763" i="5"/>
  <c r="AP763" i="5"/>
  <c r="AO763" i="5"/>
  <c r="AN763" i="5"/>
  <c r="AM763" i="5"/>
  <c r="AL763" i="5"/>
  <c r="AK763" i="5"/>
  <c r="AJ763" i="5"/>
  <c r="AS762" i="5"/>
  <c r="AR762" i="5"/>
  <c r="AQ762" i="5"/>
  <c r="AP762" i="5"/>
  <c r="AO762" i="5"/>
  <c r="AN762" i="5"/>
  <c r="AM762" i="5"/>
  <c r="AL762" i="5"/>
  <c r="AK762" i="5"/>
  <c r="AJ762" i="5"/>
  <c r="AS761" i="5"/>
  <c r="AR761" i="5"/>
  <c r="AQ761" i="5"/>
  <c r="AP761" i="5"/>
  <c r="AO761" i="5"/>
  <c r="AN761" i="5"/>
  <c r="AM761" i="5"/>
  <c r="AL761" i="5"/>
  <c r="AK761" i="5"/>
  <c r="AJ761" i="5"/>
  <c r="AS760" i="5"/>
  <c r="AR760" i="5"/>
  <c r="AQ760" i="5"/>
  <c r="AP760" i="5"/>
  <c r="AO760" i="5"/>
  <c r="AN760" i="5"/>
  <c r="AM760" i="5"/>
  <c r="AL760" i="5"/>
  <c r="AK760" i="5"/>
  <c r="AJ760" i="5"/>
  <c r="AS759" i="5"/>
  <c r="AR759" i="5"/>
  <c r="AQ759" i="5"/>
  <c r="AP759" i="5"/>
  <c r="AO759" i="5"/>
  <c r="AN759" i="5"/>
  <c r="AM759" i="5"/>
  <c r="AL759" i="5"/>
  <c r="AK759" i="5"/>
  <c r="AJ759" i="5"/>
  <c r="AS758" i="5"/>
  <c r="AR758" i="5"/>
  <c r="AQ758" i="5"/>
  <c r="AP758" i="5"/>
  <c r="AO758" i="5"/>
  <c r="AN758" i="5"/>
  <c r="AM758" i="5"/>
  <c r="AL758" i="5"/>
  <c r="AK758" i="5"/>
  <c r="AJ758" i="5"/>
  <c r="AS757" i="5"/>
  <c r="AR757" i="5"/>
  <c r="AQ757" i="5"/>
  <c r="AP757" i="5"/>
  <c r="AO757" i="5"/>
  <c r="AN757" i="5"/>
  <c r="AM757" i="5"/>
  <c r="AL757" i="5"/>
  <c r="AK757" i="5"/>
  <c r="AJ757" i="5"/>
  <c r="AS756" i="5"/>
  <c r="AR756" i="5"/>
  <c r="AQ756" i="5"/>
  <c r="AP756" i="5"/>
  <c r="AO756" i="5"/>
  <c r="AN756" i="5"/>
  <c r="AM756" i="5"/>
  <c r="AL756" i="5"/>
  <c r="AK756" i="5"/>
  <c r="AJ756" i="5"/>
  <c r="AS755" i="5"/>
  <c r="AR755" i="5"/>
  <c r="AQ755" i="5"/>
  <c r="AP755" i="5"/>
  <c r="AO755" i="5"/>
  <c r="AN755" i="5"/>
  <c r="AM755" i="5"/>
  <c r="AL755" i="5"/>
  <c r="AK755" i="5"/>
  <c r="AJ755" i="5"/>
  <c r="AS754" i="5"/>
  <c r="AR754" i="5"/>
  <c r="AQ754" i="5"/>
  <c r="AP754" i="5"/>
  <c r="AO754" i="5"/>
  <c r="AN754" i="5"/>
  <c r="AM754" i="5"/>
  <c r="AL754" i="5"/>
  <c r="AK754" i="5"/>
  <c r="AJ754" i="5"/>
  <c r="AS753" i="5"/>
  <c r="AR753" i="5"/>
  <c r="AQ753" i="5"/>
  <c r="AP753" i="5"/>
  <c r="AO753" i="5"/>
  <c r="AN753" i="5"/>
  <c r="AM753" i="5"/>
  <c r="AL753" i="5"/>
  <c r="AK753" i="5"/>
  <c r="AJ753" i="5"/>
  <c r="AS752" i="5"/>
  <c r="AR752" i="5"/>
  <c r="AQ752" i="5"/>
  <c r="AP752" i="5"/>
  <c r="AO752" i="5"/>
  <c r="AN752" i="5"/>
  <c r="AM752" i="5"/>
  <c r="AL752" i="5"/>
  <c r="AK752" i="5"/>
  <c r="AJ752" i="5"/>
  <c r="AS751" i="5"/>
  <c r="AR751" i="5"/>
  <c r="AQ751" i="5"/>
  <c r="AP751" i="5"/>
  <c r="AO751" i="5"/>
  <c r="AN751" i="5"/>
  <c r="AM751" i="5"/>
  <c r="AL751" i="5"/>
  <c r="AK751" i="5"/>
  <c r="AJ751" i="5"/>
  <c r="AS750" i="5"/>
  <c r="AR750" i="5"/>
  <c r="AQ750" i="5"/>
  <c r="AP750" i="5"/>
  <c r="AO750" i="5"/>
  <c r="AN750" i="5"/>
  <c r="AM750" i="5"/>
  <c r="AL750" i="5"/>
  <c r="AK750" i="5"/>
  <c r="AJ750" i="5"/>
  <c r="AS749" i="5"/>
  <c r="AR749" i="5"/>
  <c r="AQ749" i="5"/>
  <c r="AP749" i="5"/>
  <c r="AO749" i="5"/>
  <c r="AN749" i="5"/>
  <c r="AM749" i="5"/>
  <c r="AL749" i="5"/>
  <c r="AK749" i="5"/>
  <c r="AJ749" i="5"/>
  <c r="AS748" i="5"/>
  <c r="AR748" i="5"/>
  <c r="AQ748" i="5"/>
  <c r="AP748" i="5"/>
  <c r="AO748" i="5"/>
  <c r="AN748" i="5"/>
  <c r="AM748" i="5"/>
  <c r="AL748" i="5"/>
  <c r="AK748" i="5"/>
  <c r="AJ748" i="5"/>
  <c r="AS747" i="5"/>
  <c r="AR747" i="5"/>
  <c r="AQ747" i="5"/>
  <c r="AP747" i="5"/>
  <c r="AO747" i="5"/>
  <c r="AN747" i="5"/>
  <c r="AM747" i="5"/>
  <c r="AL747" i="5"/>
  <c r="AK747" i="5"/>
  <c r="AJ747" i="5"/>
  <c r="AS746" i="5"/>
  <c r="AR746" i="5"/>
  <c r="AQ746" i="5"/>
  <c r="AP746" i="5"/>
  <c r="AO746" i="5"/>
  <c r="AN746" i="5"/>
  <c r="AM746" i="5"/>
  <c r="AL746" i="5"/>
  <c r="AK746" i="5"/>
  <c r="AJ746" i="5"/>
  <c r="AS745" i="5"/>
  <c r="AR745" i="5"/>
  <c r="AQ745" i="5"/>
  <c r="AP745" i="5"/>
  <c r="AO745" i="5"/>
  <c r="AN745" i="5"/>
  <c r="AM745" i="5"/>
  <c r="AL745" i="5"/>
  <c r="AK745" i="5"/>
  <c r="AJ745" i="5"/>
  <c r="AS744" i="5"/>
  <c r="AR744" i="5"/>
  <c r="AQ744" i="5"/>
  <c r="AP744" i="5"/>
  <c r="AO744" i="5"/>
  <c r="AN744" i="5"/>
  <c r="AM744" i="5"/>
  <c r="AL744" i="5"/>
  <c r="AK744" i="5"/>
  <c r="AJ744" i="5"/>
  <c r="AS743" i="5"/>
  <c r="AR743" i="5"/>
  <c r="AQ743" i="5"/>
  <c r="AP743" i="5"/>
  <c r="AO743" i="5"/>
  <c r="AN743" i="5"/>
  <c r="AM743" i="5"/>
  <c r="AL743" i="5"/>
  <c r="AK743" i="5"/>
  <c r="AJ743" i="5"/>
  <c r="AS742" i="5"/>
  <c r="AR742" i="5"/>
  <c r="AQ742" i="5"/>
  <c r="AP742" i="5"/>
  <c r="AO742" i="5"/>
  <c r="AN742" i="5"/>
  <c r="AM742" i="5"/>
  <c r="AL742" i="5"/>
  <c r="AK742" i="5"/>
  <c r="AJ742" i="5"/>
  <c r="AS741" i="5"/>
  <c r="AR741" i="5"/>
  <c r="AQ741" i="5"/>
  <c r="AP741" i="5"/>
  <c r="AO741" i="5"/>
  <c r="AN741" i="5"/>
  <c r="AM741" i="5"/>
  <c r="AL741" i="5"/>
  <c r="AK741" i="5"/>
  <c r="AJ741" i="5"/>
  <c r="AS740" i="5"/>
  <c r="AR740" i="5"/>
  <c r="AQ740" i="5"/>
  <c r="AP740" i="5"/>
  <c r="AO740" i="5"/>
  <c r="AN740" i="5"/>
  <c r="AM740" i="5"/>
  <c r="AL740" i="5"/>
  <c r="AK740" i="5"/>
  <c r="AJ740" i="5"/>
  <c r="AS739" i="5"/>
  <c r="AR739" i="5"/>
  <c r="AQ739" i="5"/>
  <c r="AP739" i="5"/>
  <c r="AO739" i="5"/>
  <c r="AN739" i="5"/>
  <c r="AM739" i="5"/>
  <c r="AL739" i="5"/>
  <c r="AK739" i="5"/>
  <c r="AJ739" i="5"/>
  <c r="AS738" i="5"/>
  <c r="AR738" i="5"/>
  <c r="AQ738" i="5"/>
  <c r="AP738" i="5"/>
  <c r="AO738" i="5"/>
  <c r="AN738" i="5"/>
  <c r="AM738" i="5"/>
  <c r="AL738" i="5"/>
  <c r="AK738" i="5"/>
  <c r="AJ738" i="5"/>
  <c r="AS737" i="5"/>
  <c r="AR737" i="5"/>
  <c r="AQ737" i="5"/>
  <c r="AP737" i="5"/>
  <c r="AO737" i="5"/>
  <c r="AN737" i="5"/>
  <c r="AM737" i="5"/>
  <c r="AL737" i="5"/>
  <c r="AK737" i="5"/>
  <c r="AJ737" i="5"/>
  <c r="AS736" i="5"/>
  <c r="AR736" i="5"/>
  <c r="AQ736" i="5"/>
  <c r="AP736" i="5"/>
  <c r="AO736" i="5"/>
  <c r="AN736" i="5"/>
  <c r="AM736" i="5"/>
  <c r="AL736" i="5"/>
  <c r="AK736" i="5"/>
  <c r="AJ736" i="5"/>
  <c r="AS735" i="5"/>
  <c r="AR735" i="5"/>
  <c r="AQ735" i="5"/>
  <c r="AP735" i="5"/>
  <c r="AO735" i="5"/>
  <c r="AN735" i="5"/>
  <c r="AM735" i="5"/>
  <c r="AL735" i="5"/>
  <c r="AK735" i="5"/>
  <c r="AJ735" i="5"/>
  <c r="AS734" i="5"/>
  <c r="AR734" i="5"/>
  <c r="AQ734" i="5"/>
  <c r="AP734" i="5"/>
  <c r="AO734" i="5"/>
  <c r="AN734" i="5"/>
  <c r="AM734" i="5"/>
  <c r="AL734" i="5"/>
  <c r="AK734" i="5"/>
  <c r="AJ734" i="5"/>
  <c r="AS733" i="5"/>
  <c r="AR733" i="5"/>
  <c r="AQ733" i="5"/>
  <c r="AP733" i="5"/>
  <c r="AO733" i="5"/>
  <c r="AN733" i="5"/>
  <c r="AM733" i="5"/>
  <c r="AL733" i="5"/>
  <c r="AK733" i="5"/>
  <c r="AJ733" i="5"/>
  <c r="AS732" i="5"/>
  <c r="AR732" i="5"/>
  <c r="AQ732" i="5"/>
  <c r="AP732" i="5"/>
  <c r="AO732" i="5"/>
  <c r="AN732" i="5"/>
  <c r="AM732" i="5"/>
  <c r="AL732" i="5"/>
  <c r="AK732" i="5"/>
  <c r="AJ732" i="5"/>
  <c r="AS731" i="5"/>
  <c r="AR731" i="5"/>
  <c r="AQ731" i="5"/>
  <c r="AP731" i="5"/>
  <c r="AO731" i="5"/>
  <c r="AN731" i="5"/>
  <c r="AM731" i="5"/>
  <c r="AL731" i="5"/>
  <c r="AK731" i="5"/>
  <c r="AJ731" i="5"/>
  <c r="AS730" i="5"/>
  <c r="AR730" i="5"/>
  <c r="AQ730" i="5"/>
  <c r="AP730" i="5"/>
  <c r="AO730" i="5"/>
  <c r="AN730" i="5"/>
  <c r="AM730" i="5"/>
  <c r="AL730" i="5"/>
  <c r="AK730" i="5"/>
  <c r="AJ730" i="5"/>
  <c r="AS729" i="5"/>
  <c r="AR729" i="5"/>
  <c r="AQ729" i="5"/>
  <c r="AP729" i="5"/>
  <c r="AO729" i="5"/>
  <c r="AN729" i="5"/>
  <c r="AM729" i="5"/>
  <c r="AL729" i="5"/>
  <c r="AK729" i="5"/>
  <c r="AJ729" i="5"/>
  <c r="AS728" i="5"/>
  <c r="AR728" i="5"/>
  <c r="AQ728" i="5"/>
  <c r="AP728" i="5"/>
  <c r="AO728" i="5"/>
  <c r="AN728" i="5"/>
  <c r="AM728" i="5"/>
  <c r="AL728" i="5"/>
  <c r="AK728" i="5"/>
  <c r="AJ728" i="5"/>
  <c r="AS727" i="5"/>
  <c r="AR727" i="5"/>
  <c r="AQ727" i="5"/>
  <c r="AP727" i="5"/>
  <c r="AO727" i="5"/>
  <c r="AN727" i="5"/>
  <c r="AM727" i="5"/>
  <c r="AL727" i="5"/>
  <c r="AK727" i="5"/>
  <c r="AJ727" i="5"/>
  <c r="AS726" i="5"/>
  <c r="AR726" i="5"/>
  <c r="AQ726" i="5"/>
  <c r="AP726" i="5"/>
  <c r="AO726" i="5"/>
  <c r="AN726" i="5"/>
  <c r="AM726" i="5"/>
  <c r="AL726" i="5"/>
  <c r="AK726" i="5"/>
  <c r="AJ726" i="5"/>
  <c r="AS725" i="5"/>
  <c r="AR725" i="5"/>
  <c r="AQ725" i="5"/>
  <c r="AP725" i="5"/>
  <c r="AO725" i="5"/>
  <c r="AN725" i="5"/>
  <c r="AM725" i="5"/>
  <c r="AL725" i="5"/>
  <c r="AK725" i="5"/>
  <c r="AJ725" i="5"/>
  <c r="AS724" i="5"/>
  <c r="AR724" i="5"/>
  <c r="AQ724" i="5"/>
  <c r="AP724" i="5"/>
  <c r="AO724" i="5"/>
  <c r="AN724" i="5"/>
  <c r="AM724" i="5"/>
  <c r="AL724" i="5"/>
  <c r="AK724" i="5"/>
  <c r="AJ724" i="5"/>
  <c r="AS723" i="5"/>
  <c r="AR723" i="5"/>
  <c r="AQ723" i="5"/>
  <c r="AP723" i="5"/>
  <c r="AO723" i="5"/>
  <c r="AN723" i="5"/>
  <c r="AM723" i="5"/>
  <c r="AL723" i="5"/>
  <c r="AK723" i="5"/>
  <c r="AJ723" i="5"/>
  <c r="AS722" i="5"/>
  <c r="AR722" i="5"/>
  <c r="AQ722" i="5"/>
  <c r="AP722" i="5"/>
  <c r="AO722" i="5"/>
  <c r="AN722" i="5"/>
  <c r="AM722" i="5"/>
  <c r="AL722" i="5"/>
  <c r="AK722" i="5"/>
  <c r="AJ722" i="5"/>
  <c r="AS721" i="5"/>
  <c r="AR721" i="5"/>
  <c r="AQ721" i="5"/>
  <c r="AP721" i="5"/>
  <c r="AO721" i="5"/>
  <c r="AN721" i="5"/>
  <c r="AM721" i="5"/>
  <c r="AL721" i="5"/>
  <c r="AK721" i="5"/>
  <c r="AJ721" i="5"/>
  <c r="AS720" i="5"/>
  <c r="AR720" i="5"/>
  <c r="AQ720" i="5"/>
  <c r="AP720" i="5"/>
  <c r="AO720" i="5"/>
  <c r="AN720" i="5"/>
  <c r="AM720" i="5"/>
  <c r="AL720" i="5"/>
  <c r="AK720" i="5"/>
  <c r="AJ720" i="5"/>
  <c r="AS719" i="5"/>
  <c r="AR719" i="5"/>
  <c r="AQ719" i="5"/>
  <c r="AP719" i="5"/>
  <c r="AO719" i="5"/>
  <c r="AN719" i="5"/>
  <c r="AM719" i="5"/>
  <c r="AL719" i="5"/>
  <c r="AK719" i="5"/>
  <c r="AJ719" i="5"/>
  <c r="AS718" i="5"/>
  <c r="AR718" i="5"/>
  <c r="AQ718" i="5"/>
  <c r="AP718" i="5"/>
  <c r="AO718" i="5"/>
  <c r="AN718" i="5"/>
  <c r="AM718" i="5"/>
  <c r="AL718" i="5"/>
  <c r="AK718" i="5"/>
  <c r="AJ718" i="5"/>
  <c r="AS717" i="5"/>
  <c r="AR717" i="5"/>
  <c r="AQ717" i="5"/>
  <c r="AP717" i="5"/>
  <c r="AO717" i="5"/>
  <c r="AN717" i="5"/>
  <c r="AM717" i="5"/>
  <c r="AL717" i="5"/>
  <c r="AK717" i="5"/>
  <c r="AJ717" i="5"/>
  <c r="AS716" i="5"/>
  <c r="AR716" i="5"/>
  <c r="AQ716" i="5"/>
  <c r="AP716" i="5"/>
  <c r="AO716" i="5"/>
  <c r="AN716" i="5"/>
  <c r="AM716" i="5"/>
  <c r="AL716" i="5"/>
  <c r="AK716" i="5"/>
  <c r="AJ716" i="5"/>
  <c r="AS715" i="5"/>
  <c r="AR715" i="5"/>
  <c r="AQ715" i="5"/>
  <c r="AP715" i="5"/>
  <c r="AO715" i="5"/>
  <c r="AN715" i="5"/>
  <c r="AM715" i="5"/>
  <c r="AL715" i="5"/>
  <c r="AK715" i="5"/>
  <c r="AJ715" i="5"/>
  <c r="AS714" i="5"/>
  <c r="AR714" i="5"/>
  <c r="AQ714" i="5"/>
  <c r="AP714" i="5"/>
  <c r="AO714" i="5"/>
  <c r="AN714" i="5"/>
  <c r="AM714" i="5"/>
  <c r="AL714" i="5"/>
  <c r="AK714" i="5"/>
  <c r="AJ714" i="5"/>
  <c r="AS713" i="5"/>
  <c r="AR713" i="5"/>
  <c r="AQ713" i="5"/>
  <c r="AP713" i="5"/>
  <c r="AO713" i="5"/>
  <c r="AN713" i="5"/>
  <c r="AM713" i="5"/>
  <c r="AL713" i="5"/>
  <c r="AK713" i="5"/>
  <c r="AJ713" i="5"/>
  <c r="AS712" i="5"/>
  <c r="AR712" i="5"/>
  <c r="AQ712" i="5"/>
  <c r="AP712" i="5"/>
  <c r="AO712" i="5"/>
  <c r="AN712" i="5"/>
  <c r="AM712" i="5"/>
  <c r="AL712" i="5"/>
  <c r="AK712" i="5"/>
  <c r="AJ712" i="5"/>
  <c r="AS711" i="5"/>
  <c r="AR711" i="5"/>
  <c r="AQ711" i="5"/>
  <c r="AP711" i="5"/>
  <c r="AO711" i="5"/>
  <c r="AN711" i="5"/>
  <c r="AM711" i="5"/>
  <c r="AL711" i="5"/>
  <c r="AK711" i="5"/>
  <c r="AJ711" i="5"/>
  <c r="AS710" i="5"/>
  <c r="AR710" i="5"/>
  <c r="AQ710" i="5"/>
  <c r="AP710" i="5"/>
  <c r="AO710" i="5"/>
  <c r="AN710" i="5"/>
  <c r="AM710" i="5"/>
  <c r="AL710" i="5"/>
  <c r="AK710" i="5"/>
  <c r="AJ710" i="5"/>
  <c r="AS709" i="5"/>
  <c r="AR709" i="5"/>
  <c r="AQ709" i="5"/>
  <c r="AP709" i="5"/>
  <c r="AO709" i="5"/>
  <c r="AN709" i="5"/>
  <c r="AM709" i="5"/>
  <c r="AL709" i="5"/>
  <c r="AK709" i="5"/>
  <c r="AJ709" i="5"/>
  <c r="AS708" i="5"/>
  <c r="AR708" i="5"/>
  <c r="AQ708" i="5"/>
  <c r="AP708" i="5"/>
  <c r="AO708" i="5"/>
  <c r="AN708" i="5"/>
  <c r="AM708" i="5"/>
  <c r="AL708" i="5"/>
  <c r="AK708" i="5"/>
  <c r="AJ708" i="5"/>
  <c r="AS707" i="5"/>
  <c r="AR707" i="5"/>
  <c r="AQ707" i="5"/>
  <c r="AP707" i="5"/>
  <c r="AO707" i="5"/>
  <c r="AN707" i="5"/>
  <c r="AM707" i="5"/>
  <c r="AL707" i="5"/>
  <c r="AK707" i="5"/>
  <c r="AJ707" i="5"/>
  <c r="AS706" i="5"/>
  <c r="AR706" i="5"/>
  <c r="AQ706" i="5"/>
  <c r="AP706" i="5"/>
  <c r="AO706" i="5"/>
  <c r="AN706" i="5"/>
  <c r="AM706" i="5"/>
  <c r="AL706" i="5"/>
  <c r="AK706" i="5"/>
  <c r="AJ706" i="5"/>
  <c r="AS705" i="5"/>
  <c r="AR705" i="5"/>
  <c r="AQ705" i="5"/>
  <c r="AP705" i="5"/>
  <c r="AO705" i="5"/>
  <c r="AN705" i="5"/>
  <c r="AM705" i="5"/>
  <c r="AL705" i="5"/>
  <c r="AK705" i="5"/>
  <c r="AJ705" i="5"/>
  <c r="AS704" i="5"/>
  <c r="AR704" i="5"/>
  <c r="AQ704" i="5"/>
  <c r="AP704" i="5"/>
  <c r="AO704" i="5"/>
  <c r="AN704" i="5"/>
  <c r="AM704" i="5"/>
  <c r="AL704" i="5"/>
  <c r="AK704" i="5"/>
  <c r="AJ704" i="5"/>
  <c r="AS703" i="5"/>
  <c r="AR703" i="5"/>
  <c r="AQ703" i="5"/>
  <c r="AP703" i="5"/>
  <c r="AO703" i="5"/>
  <c r="AN703" i="5"/>
  <c r="AM703" i="5"/>
  <c r="AL703" i="5"/>
  <c r="AK703" i="5"/>
  <c r="AJ703" i="5"/>
  <c r="AS702" i="5"/>
  <c r="AR702" i="5"/>
  <c r="AQ702" i="5"/>
  <c r="AP702" i="5"/>
  <c r="AO702" i="5"/>
  <c r="AN702" i="5"/>
  <c r="AM702" i="5"/>
  <c r="AL702" i="5"/>
  <c r="AK702" i="5"/>
  <c r="AJ702" i="5"/>
  <c r="AS701" i="5"/>
  <c r="AR701" i="5"/>
  <c r="AQ701" i="5"/>
  <c r="AP701" i="5"/>
  <c r="AO701" i="5"/>
  <c r="AN701" i="5"/>
  <c r="AM701" i="5"/>
  <c r="AL701" i="5"/>
  <c r="AK701" i="5"/>
  <c r="AJ701" i="5"/>
  <c r="AS700" i="5"/>
  <c r="AR700" i="5"/>
  <c r="AQ700" i="5"/>
  <c r="AP700" i="5"/>
  <c r="AO700" i="5"/>
  <c r="AN700" i="5"/>
  <c r="AM700" i="5"/>
  <c r="AL700" i="5"/>
  <c r="AK700" i="5"/>
  <c r="AJ700" i="5"/>
  <c r="AS699" i="5"/>
  <c r="AR699" i="5"/>
  <c r="AQ699" i="5"/>
  <c r="AP699" i="5"/>
  <c r="AO699" i="5"/>
  <c r="AN699" i="5"/>
  <c r="AM699" i="5"/>
  <c r="AL699" i="5"/>
  <c r="AK699" i="5"/>
  <c r="AJ699" i="5"/>
  <c r="AS698" i="5"/>
  <c r="AR698" i="5"/>
  <c r="AQ698" i="5"/>
  <c r="AP698" i="5"/>
  <c r="AO698" i="5"/>
  <c r="AN698" i="5"/>
  <c r="AM698" i="5"/>
  <c r="AL698" i="5"/>
  <c r="AK698" i="5"/>
  <c r="AJ698" i="5"/>
  <c r="AS697" i="5"/>
  <c r="AR697" i="5"/>
  <c r="AQ697" i="5"/>
  <c r="AP697" i="5"/>
  <c r="AO697" i="5"/>
  <c r="AN697" i="5"/>
  <c r="AM697" i="5"/>
  <c r="AL697" i="5"/>
  <c r="AK697" i="5"/>
  <c r="AJ697" i="5"/>
  <c r="AS696" i="5"/>
  <c r="AR696" i="5"/>
  <c r="AQ696" i="5"/>
  <c r="AP696" i="5"/>
  <c r="AO696" i="5"/>
  <c r="AN696" i="5"/>
  <c r="AM696" i="5"/>
  <c r="AL696" i="5"/>
  <c r="AK696" i="5"/>
  <c r="AJ696" i="5"/>
  <c r="AS695" i="5"/>
  <c r="AR695" i="5"/>
  <c r="AQ695" i="5"/>
  <c r="AP695" i="5"/>
  <c r="AO695" i="5"/>
  <c r="AN695" i="5"/>
  <c r="AM695" i="5"/>
  <c r="AL695" i="5"/>
  <c r="AK695" i="5"/>
  <c r="AJ695" i="5"/>
  <c r="AS694" i="5"/>
  <c r="AR694" i="5"/>
  <c r="AQ694" i="5"/>
  <c r="AP694" i="5"/>
  <c r="AO694" i="5"/>
  <c r="AN694" i="5"/>
  <c r="AM694" i="5"/>
  <c r="AL694" i="5"/>
  <c r="AK694" i="5"/>
  <c r="AJ694" i="5"/>
  <c r="AS693" i="5"/>
  <c r="AR693" i="5"/>
  <c r="AQ693" i="5"/>
  <c r="AP693" i="5"/>
  <c r="AO693" i="5"/>
  <c r="AN693" i="5"/>
  <c r="AM693" i="5"/>
  <c r="AL693" i="5"/>
  <c r="AK693" i="5"/>
  <c r="AJ693" i="5"/>
  <c r="AS692" i="5"/>
  <c r="AR692" i="5"/>
  <c r="AQ692" i="5"/>
  <c r="AP692" i="5"/>
  <c r="AO692" i="5"/>
  <c r="AN692" i="5"/>
  <c r="AM692" i="5"/>
  <c r="AL692" i="5"/>
  <c r="AK692" i="5"/>
  <c r="AJ692" i="5"/>
  <c r="AS691" i="5"/>
  <c r="AR691" i="5"/>
  <c r="AQ691" i="5"/>
  <c r="AP691" i="5"/>
  <c r="AO691" i="5"/>
  <c r="AN691" i="5"/>
  <c r="AM691" i="5"/>
  <c r="AL691" i="5"/>
  <c r="AK691" i="5"/>
  <c r="AJ691" i="5"/>
  <c r="AS690" i="5"/>
  <c r="AR690" i="5"/>
  <c r="AQ690" i="5"/>
  <c r="AP690" i="5"/>
  <c r="AO690" i="5"/>
  <c r="AN690" i="5"/>
  <c r="AM690" i="5"/>
  <c r="AL690" i="5"/>
  <c r="AK690" i="5"/>
  <c r="AJ690" i="5"/>
  <c r="AS689" i="5"/>
  <c r="AR689" i="5"/>
  <c r="AQ689" i="5"/>
  <c r="AP689" i="5"/>
  <c r="AO689" i="5"/>
  <c r="AN689" i="5"/>
  <c r="AM689" i="5"/>
  <c r="AL689" i="5"/>
  <c r="AK689" i="5"/>
  <c r="AJ689" i="5"/>
  <c r="AS688" i="5"/>
  <c r="AR688" i="5"/>
  <c r="AQ688" i="5"/>
  <c r="AP688" i="5"/>
  <c r="AO688" i="5"/>
  <c r="AN688" i="5"/>
  <c r="AM688" i="5"/>
  <c r="AL688" i="5"/>
  <c r="AK688" i="5"/>
  <c r="AJ688" i="5"/>
  <c r="AS687" i="5"/>
  <c r="AR687" i="5"/>
  <c r="AQ687" i="5"/>
  <c r="AP687" i="5"/>
  <c r="AO687" i="5"/>
  <c r="AN687" i="5"/>
  <c r="AM687" i="5"/>
  <c r="AL687" i="5"/>
  <c r="AK687" i="5"/>
  <c r="AJ687" i="5"/>
  <c r="AS686" i="5"/>
  <c r="AR686" i="5"/>
  <c r="AQ686" i="5"/>
  <c r="AP686" i="5"/>
  <c r="AO686" i="5"/>
  <c r="AN686" i="5"/>
  <c r="AM686" i="5"/>
  <c r="AL686" i="5"/>
  <c r="AK686" i="5"/>
  <c r="AJ686" i="5"/>
  <c r="AS685" i="5"/>
  <c r="AR685" i="5"/>
  <c r="AQ685" i="5"/>
  <c r="AP685" i="5"/>
  <c r="AO685" i="5"/>
  <c r="AN685" i="5"/>
  <c r="AM685" i="5"/>
  <c r="AL685" i="5"/>
  <c r="AK685" i="5"/>
  <c r="AJ685" i="5"/>
  <c r="AS684" i="5"/>
  <c r="AR684" i="5"/>
  <c r="AQ684" i="5"/>
  <c r="AP684" i="5"/>
  <c r="AO684" i="5"/>
  <c r="AN684" i="5"/>
  <c r="AM684" i="5"/>
  <c r="AL684" i="5"/>
  <c r="AK684" i="5"/>
  <c r="AJ684" i="5"/>
  <c r="AS683" i="5"/>
  <c r="AR683" i="5"/>
  <c r="AQ683" i="5"/>
  <c r="AP683" i="5"/>
  <c r="AO683" i="5"/>
  <c r="AN683" i="5"/>
  <c r="AM683" i="5"/>
  <c r="AL683" i="5"/>
  <c r="AK683" i="5"/>
  <c r="AJ683" i="5"/>
  <c r="AS682" i="5"/>
  <c r="AR682" i="5"/>
  <c r="AQ682" i="5"/>
  <c r="AP682" i="5"/>
  <c r="AO682" i="5"/>
  <c r="AN682" i="5"/>
  <c r="AM682" i="5"/>
  <c r="AL682" i="5"/>
  <c r="AK682" i="5"/>
  <c r="AJ682" i="5"/>
  <c r="AS681" i="5"/>
  <c r="AR681" i="5"/>
  <c r="AQ681" i="5"/>
  <c r="AP681" i="5"/>
  <c r="AO681" i="5"/>
  <c r="AN681" i="5"/>
  <c r="AM681" i="5"/>
  <c r="AL681" i="5"/>
  <c r="AK681" i="5"/>
  <c r="AJ681" i="5"/>
  <c r="AS680" i="5"/>
  <c r="AR680" i="5"/>
  <c r="AQ680" i="5"/>
  <c r="AP680" i="5"/>
  <c r="AO680" i="5"/>
  <c r="AN680" i="5"/>
  <c r="AM680" i="5"/>
  <c r="AL680" i="5"/>
  <c r="AK680" i="5"/>
  <c r="AJ680" i="5"/>
  <c r="AS679" i="5"/>
  <c r="AR679" i="5"/>
  <c r="AQ679" i="5"/>
  <c r="AP679" i="5"/>
  <c r="AO679" i="5"/>
  <c r="AN679" i="5"/>
  <c r="AM679" i="5"/>
  <c r="AL679" i="5"/>
  <c r="AK679" i="5"/>
  <c r="AJ679" i="5"/>
  <c r="AS678" i="5"/>
  <c r="AR678" i="5"/>
  <c r="AQ678" i="5"/>
  <c r="AP678" i="5"/>
  <c r="AO678" i="5"/>
  <c r="AN678" i="5"/>
  <c r="AM678" i="5"/>
  <c r="AL678" i="5"/>
  <c r="AK678" i="5"/>
  <c r="AJ678" i="5"/>
  <c r="AS677" i="5"/>
  <c r="AR677" i="5"/>
  <c r="AQ677" i="5"/>
  <c r="AP677" i="5"/>
  <c r="AO677" i="5"/>
  <c r="AN677" i="5"/>
  <c r="AM677" i="5"/>
  <c r="AL677" i="5"/>
  <c r="AK677" i="5"/>
  <c r="AJ677" i="5"/>
  <c r="AS676" i="5"/>
  <c r="AR676" i="5"/>
  <c r="AQ676" i="5"/>
  <c r="AP676" i="5"/>
  <c r="AO676" i="5"/>
  <c r="AN676" i="5"/>
  <c r="AM676" i="5"/>
  <c r="AL676" i="5"/>
  <c r="AK676" i="5"/>
  <c r="AJ676" i="5"/>
  <c r="AS675" i="5"/>
  <c r="AR675" i="5"/>
  <c r="AQ675" i="5"/>
  <c r="AP675" i="5"/>
  <c r="AO675" i="5"/>
  <c r="AN675" i="5"/>
  <c r="AM675" i="5"/>
  <c r="AL675" i="5"/>
  <c r="AK675" i="5"/>
  <c r="AJ675" i="5"/>
  <c r="AS674" i="5"/>
  <c r="AR674" i="5"/>
  <c r="AQ674" i="5"/>
  <c r="AP674" i="5"/>
  <c r="AO674" i="5"/>
  <c r="AN674" i="5"/>
  <c r="AM674" i="5"/>
  <c r="AL674" i="5"/>
  <c r="AK674" i="5"/>
  <c r="AJ674" i="5"/>
  <c r="AS673" i="5"/>
  <c r="AR673" i="5"/>
  <c r="AQ673" i="5"/>
  <c r="AP673" i="5"/>
  <c r="AO673" i="5"/>
  <c r="AN673" i="5"/>
  <c r="AM673" i="5"/>
  <c r="AL673" i="5"/>
  <c r="AK673" i="5"/>
  <c r="AJ673" i="5"/>
  <c r="AS672" i="5"/>
  <c r="AR672" i="5"/>
  <c r="AQ672" i="5"/>
  <c r="AP672" i="5"/>
  <c r="AO672" i="5"/>
  <c r="AN672" i="5"/>
  <c r="AM672" i="5"/>
  <c r="AL672" i="5"/>
  <c r="AK672" i="5"/>
  <c r="AJ672" i="5"/>
  <c r="AS671" i="5"/>
  <c r="AR671" i="5"/>
  <c r="AQ671" i="5"/>
  <c r="AP671" i="5"/>
  <c r="AO671" i="5"/>
  <c r="AN671" i="5"/>
  <c r="AM671" i="5"/>
  <c r="AL671" i="5"/>
  <c r="AK671" i="5"/>
  <c r="AJ671" i="5"/>
  <c r="AS670" i="5"/>
  <c r="AR670" i="5"/>
  <c r="AQ670" i="5"/>
  <c r="AP670" i="5"/>
  <c r="AO670" i="5"/>
  <c r="AN670" i="5"/>
  <c r="AM670" i="5"/>
  <c r="AL670" i="5"/>
  <c r="AK670" i="5"/>
  <c r="AJ670" i="5"/>
  <c r="AS669" i="5"/>
  <c r="AR669" i="5"/>
  <c r="AQ669" i="5"/>
  <c r="AP669" i="5"/>
  <c r="AO669" i="5"/>
  <c r="AN669" i="5"/>
  <c r="AM669" i="5"/>
  <c r="AL669" i="5"/>
  <c r="AK669" i="5"/>
  <c r="AJ669" i="5"/>
  <c r="AS668" i="5"/>
  <c r="AR668" i="5"/>
  <c r="AQ668" i="5"/>
  <c r="AP668" i="5"/>
  <c r="AO668" i="5"/>
  <c r="AN668" i="5"/>
  <c r="AM668" i="5"/>
  <c r="AL668" i="5"/>
  <c r="AK668" i="5"/>
  <c r="AJ668" i="5"/>
  <c r="AS667" i="5"/>
  <c r="AR667" i="5"/>
  <c r="AQ667" i="5"/>
  <c r="AP667" i="5"/>
  <c r="AO667" i="5"/>
  <c r="AN667" i="5"/>
  <c r="AM667" i="5"/>
  <c r="AL667" i="5"/>
  <c r="AK667" i="5"/>
  <c r="AJ667" i="5"/>
  <c r="AS666" i="5"/>
  <c r="AR666" i="5"/>
  <c r="AQ666" i="5"/>
  <c r="AP666" i="5"/>
  <c r="AO666" i="5"/>
  <c r="AN666" i="5"/>
  <c r="AM666" i="5"/>
  <c r="AL666" i="5"/>
  <c r="AK666" i="5"/>
  <c r="AJ666" i="5"/>
  <c r="AS665" i="5"/>
  <c r="AR665" i="5"/>
  <c r="AQ665" i="5"/>
  <c r="AP665" i="5"/>
  <c r="AO665" i="5"/>
  <c r="AN665" i="5"/>
  <c r="AM665" i="5"/>
  <c r="AL665" i="5"/>
  <c r="AK665" i="5"/>
  <c r="AJ665" i="5"/>
  <c r="AS664" i="5"/>
  <c r="AR664" i="5"/>
  <c r="AQ664" i="5"/>
  <c r="AP664" i="5"/>
  <c r="AO664" i="5"/>
  <c r="AN664" i="5"/>
  <c r="AM664" i="5"/>
  <c r="AL664" i="5"/>
  <c r="AK664" i="5"/>
  <c r="AJ664" i="5"/>
  <c r="AS663" i="5"/>
  <c r="AR663" i="5"/>
  <c r="AQ663" i="5"/>
  <c r="AP663" i="5"/>
  <c r="AO663" i="5"/>
  <c r="AN663" i="5"/>
  <c r="AM663" i="5"/>
  <c r="AL663" i="5"/>
  <c r="AK663" i="5"/>
  <c r="AJ663" i="5"/>
  <c r="AS662" i="5"/>
  <c r="AR662" i="5"/>
  <c r="AQ662" i="5"/>
  <c r="AP662" i="5"/>
  <c r="AO662" i="5"/>
  <c r="AN662" i="5"/>
  <c r="AM662" i="5"/>
  <c r="AL662" i="5"/>
  <c r="AK662" i="5"/>
  <c r="AJ662" i="5"/>
  <c r="AS661" i="5"/>
  <c r="AR661" i="5"/>
  <c r="AQ661" i="5"/>
  <c r="AP661" i="5"/>
  <c r="AO661" i="5"/>
  <c r="AN661" i="5"/>
  <c r="AM661" i="5"/>
  <c r="AL661" i="5"/>
  <c r="AK661" i="5"/>
  <c r="AJ661" i="5"/>
  <c r="AS660" i="5"/>
  <c r="AR660" i="5"/>
  <c r="AQ660" i="5"/>
  <c r="AP660" i="5"/>
  <c r="AO660" i="5"/>
  <c r="AN660" i="5"/>
  <c r="AM660" i="5"/>
  <c r="AL660" i="5"/>
  <c r="AK660" i="5"/>
  <c r="AJ660" i="5"/>
  <c r="AS659" i="5"/>
  <c r="AR659" i="5"/>
  <c r="AQ659" i="5"/>
  <c r="AP659" i="5"/>
  <c r="AO659" i="5"/>
  <c r="AN659" i="5"/>
  <c r="AM659" i="5"/>
  <c r="AL659" i="5"/>
  <c r="AK659" i="5"/>
  <c r="AJ659" i="5"/>
  <c r="AS658" i="5"/>
  <c r="AR658" i="5"/>
  <c r="AQ658" i="5"/>
  <c r="AP658" i="5"/>
  <c r="AO658" i="5"/>
  <c r="AN658" i="5"/>
  <c r="AM658" i="5"/>
  <c r="AL658" i="5"/>
  <c r="AK658" i="5"/>
  <c r="AJ658" i="5"/>
  <c r="AS657" i="5"/>
  <c r="AR657" i="5"/>
  <c r="AQ657" i="5"/>
  <c r="AP657" i="5"/>
  <c r="AO657" i="5"/>
  <c r="AN657" i="5"/>
  <c r="AM657" i="5"/>
  <c r="AL657" i="5"/>
  <c r="AK657" i="5"/>
  <c r="AJ657" i="5"/>
  <c r="AS656" i="5"/>
  <c r="AR656" i="5"/>
  <c r="AQ656" i="5"/>
  <c r="AP656" i="5"/>
  <c r="AO656" i="5"/>
  <c r="AN656" i="5"/>
  <c r="AM656" i="5"/>
  <c r="AL656" i="5"/>
  <c r="AK656" i="5"/>
  <c r="AJ656" i="5"/>
  <c r="AS655" i="5"/>
  <c r="AR655" i="5"/>
  <c r="AQ655" i="5"/>
  <c r="AP655" i="5"/>
  <c r="AO655" i="5"/>
  <c r="AN655" i="5"/>
  <c r="AM655" i="5"/>
  <c r="AL655" i="5"/>
  <c r="AK655" i="5"/>
  <c r="AJ655" i="5"/>
  <c r="AS654" i="5"/>
  <c r="AR654" i="5"/>
  <c r="AQ654" i="5"/>
  <c r="AP654" i="5"/>
  <c r="AO654" i="5"/>
  <c r="AN654" i="5"/>
  <c r="AM654" i="5"/>
  <c r="AL654" i="5"/>
  <c r="AK654" i="5"/>
  <c r="AJ654" i="5"/>
  <c r="AS653" i="5"/>
  <c r="AR653" i="5"/>
  <c r="AQ653" i="5"/>
  <c r="AP653" i="5"/>
  <c r="AO653" i="5"/>
  <c r="AN653" i="5"/>
  <c r="AM653" i="5"/>
  <c r="AL653" i="5"/>
  <c r="AK653" i="5"/>
  <c r="AJ653" i="5"/>
  <c r="AS652" i="5"/>
  <c r="AR652" i="5"/>
  <c r="AQ652" i="5"/>
  <c r="AP652" i="5"/>
  <c r="AO652" i="5"/>
  <c r="AN652" i="5"/>
  <c r="AM652" i="5"/>
  <c r="AL652" i="5"/>
  <c r="AK652" i="5"/>
  <c r="AJ652" i="5"/>
  <c r="AS651" i="5"/>
  <c r="AR651" i="5"/>
  <c r="AQ651" i="5"/>
  <c r="AP651" i="5"/>
  <c r="AO651" i="5"/>
  <c r="AN651" i="5"/>
  <c r="AM651" i="5"/>
  <c r="AL651" i="5"/>
  <c r="AK651" i="5"/>
  <c r="AJ651" i="5"/>
  <c r="AS650" i="5"/>
  <c r="AR650" i="5"/>
  <c r="AQ650" i="5"/>
  <c r="AP650" i="5"/>
  <c r="AO650" i="5"/>
  <c r="AN650" i="5"/>
  <c r="AM650" i="5"/>
  <c r="AL650" i="5"/>
  <c r="AK650" i="5"/>
  <c r="AJ650" i="5"/>
  <c r="AS649" i="5"/>
  <c r="AR649" i="5"/>
  <c r="AQ649" i="5"/>
  <c r="AP649" i="5"/>
  <c r="AO649" i="5"/>
  <c r="AN649" i="5"/>
  <c r="AM649" i="5"/>
  <c r="AL649" i="5"/>
  <c r="AK649" i="5"/>
  <c r="AJ649" i="5"/>
  <c r="AS648" i="5"/>
  <c r="AR648" i="5"/>
  <c r="AQ648" i="5"/>
  <c r="AP648" i="5"/>
  <c r="AO648" i="5"/>
  <c r="AN648" i="5"/>
  <c r="AM648" i="5"/>
  <c r="AL648" i="5"/>
  <c r="AK648" i="5"/>
  <c r="AJ648" i="5"/>
  <c r="AS647" i="5"/>
  <c r="AR647" i="5"/>
  <c r="AQ647" i="5"/>
  <c r="AP647" i="5"/>
  <c r="AO647" i="5"/>
  <c r="AN647" i="5"/>
  <c r="AM647" i="5"/>
  <c r="AL647" i="5"/>
  <c r="AK647" i="5"/>
  <c r="AJ647" i="5"/>
  <c r="AS646" i="5"/>
  <c r="AR646" i="5"/>
  <c r="AQ646" i="5"/>
  <c r="AP646" i="5"/>
  <c r="AO646" i="5"/>
  <c r="AN646" i="5"/>
  <c r="AM646" i="5"/>
  <c r="AL646" i="5"/>
  <c r="AK646" i="5"/>
  <c r="AJ646" i="5"/>
  <c r="AS645" i="5"/>
  <c r="AR645" i="5"/>
  <c r="AQ645" i="5"/>
  <c r="AP645" i="5"/>
  <c r="AO645" i="5"/>
  <c r="AN645" i="5"/>
  <c r="AM645" i="5"/>
  <c r="AL645" i="5"/>
  <c r="AK645" i="5"/>
  <c r="AJ645" i="5"/>
  <c r="AS644" i="5"/>
  <c r="AR644" i="5"/>
  <c r="AQ644" i="5"/>
  <c r="AP644" i="5"/>
  <c r="AO644" i="5"/>
  <c r="AN644" i="5"/>
  <c r="AM644" i="5"/>
  <c r="AL644" i="5"/>
  <c r="AK644" i="5"/>
  <c r="AJ644" i="5"/>
  <c r="AS643" i="5"/>
  <c r="AR643" i="5"/>
  <c r="AQ643" i="5"/>
  <c r="AP643" i="5"/>
  <c r="AO643" i="5"/>
  <c r="AN643" i="5"/>
  <c r="AM643" i="5"/>
  <c r="AL643" i="5"/>
  <c r="AK643" i="5"/>
  <c r="AJ643" i="5"/>
  <c r="AS642" i="5"/>
  <c r="AR642" i="5"/>
  <c r="AQ642" i="5"/>
  <c r="AP642" i="5"/>
  <c r="AO642" i="5"/>
  <c r="AN642" i="5"/>
  <c r="AM642" i="5"/>
  <c r="AL642" i="5"/>
  <c r="AK642" i="5"/>
  <c r="AJ642" i="5"/>
  <c r="AS641" i="5"/>
  <c r="AR641" i="5"/>
  <c r="AQ641" i="5"/>
  <c r="AP641" i="5"/>
  <c r="AO641" i="5"/>
  <c r="AN641" i="5"/>
  <c r="AM641" i="5"/>
  <c r="AL641" i="5"/>
  <c r="AK641" i="5"/>
  <c r="AJ641" i="5"/>
  <c r="AS640" i="5"/>
  <c r="AR640" i="5"/>
  <c r="AQ640" i="5"/>
  <c r="AP640" i="5"/>
  <c r="AO640" i="5"/>
  <c r="AN640" i="5"/>
  <c r="AM640" i="5"/>
  <c r="AL640" i="5"/>
  <c r="AK640" i="5"/>
  <c r="AJ640" i="5"/>
  <c r="AS639" i="5"/>
  <c r="AR639" i="5"/>
  <c r="AQ639" i="5"/>
  <c r="AP639" i="5"/>
  <c r="AO639" i="5"/>
  <c r="AN639" i="5"/>
  <c r="AM639" i="5"/>
  <c r="AL639" i="5"/>
  <c r="AK639" i="5"/>
  <c r="AJ639" i="5"/>
  <c r="AS638" i="5"/>
  <c r="AR638" i="5"/>
  <c r="AQ638" i="5"/>
  <c r="AP638" i="5"/>
  <c r="AO638" i="5"/>
  <c r="AN638" i="5"/>
  <c r="AM638" i="5"/>
  <c r="AL638" i="5"/>
  <c r="AK638" i="5"/>
  <c r="AJ638" i="5"/>
  <c r="AS637" i="5"/>
  <c r="AR637" i="5"/>
  <c r="AQ637" i="5"/>
  <c r="AP637" i="5"/>
  <c r="AO637" i="5"/>
  <c r="AN637" i="5"/>
  <c r="AM637" i="5"/>
  <c r="AL637" i="5"/>
  <c r="AK637" i="5"/>
  <c r="AJ637" i="5"/>
  <c r="AS636" i="5"/>
  <c r="AR636" i="5"/>
  <c r="AQ636" i="5"/>
  <c r="AP636" i="5"/>
  <c r="AO636" i="5"/>
  <c r="AN636" i="5"/>
  <c r="AM636" i="5"/>
  <c r="AL636" i="5"/>
  <c r="AK636" i="5"/>
  <c r="AJ636" i="5"/>
  <c r="AS635" i="5"/>
  <c r="AR635" i="5"/>
  <c r="AQ635" i="5"/>
  <c r="AP635" i="5"/>
  <c r="AO635" i="5"/>
  <c r="AN635" i="5"/>
  <c r="AM635" i="5"/>
  <c r="AL635" i="5"/>
  <c r="AK635" i="5"/>
  <c r="AJ635" i="5"/>
  <c r="AS634" i="5"/>
  <c r="AR634" i="5"/>
  <c r="AQ634" i="5"/>
  <c r="AP634" i="5"/>
  <c r="AO634" i="5"/>
  <c r="AN634" i="5"/>
  <c r="AM634" i="5"/>
  <c r="AL634" i="5"/>
  <c r="AK634" i="5"/>
  <c r="AJ634" i="5"/>
  <c r="AS633" i="5"/>
  <c r="AR633" i="5"/>
  <c r="AQ633" i="5"/>
  <c r="AP633" i="5"/>
  <c r="AO633" i="5"/>
  <c r="AN633" i="5"/>
  <c r="AM633" i="5"/>
  <c r="AL633" i="5"/>
  <c r="AK633" i="5"/>
  <c r="AJ633" i="5"/>
  <c r="AS632" i="5"/>
  <c r="AR632" i="5"/>
  <c r="AQ632" i="5"/>
  <c r="AP632" i="5"/>
  <c r="AO632" i="5"/>
  <c r="AN632" i="5"/>
  <c r="AM632" i="5"/>
  <c r="AL632" i="5"/>
  <c r="AK632" i="5"/>
  <c r="AJ632" i="5"/>
  <c r="AS631" i="5"/>
  <c r="AR631" i="5"/>
  <c r="AQ631" i="5"/>
  <c r="AP631" i="5"/>
  <c r="AO631" i="5"/>
  <c r="AN631" i="5"/>
  <c r="AM631" i="5"/>
  <c r="AL631" i="5"/>
  <c r="AK631" i="5"/>
  <c r="AJ631" i="5"/>
  <c r="AS630" i="5"/>
  <c r="AR630" i="5"/>
  <c r="AQ630" i="5"/>
  <c r="AP630" i="5"/>
  <c r="AO630" i="5"/>
  <c r="AN630" i="5"/>
  <c r="AM630" i="5"/>
  <c r="AL630" i="5"/>
  <c r="AK630" i="5"/>
  <c r="AJ630" i="5"/>
  <c r="AS629" i="5"/>
  <c r="AR629" i="5"/>
  <c r="AQ629" i="5"/>
  <c r="AP629" i="5"/>
  <c r="AO629" i="5"/>
  <c r="AN629" i="5"/>
  <c r="AM629" i="5"/>
  <c r="AL629" i="5"/>
  <c r="AK629" i="5"/>
  <c r="AJ629" i="5"/>
  <c r="AS628" i="5"/>
  <c r="AR628" i="5"/>
  <c r="AQ628" i="5"/>
  <c r="AP628" i="5"/>
  <c r="AO628" i="5"/>
  <c r="AN628" i="5"/>
  <c r="AM628" i="5"/>
  <c r="AL628" i="5"/>
  <c r="AK628" i="5"/>
  <c r="AJ628" i="5"/>
  <c r="AS627" i="5"/>
  <c r="AR627" i="5"/>
  <c r="AQ627" i="5"/>
  <c r="AP627" i="5"/>
  <c r="AO627" i="5"/>
  <c r="AN627" i="5"/>
  <c r="AM627" i="5"/>
  <c r="AL627" i="5"/>
  <c r="AK627" i="5"/>
  <c r="AJ627" i="5"/>
  <c r="AS626" i="5"/>
  <c r="AR626" i="5"/>
  <c r="AQ626" i="5"/>
  <c r="AP626" i="5"/>
  <c r="AO626" i="5"/>
  <c r="AN626" i="5"/>
  <c r="AM626" i="5"/>
  <c r="AL626" i="5"/>
  <c r="AK626" i="5"/>
  <c r="AJ626" i="5"/>
  <c r="AS625" i="5"/>
  <c r="AR625" i="5"/>
  <c r="AQ625" i="5"/>
  <c r="AP625" i="5"/>
  <c r="AO625" i="5"/>
  <c r="AN625" i="5"/>
  <c r="AM625" i="5"/>
  <c r="AL625" i="5"/>
  <c r="AK625" i="5"/>
  <c r="AJ625" i="5"/>
  <c r="AS624" i="5"/>
  <c r="AR624" i="5"/>
  <c r="AQ624" i="5"/>
  <c r="AP624" i="5"/>
  <c r="AO624" i="5"/>
  <c r="AN624" i="5"/>
  <c r="AM624" i="5"/>
  <c r="AL624" i="5"/>
  <c r="AK624" i="5"/>
  <c r="AJ624" i="5"/>
  <c r="AS623" i="5"/>
  <c r="AR623" i="5"/>
  <c r="AQ623" i="5"/>
  <c r="AP623" i="5"/>
  <c r="AO623" i="5"/>
  <c r="AN623" i="5"/>
  <c r="AM623" i="5"/>
  <c r="AL623" i="5"/>
  <c r="AK623" i="5"/>
  <c r="AJ623" i="5"/>
  <c r="AS622" i="5"/>
  <c r="AR622" i="5"/>
  <c r="AQ622" i="5"/>
  <c r="AP622" i="5"/>
  <c r="AO622" i="5"/>
  <c r="AN622" i="5"/>
  <c r="AM622" i="5"/>
  <c r="AL622" i="5"/>
  <c r="AK622" i="5"/>
  <c r="AJ622" i="5"/>
  <c r="AS621" i="5"/>
  <c r="AR621" i="5"/>
  <c r="AQ621" i="5"/>
  <c r="AP621" i="5"/>
  <c r="AO621" i="5"/>
  <c r="AN621" i="5"/>
  <c r="AM621" i="5"/>
  <c r="AL621" i="5"/>
  <c r="AK621" i="5"/>
  <c r="AJ621" i="5"/>
  <c r="AS620" i="5"/>
  <c r="AR620" i="5"/>
  <c r="AQ620" i="5"/>
  <c r="AP620" i="5"/>
  <c r="AO620" i="5"/>
  <c r="AN620" i="5"/>
  <c r="AM620" i="5"/>
  <c r="AL620" i="5"/>
  <c r="AK620" i="5"/>
  <c r="AJ620" i="5"/>
  <c r="AS619" i="5"/>
  <c r="AR619" i="5"/>
  <c r="AQ619" i="5"/>
  <c r="AP619" i="5"/>
  <c r="AO619" i="5"/>
  <c r="AN619" i="5"/>
  <c r="AM619" i="5"/>
  <c r="AL619" i="5"/>
  <c r="AK619" i="5"/>
  <c r="AJ619" i="5"/>
  <c r="AS618" i="5"/>
  <c r="AR618" i="5"/>
  <c r="AQ618" i="5"/>
  <c r="AP618" i="5"/>
  <c r="AO618" i="5"/>
  <c r="AN618" i="5"/>
  <c r="AM618" i="5"/>
  <c r="AL618" i="5"/>
  <c r="AK618" i="5"/>
  <c r="AJ618" i="5"/>
  <c r="AS617" i="5"/>
  <c r="AR617" i="5"/>
  <c r="AQ617" i="5"/>
  <c r="AP617" i="5"/>
  <c r="AO617" i="5"/>
  <c r="AN617" i="5"/>
  <c r="AM617" i="5"/>
  <c r="AL617" i="5"/>
  <c r="AK617" i="5"/>
  <c r="AJ617" i="5"/>
  <c r="AS616" i="5"/>
  <c r="AR616" i="5"/>
  <c r="AQ616" i="5"/>
  <c r="AP616" i="5"/>
  <c r="AO616" i="5"/>
  <c r="AN616" i="5"/>
  <c r="AM616" i="5"/>
  <c r="AL616" i="5"/>
  <c r="AK616" i="5"/>
  <c r="AJ616" i="5"/>
  <c r="AS615" i="5"/>
  <c r="AR615" i="5"/>
  <c r="AQ615" i="5"/>
  <c r="AP615" i="5"/>
  <c r="AO615" i="5"/>
  <c r="AN615" i="5"/>
  <c r="AM615" i="5"/>
  <c r="AL615" i="5"/>
  <c r="AK615" i="5"/>
  <c r="AJ615" i="5"/>
  <c r="AS614" i="5"/>
  <c r="AR614" i="5"/>
  <c r="AQ614" i="5"/>
  <c r="AP614" i="5"/>
  <c r="AO614" i="5"/>
  <c r="AN614" i="5"/>
  <c r="AM614" i="5"/>
  <c r="AL614" i="5"/>
  <c r="AK614" i="5"/>
  <c r="AJ614" i="5"/>
  <c r="AS613" i="5"/>
  <c r="AR613" i="5"/>
  <c r="AQ613" i="5"/>
  <c r="AP613" i="5"/>
  <c r="AO613" i="5"/>
  <c r="AN613" i="5"/>
  <c r="AM613" i="5"/>
  <c r="AL613" i="5"/>
  <c r="AK613" i="5"/>
  <c r="AJ613" i="5"/>
  <c r="AS612" i="5"/>
  <c r="AR612" i="5"/>
  <c r="AQ612" i="5"/>
  <c r="AP612" i="5"/>
  <c r="AO612" i="5"/>
  <c r="AN612" i="5"/>
  <c r="AM612" i="5"/>
  <c r="AL612" i="5"/>
  <c r="AK612" i="5"/>
  <c r="AJ612" i="5"/>
  <c r="AS611" i="5"/>
  <c r="AR611" i="5"/>
  <c r="AQ611" i="5"/>
  <c r="AP611" i="5"/>
  <c r="AO611" i="5"/>
  <c r="AN611" i="5"/>
  <c r="AM611" i="5"/>
  <c r="AL611" i="5"/>
  <c r="AK611" i="5"/>
  <c r="AJ611" i="5"/>
  <c r="AS610" i="5"/>
  <c r="AR610" i="5"/>
  <c r="AQ610" i="5"/>
  <c r="AP610" i="5"/>
  <c r="AO610" i="5"/>
  <c r="AN610" i="5"/>
  <c r="AM610" i="5"/>
  <c r="AL610" i="5"/>
  <c r="AK610" i="5"/>
  <c r="AJ610" i="5"/>
  <c r="AS609" i="5"/>
  <c r="AR609" i="5"/>
  <c r="AQ609" i="5"/>
  <c r="AP609" i="5"/>
  <c r="AO609" i="5"/>
  <c r="AN609" i="5"/>
  <c r="AM609" i="5"/>
  <c r="AL609" i="5"/>
  <c r="AK609" i="5"/>
  <c r="AJ609" i="5"/>
  <c r="AS608" i="5"/>
  <c r="AR608" i="5"/>
  <c r="AQ608" i="5"/>
  <c r="AP608" i="5"/>
  <c r="AO608" i="5"/>
  <c r="AN608" i="5"/>
  <c r="AM608" i="5"/>
  <c r="AL608" i="5"/>
  <c r="AK608" i="5"/>
  <c r="AJ608" i="5"/>
  <c r="AS607" i="5"/>
  <c r="AR607" i="5"/>
  <c r="AQ607" i="5"/>
  <c r="AP607" i="5"/>
  <c r="AO607" i="5"/>
  <c r="AN607" i="5"/>
  <c r="AM607" i="5"/>
  <c r="AL607" i="5"/>
  <c r="AK607" i="5"/>
  <c r="AJ607" i="5"/>
  <c r="AS606" i="5"/>
  <c r="AR606" i="5"/>
  <c r="AQ606" i="5"/>
  <c r="AP606" i="5"/>
  <c r="AO606" i="5"/>
  <c r="AN606" i="5"/>
  <c r="AM606" i="5"/>
  <c r="AL606" i="5"/>
  <c r="AK606" i="5"/>
  <c r="AJ606" i="5"/>
  <c r="AS605" i="5"/>
  <c r="AR605" i="5"/>
  <c r="AQ605" i="5"/>
  <c r="AP605" i="5"/>
  <c r="AO605" i="5"/>
  <c r="AN605" i="5"/>
  <c r="AM605" i="5"/>
  <c r="AL605" i="5"/>
  <c r="AK605" i="5"/>
  <c r="AJ605" i="5"/>
  <c r="AS604" i="5"/>
  <c r="AR604" i="5"/>
  <c r="AQ604" i="5"/>
  <c r="AP604" i="5"/>
  <c r="AO604" i="5"/>
  <c r="AN604" i="5"/>
  <c r="AM604" i="5"/>
  <c r="AL604" i="5"/>
  <c r="AK604" i="5"/>
  <c r="AJ604" i="5"/>
  <c r="AS603" i="5"/>
  <c r="AR603" i="5"/>
  <c r="AQ603" i="5"/>
  <c r="AP603" i="5"/>
  <c r="AO603" i="5"/>
  <c r="AN603" i="5"/>
  <c r="AM603" i="5"/>
  <c r="AL603" i="5"/>
  <c r="AK603" i="5"/>
  <c r="AJ603" i="5"/>
  <c r="AS602" i="5"/>
  <c r="AR602" i="5"/>
  <c r="AQ602" i="5"/>
  <c r="AP602" i="5"/>
  <c r="AO602" i="5"/>
  <c r="AN602" i="5"/>
  <c r="AM602" i="5"/>
  <c r="AL602" i="5"/>
  <c r="AK602" i="5"/>
  <c r="AJ602" i="5"/>
  <c r="AS601" i="5"/>
  <c r="AR601" i="5"/>
  <c r="AQ601" i="5"/>
  <c r="AP601" i="5"/>
  <c r="AO601" i="5"/>
  <c r="AN601" i="5"/>
  <c r="AM601" i="5"/>
  <c r="AL601" i="5"/>
  <c r="AK601" i="5"/>
  <c r="AJ601" i="5"/>
  <c r="AS600" i="5"/>
  <c r="AR600" i="5"/>
  <c r="AQ600" i="5"/>
  <c r="AP600" i="5"/>
  <c r="AO600" i="5"/>
  <c r="AN600" i="5"/>
  <c r="AM600" i="5"/>
  <c r="AL600" i="5"/>
  <c r="AK600" i="5"/>
  <c r="AJ600" i="5"/>
  <c r="AS599" i="5"/>
  <c r="AR599" i="5"/>
  <c r="AQ599" i="5"/>
  <c r="AP599" i="5"/>
  <c r="AO599" i="5"/>
  <c r="AN599" i="5"/>
  <c r="AM599" i="5"/>
  <c r="AL599" i="5"/>
  <c r="AK599" i="5"/>
  <c r="AJ599" i="5"/>
  <c r="AS598" i="5"/>
  <c r="AR598" i="5"/>
  <c r="AQ598" i="5"/>
  <c r="AP598" i="5"/>
  <c r="AO598" i="5"/>
  <c r="AN598" i="5"/>
  <c r="AM598" i="5"/>
  <c r="AL598" i="5"/>
  <c r="AK598" i="5"/>
  <c r="AJ598" i="5"/>
  <c r="AS597" i="5"/>
  <c r="AR597" i="5"/>
  <c r="AQ597" i="5"/>
  <c r="AP597" i="5"/>
  <c r="AO597" i="5"/>
  <c r="AN597" i="5"/>
  <c r="AM597" i="5"/>
  <c r="AL597" i="5"/>
  <c r="AK597" i="5"/>
  <c r="AJ597" i="5"/>
  <c r="AS596" i="5"/>
  <c r="AR596" i="5"/>
  <c r="AQ596" i="5"/>
  <c r="AP596" i="5"/>
  <c r="AO596" i="5"/>
  <c r="AN596" i="5"/>
  <c r="AM596" i="5"/>
  <c r="AL596" i="5"/>
  <c r="AK596" i="5"/>
  <c r="AJ596" i="5"/>
  <c r="AS595" i="5"/>
  <c r="AR595" i="5"/>
  <c r="AQ595" i="5"/>
  <c r="AP595" i="5"/>
  <c r="AO595" i="5"/>
  <c r="AN595" i="5"/>
  <c r="AM595" i="5"/>
  <c r="AL595" i="5"/>
  <c r="AK595" i="5"/>
  <c r="AJ595" i="5"/>
  <c r="AS594" i="5"/>
  <c r="AR594" i="5"/>
  <c r="AQ594" i="5"/>
  <c r="AP594" i="5"/>
  <c r="AO594" i="5"/>
  <c r="AN594" i="5"/>
  <c r="AM594" i="5"/>
  <c r="AL594" i="5"/>
  <c r="AK594" i="5"/>
  <c r="AJ594" i="5"/>
  <c r="AS593" i="5"/>
  <c r="AR593" i="5"/>
  <c r="AQ593" i="5"/>
  <c r="AP593" i="5"/>
  <c r="AO593" i="5"/>
  <c r="AN593" i="5"/>
  <c r="AM593" i="5"/>
  <c r="AL593" i="5"/>
  <c r="AK593" i="5"/>
  <c r="AJ593" i="5"/>
  <c r="AS592" i="5"/>
  <c r="AR592" i="5"/>
  <c r="AQ592" i="5"/>
  <c r="AP592" i="5"/>
  <c r="AO592" i="5"/>
  <c r="AN592" i="5"/>
  <c r="AM592" i="5"/>
  <c r="AL592" i="5"/>
  <c r="AK592" i="5"/>
  <c r="AJ592" i="5"/>
  <c r="AS591" i="5"/>
  <c r="AR591" i="5"/>
  <c r="AQ591" i="5"/>
  <c r="AP591" i="5"/>
  <c r="AO591" i="5"/>
  <c r="AN591" i="5"/>
  <c r="AM591" i="5"/>
  <c r="AL591" i="5"/>
  <c r="AK591" i="5"/>
  <c r="AJ591" i="5"/>
  <c r="AS590" i="5"/>
  <c r="AR590" i="5"/>
  <c r="AQ590" i="5"/>
  <c r="AP590" i="5"/>
  <c r="AO590" i="5"/>
  <c r="AN590" i="5"/>
  <c r="AM590" i="5"/>
  <c r="AL590" i="5"/>
  <c r="AK590" i="5"/>
  <c r="AJ590" i="5"/>
  <c r="AS589" i="5"/>
  <c r="AR589" i="5"/>
  <c r="AQ589" i="5"/>
  <c r="AP589" i="5"/>
  <c r="AO589" i="5"/>
  <c r="AN589" i="5"/>
  <c r="AM589" i="5"/>
  <c r="AL589" i="5"/>
  <c r="AK589" i="5"/>
  <c r="AJ589" i="5"/>
  <c r="AS588" i="5"/>
  <c r="AR588" i="5"/>
  <c r="AQ588" i="5"/>
  <c r="AP588" i="5"/>
  <c r="AO588" i="5"/>
  <c r="AN588" i="5"/>
  <c r="AM588" i="5"/>
  <c r="AL588" i="5"/>
  <c r="AK588" i="5"/>
  <c r="AJ588" i="5"/>
  <c r="AS587" i="5"/>
  <c r="AR587" i="5"/>
  <c r="AQ587" i="5"/>
  <c r="AP587" i="5"/>
  <c r="AO587" i="5"/>
  <c r="AN587" i="5"/>
  <c r="AM587" i="5"/>
  <c r="AL587" i="5"/>
  <c r="AK587" i="5"/>
  <c r="AJ587" i="5"/>
  <c r="AS586" i="5"/>
  <c r="AR586" i="5"/>
  <c r="AQ586" i="5"/>
  <c r="AP586" i="5"/>
  <c r="AO586" i="5"/>
  <c r="AN586" i="5"/>
  <c r="AM586" i="5"/>
  <c r="AL586" i="5"/>
  <c r="AK586" i="5"/>
  <c r="AJ586" i="5"/>
  <c r="AS585" i="5"/>
  <c r="AR585" i="5"/>
  <c r="AQ585" i="5"/>
  <c r="AP585" i="5"/>
  <c r="AO585" i="5"/>
  <c r="AN585" i="5"/>
  <c r="AM585" i="5"/>
  <c r="AL585" i="5"/>
  <c r="AK585" i="5"/>
  <c r="AJ585" i="5"/>
  <c r="AS584" i="5"/>
  <c r="AR584" i="5"/>
  <c r="AQ584" i="5"/>
  <c r="AP584" i="5"/>
  <c r="AO584" i="5"/>
  <c r="AN584" i="5"/>
  <c r="AM584" i="5"/>
  <c r="AL584" i="5"/>
  <c r="AK584" i="5"/>
  <c r="AJ584" i="5"/>
  <c r="AS583" i="5"/>
  <c r="AR583" i="5"/>
  <c r="AQ583" i="5"/>
  <c r="AP583" i="5"/>
  <c r="AO583" i="5"/>
  <c r="AN583" i="5"/>
  <c r="AM583" i="5"/>
  <c r="AL583" i="5"/>
  <c r="AK583" i="5"/>
  <c r="AJ583" i="5"/>
  <c r="AS582" i="5"/>
  <c r="AR582" i="5"/>
  <c r="AQ582" i="5"/>
  <c r="AP582" i="5"/>
  <c r="AO582" i="5"/>
  <c r="AN582" i="5"/>
  <c r="AM582" i="5"/>
  <c r="AL582" i="5"/>
  <c r="AK582" i="5"/>
  <c r="AJ582" i="5"/>
  <c r="AS581" i="5"/>
  <c r="AR581" i="5"/>
  <c r="AQ581" i="5"/>
  <c r="AP581" i="5"/>
  <c r="AO581" i="5"/>
  <c r="AN581" i="5"/>
  <c r="AM581" i="5"/>
  <c r="AL581" i="5"/>
  <c r="AK581" i="5"/>
  <c r="AJ581" i="5"/>
  <c r="AS580" i="5"/>
  <c r="AR580" i="5"/>
  <c r="AQ580" i="5"/>
  <c r="AP580" i="5"/>
  <c r="AO580" i="5"/>
  <c r="AN580" i="5"/>
  <c r="AM580" i="5"/>
  <c r="AL580" i="5"/>
  <c r="AK580" i="5"/>
  <c r="AJ580" i="5"/>
  <c r="AS579" i="5"/>
  <c r="AR579" i="5"/>
  <c r="AQ579" i="5"/>
  <c r="AP579" i="5"/>
  <c r="AO579" i="5"/>
  <c r="AN579" i="5"/>
  <c r="AM579" i="5"/>
  <c r="AL579" i="5"/>
  <c r="AK579" i="5"/>
  <c r="AJ579" i="5"/>
  <c r="AS578" i="5"/>
  <c r="AR578" i="5"/>
  <c r="AQ578" i="5"/>
  <c r="AP578" i="5"/>
  <c r="AO578" i="5"/>
  <c r="AN578" i="5"/>
  <c r="AM578" i="5"/>
  <c r="AL578" i="5"/>
  <c r="AK578" i="5"/>
  <c r="AJ578" i="5"/>
  <c r="AS577" i="5"/>
  <c r="AR577" i="5"/>
  <c r="AQ577" i="5"/>
  <c r="AP577" i="5"/>
  <c r="AO577" i="5"/>
  <c r="AN577" i="5"/>
  <c r="AM577" i="5"/>
  <c r="AL577" i="5"/>
  <c r="AK577" i="5"/>
  <c r="AJ577" i="5"/>
  <c r="AS576" i="5"/>
  <c r="AR576" i="5"/>
  <c r="AQ576" i="5"/>
  <c r="AP576" i="5"/>
  <c r="AO576" i="5"/>
  <c r="AN576" i="5"/>
  <c r="AM576" i="5"/>
  <c r="AL576" i="5"/>
  <c r="AK576" i="5"/>
  <c r="AJ576" i="5"/>
  <c r="AS575" i="5"/>
  <c r="AR575" i="5"/>
  <c r="AQ575" i="5"/>
  <c r="AP575" i="5"/>
  <c r="AO575" i="5"/>
  <c r="AN575" i="5"/>
  <c r="AM575" i="5"/>
  <c r="AL575" i="5"/>
  <c r="AK575" i="5"/>
  <c r="AJ575" i="5"/>
  <c r="AS574" i="5"/>
  <c r="AR574" i="5"/>
  <c r="AQ574" i="5"/>
  <c r="AP574" i="5"/>
  <c r="AO574" i="5"/>
  <c r="AN574" i="5"/>
  <c r="AM574" i="5"/>
  <c r="AL574" i="5"/>
  <c r="AK574" i="5"/>
  <c r="AJ574" i="5"/>
  <c r="AS573" i="5"/>
  <c r="AR573" i="5"/>
  <c r="AQ573" i="5"/>
  <c r="AP573" i="5"/>
  <c r="AO573" i="5"/>
  <c r="AN573" i="5"/>
  <c r="AM573" i="5"/>
  <c r="AL573" i="5"/>
  <c r="AK573" i="5"/>
  <c r="AJ573" i="5"/>
  <c r="AS572" i="5"/>
  <c r="AR572" i="5"/>
  <c r="AQ572" i="5"/>
  <c r="AP572" i="5"/>
  <c r="AO572" i="5"/>
  <c r="AN572" i="5"/>
  <c r="AM572" i="5"/>
  <c r="AL572" i="5"/>
  <c r="AK572" i="5"/>
  <c r="AJ572" i="5"/>
  <c r="AS571" i="5"/>
  <c r="AR571" i="5"/>
  <c r="AQ571" i="5"/>
  <c r="AP571" i="5"/>
  <c r="AO571" i="5"/>
  <c r="AN571" i="5"/>
  <c r="AM571" i="5"/>
  <c r="AL571" i="5"/>
  <c r="AK571" i="5"/>
  <c r="AJ571" i="5"/>
  <c r="AS570" i="5"/>
  <c r="AR570" i="5"/>
  <c r="AQ570" i="5"/>
  <c r="AP570" i="5"/>
  <c r="AO570" i="5"/>
  <c r="AN570" i="5"/>
  <c r="AM570" i="5"/>
  <c r="AL570" i="5"/>
  <c r="AK570" i="5"/>
  <c r="AJ570" i="5"/>
  <c r="AS569" i="5"/>
  <c r="AR569" i="5"/>
  <c r="AQ569" i="5"/>
  <c r="AP569" i="5"/>
  <c r="AO569" i="5"/>
  <c r="AN569" i="5"/>
  <c r="AM569" i="5"/>
  <c r="AL569" i="5"/>
  <c r="AK569" i="5"/>
  <c r="AJ569" i="5"/>
  <c r="AS568" i="5"/>
  <c r="AR568" i="5"/>
  <c r="AQ568" i="5"/>
  <c r="AP568" i="5"/>
  <c r="AO568" i="5"/>
  <c r="AN568" i="5"/>
  <c r="AM568" i="5"/>
  <c r="AL568" i="5"/>
  <c r="AK568" i="5"/>
  <c r="AJ568" i="5"/>
  <c r="AS567" i="5"/>
  <c r="AR567" i="5"/>
  <c r="AQ567" i="5"/>
  <c r="AP567" i="5"/>
  <c r="AO567" i="5"/>
  <c r="AN567" i="5"/>
  <c r="AM567" i="5"/>
  <c r="AL567" i="5"/>
  <c r="AK567" i="5"/>
  <c r="AJ567" i="5"/>
  <c r="AS566" i="5"/>
  <c r="AR566" i="5"/>
  <c r="AQ566" i="5"/>
  <c r="AP566" i="5"/>
  <c r="AO566" i="5"/>
  <c r="AN566" i="5"/>
  <c r="AM566" i="5"/>
  <c r="AL566" i="5"/>
  <c r="AK566" i="5"/>
  <c r="AJ566" i="5"/>
  <c r="AS565" i="5"/>
  <c r="AR565" i="5"/>
  <c r="AQ565" i="5"/>
  <c r="AP565" i="5"/>
  <c r="AO565" i="5"/>
  <c r="AN565" i="5"/>
  <c r="AM565" i="5"/>
  <c r="AL565" i="5"/>
  <c r="AK565" i="5"/>
  <c r="AJ565" i="5"/>
  <c r="AS564" i="5"/>
  <c r="AR564" i="5"/>
  <c r="AQ564" i="5"/>
  <c r="AP564" i="5"/>
  <c r="AO564" i="5"/>
  <c r="AN564" i="5"/>
  <c r="AM564" i="5"/>
  <c r="AL564" i="5"/>
  <c r="AK564" i="5"/>
  <c r="AJ564" i="5"/>
  <c r="AS563" i="5"/>
  <c r="AR563" i="5"/>
  <c r="AQ563" i="5"/>
  <c r="AP563" i="5"/>
  <c r="AO563" i="5"/>
  <c r="AN563" i="5"/>
  <c r="AM563" i="5"/>
  <c r="AL563" i="5"/>
  <c r="AK563" i="5"/>
  <c r="AJ563" i="5"/>
  <c r="AS562" i="5"/>
  <c r="AR562" i="5"/>
  <c r="AQ562" i="5"/>
  <c r="AP562" i="5"/>
  <c r="AO562" i="5"/>
  <c r="AN562" i="5"/>
  <c r="AM562" i="5"/>
  <c r="AL562" i="5"/>
  <c r="AK562" i="5"/>
  <c r="AJ562" i="5"/>
  <c r="AS561" i="5"/>
  <c r="AR561" i="5"/>
  <c r="AQ561" i="5"/>
  <c r="AP561" i="5"/>
  <c r="AO561" i="5"/>
  <c r="AN561" i="5"/>
  <c r="AM561" i="5"/>
  <c r="AL561" i="5"/>
  <c r="AK561" i="5"/>
  <c r="AJ561" i="5"/>
  <c r="AS560" i="5"/>
  <c r="AR560" i="5"/>
  <c r="AQ560" i="5"/>
  <c r="AP560" i="5"/>
  <c r="AO560" i="5"/>
  <c r="AN560" i="5"/>
  <c r="AM560" i="5"/>
  <c r="AL560" i="5"/>
  <c r="AK560" i="5"/>
  <c r="AJ560" i="5"/>
  <c r="AS559" i="5"/>
  <c r="AR559" i="5"/>
  <c r="AQ559" i="5"/>
  <c r="AP559" i="5"/>
  <c r="AO559" i="5"/>
  <c r="AN559" i="5"/>
  <c r="AM559" i="5"/>
  <c r="AL559" i="5"/>
  <c r="AK559" i="5"/>
  <c r="AJ559" i="5"/>
  <c r="AS558" i="5"/>
  <c r="AR558" i="5"/>
  <c r="AQ558" i="5"/>
  <c r="AP558" i="5"/>
  <c r="AO558" i="5"/>
  <c r="AN558" i="5"/>
  <c r="AM558" i="5"/>
  <c r="AL558" i="5"/>
  <c r="AK558" i="5"/>
  <c r="AJ558" i="5"/>
  <c r="AS557" i="5"/>
  <c r="AR557" i="5"/>
  <c r="AQ557" i="5"/>
  <c r="AP557" i="5"/>
  <c r="AO557" i="5"/>
  <c r="AN557" i="5"/>
  <c r="AM557" i="5"/>
  <c r="AL557" i="5"/>
  <c r="AK557" i="5"/>
  <c r="AJ557" i="5"/>
  <c r="AS556" i="5"/>
  <c r="AR556" i="5"/>
  <c r="AQ556" i="5"/>
  <c r="AP556" i="5"/>
  <c r="AO556" i="5"/>
  <c r="AN556" i="5"/>
  <c r="AM556" i="5"/>
  <c r="AL556" i="5"/>
  <c r="AK556" i="5"/>
  <c r="AJ556" i="5"/>
  <c r="AS555" i="5"/>
  <c r="AR555" i="5"/>
  <c r="AQ555" i="5"/>
  <c r="AP555" i="5"/>
  <c r="AO555" i="5"/>
  <c r="AN555" i="5"/>
  <c r="AM555" i="5"/>
  <c r="AL555" i="5"/>
  <c r="AK555" i="5"/>
  <c r="AJ555" i="5"/>
  <c r="AS554" i="5"/>
  <c r="AR554" i="5"/>
  <c r="AQ554" i="5"/>
  <c r="AP554" i="5"/>
  <c r="AO554" i="5"/>
  <c r="AN554" i="5"/>
  <c r="AM554" i="5"/>
  <c r="AL554" i="5"/>
  <c r="AK554" i="5"/>
  <c r="AJ554" i="5"/>
  <c r="AS553" i="5"/>
  <c r="AR553" i="5"/>
  <c r="AQ553" i="5"/>
  <c r="AP553" i="5"/>
  <c r="AO553" i="5"/>
  <c r="AN553" i="5"/>
  <c r="AM553" i="5"/>
  <c r="AL553" i="5"/>
  <c r="AK553" i="5"/>
  <c r="AJ553" i="5"/>
  <c r="AS552" i="5"/>
  <c r="AR552" i="5"/>
  <c r="AQ552" i="5"/>
  <c r="AP552" i="5"/>
  <c r="AO552" i="5"/>
  <c r="AN552" i="5"/>
  <c r="AM552" i="5"/>
  <c r="AL552" i="5"/>
  <c r="AK552" i="5"/>
  <c r="AJ552" i="5"/>
  <c r="AS551" i="5"/>
  <c r="AR551" i="5"/>
  <c r="AQ551" i="5"/>
  <c r="AP551" i="5"/>
  <c r="AO551" i="5"/>
  <c r="AN551" i="5"/>
  <c r="AM551" i="5"/>
  <c r="AL551" i="5"/>
  <c r="AK551" i="5"/>
  <c r="AJ551" i="5"/>
  <c r="AS550" i="5"/>
  <c r="AR550" i="5"/>
  <c r="AQ550" i="5"/>
  <c r="AP550" i="5"/>
  <c r="AO550" i="5"/>
  <c r="AN550" i="5"/>
  <c r="AM550" i="5"/>
  <c r="AL550" i="5"/>
  <c r="AK550" i="5"/>
  <c r="AJ550" i="5"/>
  <c r="AS549" i="5"/>
  <c r="AR549" i="5"/>
  <c r="AQ549" i="5"/>
  <c r="AP549" i="5"/>
  <c r="AO549" i="5"/>
  <c r="AN549" i="5"/>
  <c r="AM549" i="5"/>
  <c r="AL549" i="5"/>
  <c r="AK549" i="5"/>
  <c r="AJ549" i="5"/>
  <c r="AS548" i="5"/>
  <c r="AR548" i="5"/>
  <c r="AQ548" i="5"/>
  <c r="AP548" i="5"/>
  <c r="AO548" i="5"/>
  <c r="AN548" i="5"/>
  <c r="AM548" i="5"/>
  <c r="AL548" i="5"/>
  <c r="AK548" i="5"/>
  <c r="AJ548" i="5"/>
  <c r="AS547" i="5"/>
  <c r="AR547" i="5"/>
  <c r="AQ547" i="5"/>
  <c r="AP547" i="5"/>
  <c r="AO547" i="5"/>
  <c r="AN547" i="5"/>
  <c r="AM547" i="5"/>
  <c r="AL547" i="5"/>
  <c r="AK547" i="5"/>
  <c r="AJ547" i="5"/>
  <c r="AS546" i="5"/>
  <c r="AR546" i="5"/>
  <c r="AQ546" i="5"/>
  <c r="AP546" i="5"/>
  <c r="AO546" i="5"/>
  <c r="AN546" i="5"/>
  <c r="AM546" i="5"/>
  <c r="AL546" i="5"/>
  <c r="AK546" i="5"/>
  <c r="AJ546" i="5"/>
  <c r="AS545" i="5"/>
  <c r="AR545" i="5"/>
  <c r="AQ545" i="5"/>
  <c r="AP545" i="5"/>
  <c r="AO545" i="5"/>
  <c r="AN545" i="5"/>
  <c r="AM545" i="5"/>
  <c r="AL545" i="5"/>
  <c r="AK545" i="5"/>
  <c r="AJ545" i="5"/>
  <c r="AS544" i="5"/>
  <c r="AR544" i="5"/>
  <c r="AQ544" i="5"/>
  <c r="AP544" i="5"/>
  <c r="AO544" i="5"/>
  <c r="AN544" i="5"/>
  <c r="AM544" i="5"/>
  <c r="AL544" i="5"/>
  <c r="AK544" i="5"/>
  <c r="AJ544" i="5"/>
  <c r="AS543" i="5"/>
  <c r="AR543" i="5"/>
  <c r="AQ543" i="5"/>
  <c r="AP543" i="5"/>
  <c r="AO543" i="5"/>
  <c r="AN543" i="5"/>
  <c r="AM543" i="5"/>
  <c r="AL543" i="5"/>
  <c r="AK543" i="5"/>
  <c r="AJ543" i="5"/>
  <c r="AS542" i="5"/>
  <c r="AR542" i="5"/>
  <c r="AQ542" i="5"/>
  <c r="AP542" i="5"/>
  <c r="AO542" i="5"/>
  <c r="AN542" i="5"/>
  <c r="AM542" i="5"/>
  <c r="AL542" i="5"/>
  <c r="AK542" i="5"/>
  <c r="AJ542" i="5"/>
  <c r="AS541" i="5"/>
  <c r="AR541" i="5"/>
  <c r="AQ541" i="5"/>
  <c r="AP541" i="5"/>
  <c r="AO541" i="5"/>
  <c r="AN541" i="5"/>
  <c r="AM541" i="5"/>
  <c r="AL541" i="5"/>
  <c r="AK541" i="5"/>
  <c r="AJ541" i="5"/>
  <c r="AS540" i="5"/>
  <c r="AR540" i="5"/>
  <c r="AQ540" i="5"/>
  <c r="AP540" i="5"/>
  <c r="AO540" i="5"/>
  <c r="AN540" i="5"/>
  <c r="AM540" i="5"/>
  <c r="AL540" i="5"/>
  <c r="AK540" i="5"/>
  <c r="AJ540" i="5"/>
  <c r="AS539" i="5"/>
  <c r="AR539" i="5"/>
  <c r="AQ539" i="5"/>
  <c r="AP539" i="5"/>
  <c r="AO539" i="5"/>
  <c r="AN539" i="5"/>
  <c r="AM539" i="5"/>
  <c r="AL539" i="5"/>
  <c r="AK539" i="5"/>
  <c r="AJ539" i="5"/>
  <c r="AS538" i="5"/>
  <c r="AR538" i="5"/>
  <c r="AQ538" i="5"/>
  <c r="AP538" i="5"/>
  <c r="AO538" i="5"/>
  <c r="AN538" i="5"/>
  <c r="AM538" i="5"/>
  <c r="AL538" i="5"/>
  <c r="AK538" i="5"/>
  <c r="AJ538" i="5"/>
  <c r="AS537" i="5"/>
  <c r="AR537" i="5"/>
  <c r="AQ537" i="5"/>
  <c r="AP537" i="5"/>
  <c r="AO537" i="5"/>
  <c r="AN537" i="5"/>
  <c r="AM537" i="5"/>
  <c r="AL537" i="5"/>
  <c r="AK537" i="5"/>
  <c r="AJ537" i="5"/>
  <c r="AS536" i="5"/>
  <c r="AR536" i="5"/>
  <c r="AQ536" i="5"/>
  <c r="AP536" i="5"/>
  <c r="AO536" i="5"/>
  <c r="AN536" i="5"/>
  <c r="AM536" i="5"/>
  <c r="AL536" i="5"/>
  <c r="AK536" i="5"/>
  <c r="AJ536" i="5"/>
  <c r="AS535" i="5"/>
  <c r="AR535" i="5"/>
  <c r="AQ535" i="5"/>
  <c r="AP535" i="5"/>
  <c r="AO535" i="5"/>
  <c r="AN535" i="5"/>
  <c r="AM535" i="5"/>
  <c r="AL535" i="5"/>
  <c r="AK535" i="5"/>
  <c r="AJ535" i="5"/>
  <c r="AS534" i="5"/>
  <c r="AR534" i="5"/>
  <c r="AQ534" i="5"/>
  <c r="AP534" i="5"/>
  <c r="AO534" i="5"/>
  <c r="AN534" i="5"/>
  <c r="AM534" i="5"/>
  <c r="AL534" i="5"/>
  <c r="AK534" i="5"/>
  <c r="AJ534" i="5"/>
  <c r="AS533" i="5"/>
  <c r="AR533" i="5"/>
  <c r="AQ533" i="5"/>
  <c r="AP533" i="5"/>
  <c r="AO533" i="5"/>
  <c r="AN533" i="5"/>
  <c r="AM533" i="5"/>
  <c r="AL533" i="5"/>
  <c r="AK533" i="5"/>
  <c r="AJ533" i="5"/>
  <c r="AS532" i="5"/>
  <c r="AR532" i="5"/>
  <c r="AQ532" i="5"/>
  <c r="AP532" i="5"/>
  <c r="AO532" i="5"/>
  <c r="AN532" i="5"/>
  <c r="AM532" i="5"/>
  <c r="AL532" i="5"/>
  <c r="AK532" i="5"/>
  <c r="AJ532" i="5"/>
  <c r="AS531" i="5"/>
  <c r="AR531" i="5"/>
  <c r="AQ531" i="5"/>
  <c r="AP531" i="5"/>
  <c r="AO531" i="5"/>
  <c r="AN531" i="5"/>
  <c r="AM531" i="5"/>
  <c r="AL531" i="5"/>
  <c r="AK531" i="5"/>
  <c r="AJ531" i="5"/>
  <c r="AS530" i="5"/>
  <c r="AR530" i="5"/>
  <c r="AQ530" i="5"/>
  <c r="AP530" i="5"/>
  <c r="AO530" i="5"/>
  <c r="AN530" i="5"/>
  <c r="AM530" i="5"/>
  <c r="AL530" i="5"/>
  <c r="AK530" i="5"/>
  <c r="AJ530" i="5"/>
  <c r="AS529" i="5"/>
  <c r="AR529" i="5"/>
  <c r="AQ529" i="5"/>
  <c r="AP529" i="5"/>
  <c r="AO529" i="5"/>
  <c r="AN529" i="5"/>
  <c r="AM529" i="5"/>
  <c r="AL529" i="5"/>
  <c r="AK529" i="5"/>
  <c r="AJ529" i="5"/>
  <c r="AS528" i="5"/>
  <c r="AR528" i="5"/>
  <c r="AQ528" i="5"/>
  <c r="AP528" i="5"/>
  <c r="AO528" i="5"/>
  <c r="AN528" i="5"/>
  <c r="AM528" i="5"/>
  <c r="AL528" i="5"/>
  <c r="AK528" i="5"/>
  <c r="AJ528" i="5"/>
  <c r="AS527" i="5"/>
  <c r="AR527" i="5"/>
  <c r="AQ527" i="5"/>
  <c r="AP527" i="5"/>
  <c r="AO527" i="5"/>
  <c r="AN527" i="5"/>
  <c r="AM527" i="5"/>
  <c r="AL527" i="5"/>
  <c r="AK527" i="5"/>
  <c r="AJ527" i="5"/>
  <c r="AS526" i="5"/>
  <c r="AR526" i="5"/>
  <c r="AQ526" i="5"/>
  <c r="AP526" i="5"/>
  <c r="AO526" i="5"/>
  <c r="AN526" i="5"/>
  <c r="AM526" i="5"/>
  <c r="AL526" i="5"/>
  <c r="AK526" i="5"/>
  <c r="AJ526" i="5"/>
  <c r="AS525" i="5"/>
  <c r="AR525" i="5"/>
  <c r="AQ525" i="5"/>
  <c r="AP525" i="5"/>
  <c r="AO525" i="5"/>
  <c r="AN525" i="5"/>
  <c r="AM525" i="5"/>
  <c r="AL525" i="5"/>
  <c r="AK525" i="5"/>
  <c r="AJ525" i="5"/>
  <c r="AS524" i="5"/>
  <c r="AR524" i="5"/>
  <c r="AQ524" i="5"/>
  <c r="AP524" i="5"/>
  <c r="AO524" i="5"/>
  <c r="AN524" i="5"/>
  <c r="AM524" i="5"/>
  <c r="AL524" i="5"/>
  <c r="AK524" i="5"/>
  <c r="AJ524" i="5"/>
  <c r="AS523" i="5"/>
  <c r="AR523" i="5"/>
  <c r="AQ523" i="5"/>
  <c r="AP523" i="5"/>
  <c r="AO523" i="5"/>
  <c r="AN523" i="5"/>
  <c r="AM523" i="5"/>
  <c r="AL523" i="5"/>
  <c r="AK523" i="5"/>
  <c r="AJ523" i="5"/>
  <c r="AS522" i="5"/>
  <c r="AR522" i="5"/>
  <c r="AQ522" i="5"/>
  <c r="AP522" i="5"/>
  <c r="AO522" i="5"/>
  <c r="AN522" i="5"/>
  <c r="AM522" i="5"/>
  <c r="AL522" i="5"/>
  <c r="AK522" i="5"/>
  <c r="AJ522" i="5"/>
  <c r="AS521" i="5"/>
  <c r="AR521" i="5"/>
  <c r="AQ521" i="5"/>
  <c r="AP521" i="5"/>
  <c r="AO521" i="5"/>
  <c r="AN521" i="5"/>
  <c r="AM521" i="5"/>
  <c r="AL521" i="5"/>
  <c r="AK521" i="5"/>
  <c r="AJ521" i="5"/>
  <c r="AS520" i="5"/>
  <c r="AR520" i="5"/>
  <c r="AQ520" i="5"/>
  <c r="AP520" i="5"/>
  <c r="AO520" i="5"/>
  <c r="AN520" i="5"/>
  <c r="AM520" i="5"/>
  <c r="AL520" i="5"/>
  <c r="AK520" i="5"/>
  <c r="AJ520" i="5"/>
  <c r="AS519" i="5"/>
  <c r="AR519" i="5"/>
  <c r="AQ519" i="5"/>
  <c r="AP519" i="5"/>
  <c r="AO519" i="5"/>
  <c r="AN519" i="5"/>
  <c r="AM519" i="5"/>
  <c r="AL519" i="5"/>
  <c r="AK519" i="5"/>
  <c r="AJ519" i="5"/>
  <c r="AS518" i="5"/>
  <c r="AR518" i="5"/>
  <c r="AQ518" i="5"/>
  <c r="AP518" i="5"/>
  <c r="AO518" i="5"/>
  <c r="AN518" i="5"/>
  <c r="AM518" i="5"/>
  <c r="AL518" i="5"/>
  <c r="AK518" i="5"/>
  <c r="AJ518" i="5"/>
  <c r="AS517" i="5"/>
  <c r="AR517" i="5"/>
  <c r="AQ517" i="5"/>
  <c r="AP517" i="5"/>
  <c r="AO517" i="5"/>
  <c r="AN517" i="5"/>
  <c r="AM517" i="5"/>
  <c r="AL517" i="5"/>
  <c r="AK517" i="5"/>
  <c r="AJ517" i="5"/>
  <c r="AS516" i="5"/>
  <c r="AR516" i="5"/>
  <c r="AQ516" i="5"/>
  <c r="AP516" i="5"/>
  <c r="AO516" i="5"/>
  <c r="AN516" i="5"/>
  <c r="AM516" i="5"/>
  <c r="AL516" i="5"/>
  <c r="AK516" i="5"/>
  <c r="AJ516" i="5"/>
  <c r="AS515" i="5"/>
  <c r="AR515" i="5"/>
  <c r="AQ515" i="5"/>
  <c r="AP515" i="5"/>
  <c r="AO515" i="5"/>
  <c r="AN515" i="5"/>
  <c r="AM515" i="5"/>
  <c r="AL515" i="5"/>
  <c r="AK515" i="5"/>
  <c r="AJ515" i="5"/>
  <c r="AS514" i="5"/>
  <c r="AR514" i="5"/>
  <c r="AQ514" i="5"/>
  <c r="AP514" i="5"/>
  <c r="AO514" i="5"/>
  <c r="AN514" i="5"/>
  <c r="AM514" i="5"/>
  <c r="AL514" i="5"/>
  <c r="AK514" i="5"/>
  <c r="AJ514" i="5"/>
  <c r="AS513" i="5"/>
  <c r="AR513" i="5"/>
  <c r="AQ513" i="5"/>
  <c r="AP513" i="5"/>
  <c r="AO513" i="5"/>
  <c r="AN513" i="5"/>
  <c r="AM513" i="5"/>
  <c r="AL513" i="5"/>
  <c r="AK513" i="5"/>
  <c r="AJ513" i="5"/>
  <c r="AS512" i="5"/>
  <c r="AR512" i="5"/>
  <c r="AQ512" i="5"/>
  <c r="AP512" i="5"/>
  <c r="AO512" i="5"/>
  <c r="AN512" i="5"/>
  <c r="AM512" i="5"/>
  <c r="AL512" i="5"/>
  <c r="AK512" i="5"/>
  <c r="AJ512" i="5"/>
  <c r="AS511" i="5"/>
  <c r="AR511" i="5"/>
  <c r="AQ511" i="5"/>
  <c r="AP511" i="5"/>
  <c r="AO511" i="5"/>
  <c r="AN511" i="5"/>
  <c r="AM511" i="5"/>
  <c r="AL511" i="5"/>
  <c r="AK511" i="5"/>
  <c r="AJ511" i="5"/>
  <c r="AS510" i="5"/>
  <c r="AR510" i="5"/>
  <c r="AQ510" i="5"/>
  <c r="AP510" i="5"/>
  <c r="AO510" i="5"/>
  <c r="AN510" i="5"/>
  <c r="AM510" i="5"/>
  <c r="AL510" i="5"/>
  <c r="AK510" i="5"/>
  <c r="AJ510" i="5"/>
  <c r="AS509" i="5"/>
  <c r="AR509" i="5"/>
  <c r="AQ509" i="5"/>
  <c r="AP509" i="5"/>
  <c r="AO509" i="5"/>
  <c r="AN509" i="5"/>
  <c r="AM509" i="5"/>
  <c r="AL509" i="5"/>
  <c r="AK509" i="5"/>
  <c r="AJ509" i="5"/>
  <c r="AS508" i="5"/>
  <c r="AR508" i="5"/>
  <c r="AQ508" i="5"/>
  <c r="AP508" i="5"/>
  <c r="AO508" i="5"/>
  <c r="AN508" i="5"/>
  <c r="AM508" i="5"/>
  <c r="AL508" i="5"/>
  <c r="AK508" i="5"/>
  <c r="AJ508" i="5"/>
  <c r="AS507" i="5"/>
  <c r="AR507" i="5"/>
  <c r="AQ507" i="5"/>
  <c r="AP507" i="5"/>
  <c r="AO507" i="5"/>
  <c r="AN507" i="5"/>
  <c r="AM507" i="5"/>
  <c r="AL507" i="5"/>
  <c r="AK507" i="5"/>
  <c r="AJ507" i="5"/>
  <c r="AS506" i="5"/>
  <c r="AR506" i="5"/>
  <c r="AQ506" i="5"/>
  <c r="AP506" i="5"/>
  <c r="AO506" i="5"/>
  <c r="AN506" i="5"/>
  <c r="AM506" i="5"/>
  <c r="AL506" i="5"/>
  <c r="AK506" i="5"/>
  <c r="AJ506" i="5"/>
  <c r="AS505" i="5"/>
  <c r="AR505" i="5"/>
  <c r="AQ505" i="5"/>
  <c r="AP505" i="5"/>
  <c r="AO505" i="5"/>
  <c r="AN505" i="5"/>
  <c r="AM505" i="5"/>
  <c r="AL505" i="5"/>
  <c r="AK505" i="5"/>
  <c r="AJ505" i="5"/>
  <c r="AS504" i="5"/>
  <c r="AR504" i="5"/>
  <c r="AQ504" i="5"/>
  <c r="AP504" i="5"/>
  <c r="AO504" i="5"/>
  <c r="AN504" i="5"/>
  <c r="AM504" i="5"/>
  <c r="AL504" i="5"/>
  <c r="AK504" i="5"/>
  <c r="AJ504" i="5"/>
  <c r="AS503" i="5"/>
  <c r="AR503" i="5"/>
  <c r="AQ503" i="5"/>
  <c r="AP503" i="5"/>
  <c r="AO503" i="5"/>
  <c r="AN503" i="5"/>
  <c r="AM503" i="5"/>
  <c r="AL503" i="5"/>
  <c r="AK503" i="5"/>
  <c r="AJ503" i="5"/>
  <c r="AS502" i="5"/>
  <c r="AR502" i="5"/>
  <c r="AQ502" i="5"/>
  <c r="AP502" i="5"/>
  <c r="AO502" i="5"/>
  <c r="AN502" i="5"/>
  <c r="AM502" i="5"/>
  <c r="AL502" i="5"/>
  <c r="AK502" i="5"/>
  <c r="AJ502" i="5"/>
  <c r="AS501" i="5"/>
  <c r="AR501" i="5"/>
  <c r="AQ501" i="5"/>
  <c r="AP501" i="5"/>
  <c r="AO501" i="5"/>
  <c r="AN501" i="5"/>
  <c r="AM501" i="5"/>
  <c r="AL501" i="5"/>
  <c r="AK501" i="5"/>
  <c r="AJ501" i="5"/>
  <c r="AS500" i="5"/>
  <c r="AR500" i="5"/>
  <c r="AQ500" i="5"/>
  <c r="AP500" i="5"/>
  <c r="AO500" i="5"/>
  <c r="AN500" i="5"/>
  <c r="AM500" i="5"/>
  <c r="AL500" i="5"/>
  <c r="AK500" i="5"/>
  <c r="AJ500" i="5"/>
  <c r="AS499" i="5"/>
  <c r="AR499" i="5"/>
  <c r="AQ499" i="5"/>
  <c r="AP499" i="5"/>
  <c r="AO499" i="5"/>
  <c r="AN499" i="5"/>
  <c r="AM499" i="5"/>
  <c r="AL499" i="5"/>
  <c r="AK499" i="5"/>
  <c r="AJ499" i="5"/>
  <c r="AS498" i="5"/>
  <c r="AR498" i="5"/>
  <c r="AQ498" i="5"/>
  <c r="AP498" i="5"/>
  <c r="AO498" i="5"/>
  <c r="AN498" i="5"/>
  <c r="AM498" i="5"/>
  <c r="AL498" i="5"/>
  <c r="AK498" i="5"/>
  <c r="AJ498" i="5"/>
  <c r="AS497" i="5"/>
  <c r="AR497" i="5"/>
  <c r="AQ497" i="5"/>
  <c r="AP497" i="5"/>
  <c r="AO497" i="5"/>
  <c r="AN497" i="5"/>
  <c r="AM497" i="5"/>
  <c r="AL497" i="5"/>
  <c r="AK497" i="5"/>
  <c r="AJ497" i="5"/>
  <c r="AS496" i="5"/>
  <c r="AR496" i="5"/>
  <c r="AQ496" i="5"/>
  <c r="AP496" i="5"/>
  <c r="AO496" i="5"/>
  <c r="AN496" i="5"/>
  <c r="AM496" i="5"/>
  <c r="AL496" i="5"/>
  <c r="AK496" i="5"/>
  <c r="AJ496" i="5"/>
  <c r="AS495" i="5"/>
  <c r="AR495" i="5"/>
  <c r="AQ495" i="5"/>
  <c r="AP495" i="5"/>
  <c r="AO495" i="5"/>
  <c r="AN495" i="5"/>
  <c r="AM495" i="5"/>
  <c r="AL495" i="5"/>
  <c r="AK495" i="5"/>
  <c r="AJ495" i="5"/>
  <c r="AS494" i="5"/>
  <c r="AR494" i="5"/>
  <c r="AQ494" i="5"/>
  <c r="AP494" i="5"/>
  <c r="AO494" i="5"/>
  <c r="AN494" i="5"/>
  <c r="AM494" i="5"/>
  <c r="AL494" i="5"/>
  <c r="AK494" i="5"/>
  <c r="AJ494" i="5"/>
  <c r="AS493" i="5"/>
  <c r="AR493" i="5"/>
  <c r="AQ493" i="5"/>
  <c r="AP493" i="5"/>
  <c r="AO493" i="5"/>
  <c r="AN493" i="5"/>
  <c r="AM493" i="5"/>
  <c r="AL493" i="5"/>
  <c r="AK493" i="5"/>
  <c r="AJ493" i="5"/>
  <c r="AS492" i="5"/>
  <c r="AR492" i="5"/>
  <c r="AQ492" i="5"/>
  <c r="AP492" i="5"/>
  <c r="AO492" i="5"/>
  <c r="AN492" i="5"/>
  <c r="AM492" i="5"/>
  <c r="AL492" i="5"/>
  <c r="AK492" i="5"/>
  <c r="AJ492" i="5"/>
  <c r="AS491" i="5"/>
  <c r="AR491" i="5"/>
  <c r="AQ491" i="5"/>
  <c r="AP491" i="5"/>
  <c r="AO491" i="5"/>
  <c r="AN491" i="5"/>
  <c r="AM491" i="5"/>
  <c r="AL491" i="5"/>
  <c r="AK491" i="5"/>
  <c r="AJ491" i="5"/>
  <c r="AS490" i="5"/>
  <c r="AR490" i="5"/>
  <c r="AQ490" i="5"/>
  <c r="AP490" i="5"/>
  <c r="AO490" i="5"/>
  <c r="AN490" i="5"/>
  <c r="AM490" i="5"/>
  <c r="AL490" i="5"/>
  <c r="AK490" i="5"/>
  <c r="AJ490" i="5"/>
  <c r="AS489" i="5"/>
  <c r="AR489" i="5"/>
  <c r="AQ489" i="5"/>
  <c r="AP489" i="5"/>
  <c r="AO489" i="5"/>
  <c r="AN489" i="5"/>
  <c r="AM489" i="5"/>
  <c r="AL489" i="5"/>
  <c r="AK489" i="5"/>
  <c r="AJ489" i="5"/>
  <c r="AS488" i="5"/>
  <c r="AR488" i="5"/>
  <c r="AQ488" i="5"/>
  <c r="AP488" i="5"/>
  <c r="AO488" i="5"/>
  <c r="AN488" i="5"/>
  <c r="AM488" i="5"/>
  <c r="AL488" i="5"/>
  <c r="AK488" i="5"/>
  <c r="AJ488" i="5"/>
  <c r="AS487" i="5"/>
  <c r="AR487" i="5"/>
  <c r="AQ487" i="5"/>
  <c r="AP487" i="5"/>
  <c r="AO487" i="5"/>
  <c r="AN487" i="5"/>
  <c r="AM487" i="5"/>
  <c r="AL487" i="5"/>
  <c r="AK487" i="5"/>
  <c r="AJ487" i="5"/>
  <c r="AS486" i="5"/>
  <c r="AR486" i="5"/>
  <c r="AQ486" i="5"/>
  <c r="AP486" i="5"/>
  <c r="AO486" i="5"/>
  <c r="AN486" i="5"/>
  <c r="AM486" i="5"/>
  <c r="AL486" i="5"/>
  <c r="AK486" i="5"/>
  <c r="AJ486" i="5"/>
  <c r="AS485" i="5"/>
  <c r="AR485" i="5"/>
  <c r="AQ485" i="5"/>
  <c r="AP485" i="5"/>
  <c r="AO485" i="5"/>
  <c r="AN485" i="5"/>
  <c r="AM485" i="5"/>
  <c r="AL485" i="5"/>
  <c r="AK485" i="5"/>
  <c r="AJ485" i="5"/>
  <c r="AS484" i="5"/>
  <c r="AR484" i="5"/>
  <c r="AQ484" i="5"/>
  <c r="AP484" i="5"/>
  <c r="AO484" i="5"/>
  <c r="AN484" i="5"/>
  <c r="AM484" i="5"/>
  <c r="AL484" i="5"/>
  <c r="AK484" i="5"/>
  <c r="AJ484" i="5"/>
  <c r="AS483" i="5"/>
  <c r="AR483" i="5"/>
  <c r="AQ483" i="5"/>
  <c r="AP483" i="5"/>
  <c r="AO483" i="5"/>
  <c r="AN483" i="5"/>
  <c r="AM483" i="5"/>
  <c r="AL483" i="5"/>
  <c r="AK483" i="5"/>
  <c r="AJ483" i="5"/>
  <c r="AS482" i="5"/>
  <c r="AR482" i="5"/>
  <c r="AQ482" i="5"/>
  <c r="AP482" i="5"/>
  <c r="AO482" i="5"/>
  <c r="AN482" i="5"/>
  <c r="AM482" i="5"/>
  <c r="AL482" i="5"/>
  <c r="AK482" i="5"/>
  <c r="AJ482" i="5"/>
  <c r="AS481" i="5"/>
  <c r="AR481" i="5"/>
  <c r="AQ481" i="5"/>
  <c r="AP481" i="5"/>
  <c r="AO481" i="5"/>
  <c r="AN481" i="5"/>
  <c r="AM481" i="5"/>
  <c r="AL481" i="5"/>
  <c r="AK481" i="5"/>
  <c r="AJ481" i="5"/>
  <c r="AS480" i="5"/>
  <c r="AR480" i="5"/>
  <c r="AQ480" i="5"/>
  <c r="AP480" i="5"/>
  <c r="AO480" i="5"/>
  <c r="AN480" i="5"/>
  <c r="AM480" i="5"/>
  <c r="AL480" i="5"/>
  <c r="AK480" i="5"/>
  <c r="AJ480" i="5"/>
  <c r="AS479" i="5"/>
  <c r="AR479" i="5"/>
  <c r="AQ479" i="5"/>
  <c r="AP479" i="5"/>
  <c r="AO479" i="5"/>
  <c r="AN479" i="5"/>
  <c r="AM479" i="5"/>
  <c r="AL479" i="5"/>
  <c r="AK479" i="5"/>
  <c r="AJ479" i="5"/>
  <c r="AS478" i="5"/>
  <c r="AR478" i="5"/>
  <c r="AQ478" i="5"/>
  <c r="AP478" i="5"/>
  <c r="AO478" i="5"/>
  <c r="AN478" i="5"/>
  <c r="AM478" i="5"/>
  <c r="AL478" i="5"/>
  <c r="AK478" i="5"/>
  <c r="AJ478" i="5"/>
  <c r="AS477" i="5"/>
  <c r="AR477" i="5"/>
  <c r="AQ477" i="5"/>
  <c r="AP477" i="5"/>
  <c r="AO477" i="5"/>
  <c r="AN477" i="5"/>
  <c r="AM477" i="5"/>
  <c r="AL477" i="5"/>
  <c r="AK477" i="5"/>
  <c r="AJ477" i="5"/>
  <c r="AS476" i="5"/>
  <c r="AR476" i="5"/>
  <c r="AQ476" i="5"/>
  <c r="AP476" i="5"/>
  <c r="AO476" i="5"/>
  <c r="AN476" i="5"/>
  <c r="AM476" i="5"/>
  <c r="AL476" i="5"/>
  <c r="AK476" i="5"/>
  <c r="AJ476" i="5"/>
  <c r="AS475" i="5"/>
  <c r="AR475" i="5"/>
  <c r="AQ475" i="5"/>
  <c r="AP475" i="5"/>
  <c r="AO475" i="5"/>
  <c r="AN475" i="5"/>
  <c r="AM475" i="5"/>
  <c r="AL475" i="5"/>
  <c r="AK475" i="5"/>
  <c r="AJ475" i="5"/>
  <c r="AS474" i="5"/>
  <c r="AR474" i="5"/>
  <c r="AQ474" i="5"/>
  <c r="AP474" i="5"/>
  <c r="AO474" i="5"/>
  <c r="AN474" i="5"/>
  <c r="AM474" i="5"/>
  <c r="AL474" i="5"/>
  <c r="AK474" i="5"/>
  <c r="AJ474" i="5"/>
  <c r="AS473" i="5"/>
  <c r="AR473" i="5"/>
  <c r="AQ473" i="5"/>
  <c r="AP473" i="5"/>
  <c r="AO473" i="5"/>
  <c r="AN473" i="5"/>
  <c r="AM473" i="5"/>
  <c r="AL473" i="5"/>
  <c r="AK473" i="5"/>
  <c r="AJ473" i="5"/>
  <c r="AS472" i="5"/>
  <c r="AR472" i="5"/>
  <c r="AQ472" i="5"/>
  <c r="AP472" i="5"/>
  <c r="AO472" i="5"/>
  <c r="AN472" i="5"/>
  <c r="AM472" i="5"/>
  <c r="AL472" i="5"/>
  <c r="AK472" i="5"/>
  <c r="AJ472" i="5"/>
  <c r="AS471" i="5"/>
  <c r="AR471" i="5"/>
  <c r="AQ471" i="5"/>
  <c r="AP471" i="5"/>
  <c r="AO471" i="5"/>
  <c r="AN471" i="5"/>
  <c r="AM471" i="5"/>
  <c r="AL471" i="5"/>
  <c r="AK471" i="5"/>
  <c r="AJ471" i="5"/>
  <c r="AS470" i="5"/>
  <c r="AR470" i="5"/>
  <c r="AQ470" i="5"/>
  <c r="AP470" i="5"/>
  <c r="AO470" i="5"/>
  <c r="AN470" i="5"/>
  <c r="AM470" i="5"/>
  <c r="AL470" i="5"/>
  <c r="AK470" i="5"/>
  <c r="AJ470" i="5"/>
  <c r="AS469" i="5"/>
  <c r="AR469" i="5"/>
  <c r="AQ469" i="5"/>
  <c r="AP469" i="5"/>
  <c r="AO469" i="5"/>
  <c r="AN469" i="5"/>
  <c r="AM469" i="5"/>
  <c r="AL469" i="5"/>
  <c r="AK469" i="5"/>
  <c r="AJ469" i="5"/>
  <c r="AS468" i="5"/>
  <c r="AR468" i="5"/>
  <c r="AQ468" i="5"/>
  <c r="AP468" i="5"/>
  <c r="AO468" i="5"/>
  <c r="AN468" i="5"/>
  <c r="AM468" i="5"/>
  <c r="AL468" i="5"/>
  <c r="AK468" i="5"/>
  <c r="AJ468" i="5"/>
  <c r="AS467" i="5"/>
  <c r="AR467" i="5"/>
  <c r="AQ467" i="5"/>
  <c r="AP467" i="5"/>
  <c r="AO467" i="5"/>
  <c r="AN467" i="5"/>
  <c r="AM467" i="5"/>
  <c r="AL467" i="5"/>
  <c r="AK467" i="5"/>
  <c r="AJ467" i="5"/>
  <c r="AS466" i="5"/>
  <c r="AR466" i="5"/>
  <c r="AQ466" i="5"/>
  <c r="AP466" i="5"/>
  <c r="AO466" i="5"/>
  <c r="AN466" i="5"/>
  <c r="AM466" i="5"/>
  <c r="AL466" i="5"/>
  <c r="AK466" i="5"/>
  <c r="AJ466" i="5"/>
  <c r="AS465" i="5"/>
  <c r="AR465" i="5"/>
  <c r="AQ465" i="5"/>
  <c r="AP465" i="5"/>
  <c r="AO465" i="5"/>
  <c r="AN465" i="5"/>
  <c r="AM465" i="5"/>
  <c r="AL465" i="5"/>
  <c r="AK465" i="5"/>
  <c r="AJ465" i="5"/>
  <c r="AS464" i="5"/>
  <c r="AR464" i="5"/>
  <c r="AQ464" i="5"/>
  <c r="AP464" i="5"/>
  <c r="AO464" i="5"/>
  <c r="AN464" i="5"/>
  <c r="AM464" i="5"/>
  <c r="AL464" i="5"/>
  <c r="AK464" i="5"/>
  <c r="AJ464" i="5"/>
  <c r="AS463" i="5"/>
  <c r="AR463" i="5"/>
  <c r="AQ463" i="5"/>
  <c r="AP463" i="5"/>
  <c r="AO463" i="5"/>
  <c r="AN463" i="5"/>
  <c r="AM463" i="5"/>
  <c r="AL463" i="5"/>
  <c r="AK463" i="5"/>
  <c r="AJ463" i="5"/>
  <c r="AS462" i="5"/>
  <c r="AR462" i="5"/>
  <c r="AQ462" i="5"/>
  <c r="AP462" i="5"/>
  <c r="AO462" i="5"/>
  <c r="AN462" i="5"/>
  <c r="AM462" i="5"/>
  <c r="AL462" i="5"/>
  <c r="AK462" i="5"/>
  <c r="AJ462" i="5"/>
  <c r="AS461" i="5"/>
  <c r="AR461" i="5"/>
  <c r="AQ461" i="5"/>
  <c r="AP461" i="5"/>
  <c r="AO461" i="5"/>
  <c r="AN461" i="5"/>
  <c r="AM461" i="5"/>
  <c r="AL461" i="5"/>
  <c r="AK461" i="5"/>
  <c r="AJ461" i="5"/>
  <c r="AS460" i="5"/>
  <c r="AR460" i="5"/>
  <c r="AQ460" i="5"/>
  <c r="AP460" i="5"/>
  <c r="AO460" i="5"/>
  <c r="AN460" i="5"/>
  <c r="AM460" i="5"/>
  <c r="AL460" i="5"/>
  <c r="AK460" i="5"/>
  <c r="AJ460" i="5"/>
  <c r="AS459" i="5"/>
  <c r="AR459" i="5"/>
  <c r="AQ459" i="5"/>
  <c r="AP459" i="5"/>
  <c r="AO459" i="5"/>
  <c r="AN459" i="5"/>
  <c r="AM459" i="5"/>
  <c r="AL459" i="5"/>
  <c r="AK459" i="5"/>
  <c r="AJ459" i="5"/>
  <c r="AS458" i="5"/>
  <c r="AR458" i="5"/>
  <c r="AQ458" i="5"/>
  <c r="AP458" i="5"/>
  <c r="AO458" i="5"/>
  <c r="AN458" i="5"/>
  <c r="AM458" i="5"/>
  <c r="AL458" i="5"/>
  <c r="AK458" i="5"/>
  <c r="AJ458" i="5"/>
  <c r="AS457" i="5"/>
  <c r="AR457" i="5"/>
  <c r="AQ457" i="5"/>
  <c r="AP457" i="5"/>
  <c r="AO457" i="5"/>
  <c r="AN457" i="5"/>
  <c r="AM457" i="5"/>
  <c r="AL457" i="5"/>
  <c r="AK457" i="5"/>
  <c r="AJ457" i="5"/>
  <c r="AS456" i="5"/>
  <c r="AR456" i="5"/>
  <c r="AQ456" i="5"/>
  <c r="AP456" i="5"/>
  <c r="AO456" i="5"/>
  <c r="AN456" i="5"/>
  <c r="AM456" i="5"/>
  <c r="AL456" i="5"/>
  <c r="AK456" i="5"/>
  <c r="AJ456" i="5"/>
  <c r="AS455" i="5"/>
  <c r="AR455" i="5"/>
  <c r="AQ455" i="5"/>
  <c r="AP455" i="5"/>
  <c r="AO455" i="5"/>
  <c r="AN455" i="5"/>
  <c r="AM455" i="5"/>
  <c r="AL455" i="5"/>
  <c r="AK455" i="5"/>
  <c r="AJ455" i="5"/>
  <c r="AS454" i="5"/>
  <c r="AR454" i="5"/>
  <c r="AQ454" i="5"/>
  <c r="AP454" i="5"/>
  <c r="AO454" i="5"/>
  <c r="AN454" i="5"/>
  <c r="AM454" i="5"/>
  <c r="AL454" i="5"/>
  <c r="AK454" i="5"/>
  <c r="AJ454" i="5"/>
  <c r="AS453" i="5"/>
  <c r="AR453" i="5"/>
  <c r="AQ453" i="5"/>
  <c r="AP453" i="5"/>
  <c r="AO453" i="5"/>
  <c r="AN453" i="5"/>
  <c r="AM453" i="5"/>
  <c r="AL453" i="5"/>
  <c r="AK453" i="5"/>
  <c r="AJ453" i="5"/>
  <c r="AS452" i="5"/>
  <c r="AR452" i="5"/>
  <c r="AQ452" i="5"/>
  <c r="AP452" i="5"/>
  <c r="AO452" i="5"/>
  <c r="AN452" i="5"/>
  <c r="AM452" i="5"/>
  <c r="AL452" i="5"/>
  <c r="AK452" i="5"/>
  <c r="AJ452" i="5"/>
  <c r="AS451" i="5"/>
  <c r="AR451" i="5"/>
  <c r="AQ451" i="5"/>
  <c r="AP451" i="5"/>
  <c r="AO451" i="5"/>
  <c r="AN451" i="5"/>
  <c r="AM451" i="5"/>
  <c r="AL451" i="5"/>
  <c r="AK451" i="5"/>
  <c r="AJ451" i="5"/>
  <c r="AS450" i="5"/>
  <c r="AR450" i="5"/>
  <c r="AQ450" i="5"/>
  <c r="AP450" i="5"/>
  <c r="AO450" i="5"/>
  <c r="AN450" i="5"/>
  <c r="AM450" i="5"/>
  <c r="AL450" i="5"/>
  <c r="AK450" i="5"/>
  <c r="AJ450" i="5"/>
  <c r="AS449" i="5"/>
  <c r="AR449" i="5"/>
  <c r="AQ449" i="5"/>
  <c r="AP449" i="5"/>
  <c r="AO449" i="5"/>
  <c r="AN449" i="5"/>
  <c r="AM449" i="5"/>
  <c r="AL449" i="5"/>
  <c r="AK449" i="5"/>
  <c r="AJ449" i="5"/>
  <c r="AS448" i="5"/>
  <c r="AR448" i="5"/>
  <c r="AQ448" i="5"/>
  <c r="AP448" i="5"/>
  <c r="AO448" i="5"/>
  <c r="AN448" i="5"/>
  <c r="AM448" i="5"/>
  <c r="AL448" i="5"/>
  <c r="AK448" i="5"/>
  <c r="AJ448" i="5"/>
  <c r="AS447" i="5"/>
  <c r="AR447" i="5"/>
  <c r="AQ447" i="5"/>
  <c r="AP447" i="5"/>
  <c r="AO447" i="5"/>
  <c r="AN447" i="5"/>
  <c r="AM447" i="5"/>
  <c r="AL447" i="5"/>
  <c r="AK447" i="5"/>
  <c r="AJ447" i="5"/>
  <c r="AS446" i="5"/>
  <c r="AR446" i="5"/>
  <c r="AQ446" i="5"/>
  <c r="AP446" i="5"/>
  <c r="AO446" i="5"/>
  <c r="AN446" i="5"/>
  <c r="AM446" i="5"/>
  <c r="AL446" i="5"/>
  <c r="AK446" i="5"/>
  <c r="AJ446" i="5"/>
  <c r="AS445" i="5"/>
  <c r="AR445" i="5"/>
  <c r="AQ445" i="5"/>
  <c r="AP445" i="5"/>
  <c r="AO445" i="5"/>
  <c r="AN445" i="5"/>
  <c r="AM445" i="5"/>
  <c r="AL445" i="5"/>
  <c r="AK445" i="5"/>
  <c r="AJ445" i="5"/>
  <c r="AS444" i="5"/>
  <c r="AR444" i="5"/>
  <c r="AQ444" i="5"/>
  <c r="AP444" i="5"/>
  <c r="AO444" i="5"/>
  <c r="AN444" i="5"/>
  <c r="AM444" i="5"/>
  <c r="AL444" i="5"/>
  <c r="AK444" i="5"/>
  <c r="AJ444" i="5"/>
  <c r="AS443" i="5"/>
  <c r="AR443" i="5"/>
  <c r="AQ443" i="5"/>
  <c r="AP443" i="5"/>
  <c r="AO443" i="5"/>
  <c r="AN443" i="5"/>
  <c r="AM443" i="5"/>
  <c r="AL443" i="5"/>
  <c r="AK443" i="5"/>
  <c r="AJ443" i="5"/>
  <c r="AS442" i="5"/>
  <c r="AR442" i="5"/>
  <c r="AQ442" i="5"/>
  <c r="AP442" i="5"/>
  <c r="AO442" i="5"/>
  <c r="AN442" i="5"/>
  <c r="AM442" i="5"/>
  <c r="AL442" i="5"/>
  <c r="AK442" i="5"/>
  <c r="AJ442" i="5"/>
  <c r="AS441" i="5"/>
  <c r="AR441" i="5"/>
  <c r="AQ441" i="5"/>
  <c r="AP441" i="5"/>
  <c r="AO441" i="5"/>
  <c r="AN441" i="5"/>
  <c r="AM441" i="5"/>
  <c r="AL441" i="5"/>
  <c r="AK441" i="5"/>
  <c r="AJ441" i="5"/>
  <c r="AS440" i="5"/>
  <c r="AR440" i="5"/>
  <c r="AQ440" i="5"/>
  <c r="AP440" i="5"/>
  <c r="AO440" i="5"/>
  <c r="AN440" i="5"/>
  <c r="AM440" i="5"/>
  <c r="AL440" i="5"/>
  <c r="AK440" i="5"/>
  <c r="AJ440" i="5"/>
  <c r="AS439" i="5"/>
  <c r="AR439" i="5"/>
  <c r="AQ439" i="5"/>
  <c r="AP439" i="5"/>
  <c r="AO439" i="5"/>
  <c r="AN439" i="5"/>
  <c r="AM439" i="5"/>
  <c r="AL439" i="5"/>
  <c r="AK439" i="5"/>
  <c r="AJ439" i="5"/>
  <c r="AS438" i="5"/>
  <c r="AR438" i="5"/>
  <c r="AQ438" i="5"/>
  <c r="AP438" i="5"/>
  <c r="AO438" i="5"/>
  <c r="AN438" i="5"/>
  <c r="AM438" i="5"/>
  <c r="AL438" i="5"/>
  <c r="AK438" i="5"/>
  <c r="AJ438" i="5"/>
  <c r="AS437" i="5"/>
  <c r="AR437" i="5"/>
  <c r="AQ437" i="5"/>
  <c r="AP437" i="5"/>
  <c r="AO437" i="5"/>
  <c r="AN437" i="5"/>
  <c r="AM437" i="5"/>
  <c r="AL437" i="5"/>
  <c r="AK437" i="5"/>
  <c r="AJ437" i="5"/>
  <c r="AS436" i="5"/>
  <c r="AR436" i="5"/>
  <c r="AQ436" i="5"/>
  <c r="AP436" i="5"/>
  <c r="AO436" i="5"/>
  <c r="AN436" i="5"/>
  <c r="AM436" i="5"/>
  <c r="AL436" i="5"/>
  <c r="AK436" i="5"/>
  <c r="AJ436" i="5"/>
  <c r="AS435" i="5"/>
  <c r="AR435" i="5"/>
  <c r="AQ435" i="5"/>
  <c r="AP435" i="5"/>
  <c r="AO435" i="5"/>
  <c r="AN435" i="5"/>
  <c r="AM435" i="5"/>
  <c r="AL435" i="5"/>
  <c r="AK435" i="5"/>
  <c r="AJ435" i="5"/>
  <c r="AS434" i="5"/>
  <c r="AR434" i="5"/>
  <c r="AQ434" i="5"/>
  <c r="AP434" i="5"/>
  <c r="AO434" i="5"/>
  <c r="AN434" i="5"/>
  <c r="AM434" i="5"/>
  <c r="AL434" i="5"/>
  <c r="AK434" i="5"/>
  <c r="AJ434" i="5"/>
  <c r="AS433" i="5"/>
  <c r="AR433" i="5"/>
  <c r="AQ433" i="5"/>
  <c r="AP433" i="5"/>
  <c r="AO433" i="5"/>
  <c r="AN433" i="5"/>
  <c r="AM433" i="5"/>
  <c r="AL433" i="5"/>
  <c r="AK433" i="5"/>
  <c r="AJ433" i="5"/>
  <c r="AS432" i="5"/>
  <c r="AR432" i="5"/>
  <c r="AQ432" i="5"/>
  <c r="AP432" i="5"/>
  <c r="AO432" i="5"/>
  <c r="AN432" i="5"/>
  <c r="AM432" i="5"/>
  <c r="AL432" i="5"/>
  <c r="AK432" i="5"/>
  <c r="AJ432" i="5"/>
  <c r="AS431" i="5"/>
  <c r="AR431" i="5"/>
  <c r="AQ431" i="5"/>
  <c r="AP431" i="5"/>
  <c r="AO431" i="5"/>
  <c r="AN431" i="5"/>
  <c r="AM431" i="5"/>
  <c r="AL431" i="5"/>
  <c r="AK431" i="5"/>
  <c r="AJ431" i="5"/>
  <c r="AS430" i="5"/>
  <c r="AR430" i="5"/>
  <c r="AQ430" i="5"/>
  <c r="AP430" i="5"/>
  <c r="AO430" i="5"/>
  <c r="AN430" i="5"/>
  <c r="AM430" i="5"/>
  <c r="AL430" i="5"/>
  <c r="AK430" i="5"/>
  <c r="AJ430" i="5"/>
  <c r="AS429" i="5"/>
  <c r="AR429" i="5"/>
  <c r="AQ429" i="5"/>
  <c r="AP429" i="5"/>
  <c r="AO429" i="5"/>
  <c r="AN429" i="5"/>
  <c r="AM429" i="5"/>
  <c r="AL429" i="5"/>
  <c r="AK429" i="5"/>
  <c r="AJ429" i="5"/>
  <c r="AS428" i="5"/>
  <c r="AR428" i="5"/>
  <c r="AQ428" i="5"/>
  <c r="AP428" i="5"/>
  <c r="AO428" i="5"/>
  <c r="AN428" i="5"/>
  <c r="AM428" i="5"/>
  <c r="AL428" i="5"/>
  <c r="AK428" i="5"/>
  <c r="AJ428" i="5"/>
  <c r="AS427" i="5"/>
  <c r="AR427" i="5"/>
  <c r="AQ427" i="5"/>
  <c r="AP427" i="5"/>
  <c r="AO427" i="5"/>
  <c r="AN427" i="5"/>
  <c r="AM427" i="5"/>
  <c r="AL427" i="5"/>
  <c r="AK427" i="5"/>
  <c r="AJ427" i="5"/>
  <c r="AS426" i="5"/>
  <c r="AR426" i="5"/>
  <c r="AQ426" i="5"/>
  <c r="AP426" i="5"/>
  <c r="AO426" i="5"/>
  <c r="AN426" i="5"/>
  <c r="AM426" i="5"/>
  <c r="AL426" i="5"/>
  <c r="AK426" i="5"/>
  <c r="AJ426" i="5"/>
  <c r="AS425" i="5"/>
  <c r="AR425" i="5"/>
  <c r="AQ425" i="5"/>
  <c r="AP425" i="5"/>
  <c r="AO425" i="5"/>
  <c r="AN425" i="5"/>
  <c r="AM425" i="5"/>
  <c r="AL425" i="5"/>
  <c r="AK425" i="5"/>
  <c r="AJ425" i="5"/>
  <c r="AS424" i="5"/>
  <c r="AR424" i="5"/>
  <c r="AQ424" i="5"/>
  <c r="AP424" i="5"/>
  <c r="AO424" i="5"/>
  <c r="AN424" i="5"/>
  <c r="AM424" i="5"/>
  <c r="AL424" i="5"/>
  <c r="AK424" i="5"/>
  <c r="AJ424" i="5"/>
  <c r="AS423" i="5"/>
  <c r="AR423" i="5"/>
  <c r="AQ423" i="5"/>
  <c r="AP423" i="5"/>
  <c r="AO423" i="5"/>
  <c r="AN423" i="5"/>
  <c r="AM423" i="5"/>
  <c r="AL423" i="5"/>
  <c r="AK423" i="5"/>
  <c r="AJ423" i="5"/>
  <c r="AS422" i="5"/>
  <c r="AR422" i="5"/>
  <c r="AQ422" i="5"/>
  <c r="AP422" i="5"/>
  <c r="AO422" i="5"/>
  <c r="AN422" i="5"/>
  <c r="AM422" i="5"/>
  <c r="AL422" i="5"/>
  <c r="AK422" i="5"/>
  <c r="AJ422" i="5"/>
  <c r="AS421" i="5"/>
  <c r="AR421" i="5"/>
  <c r="AQ421" i="5"/>
  <c r="AP421" i="5"/>
  <c r="AO421" i="5"/>
  <c r="AN421" i="5"/>
  <c r="AM421" i="5"/>
  <c r="AL421" i="5"/>
  <c r="AK421" i="5"/>
  <c r="AJ421" i="5"/>
  <c r="AS420" i="5"/>
  <c r="AR420" i="5"/>
  <c r="AQ420" i="5"/>
  <c r="AP420" i="5"/>
  <c r="AO420" i="5"/>
  <c r="AN420" i="5"/>
  <c r="AM420" i="5"/>
  <c r="AL420" i="5"/>
  <c r="AK420" i="5"/>
  <c r="AJ420" i="5"/>
  <c r="AS419" i="5"/>
  <c r="AR419" i="5"/>
  <c r="AQ419" i="5"/>
  <c r="AP419" i="5"/>
  <c r="AO419" i="5"/>
  <c r="AN419" i="5"/>
  <c r="AM419" i="5"/>
  <c r="AL419" i="5"/>
  <c r="AK419" i="5"/>
  <c r="AJ419" i="5"/>
  <c r="AS418" i="5"/>
  <c r="AR418" i="5"/>
  <c r="AQ418" i="5"/>
  <c r="AP418" i="5"/>
  <c r="AO418" i="5"/>
  <c r="AN418" i="5"/>
  <c r="AM418" i="5"/>
  <c r="AL418" i="5"/>
  <c r="AK418" i="5"/>
  <c r="AJ418" i="5"/>
  <c r="AS417" i="5"/>
  <c r="AR417" i="5"/>
  <c r="AQ417" i="5"/>
  <c r="AP417" i="5"/>
  <c r="AO417" i="5"/>
  <c r="AN417" i="5"/>
  <c r="AM417" i="5"/>
  <c r="AL417" i="5"/>
  <c r="AK417" i="5"/>
  <c r="AJ417" i="5"/>
  <c r="AS416" i="5"/>
  <c r="AR416" i="5"/>
  <c r="AQ416" i="5"/>
  <c r="AP416" i="5"/>
  <c r="AO416" i="5"/>
  <c r="AN416" i="5"/>
  <c r="AM416" i="5"/>
  <c r="AL416" i="5"/>
  <c r="AK416" i="5"/>
  <c r="AJ416" i="5"/>
  <c r="AS415" i="5"/>
  <c r="AR415" i="5"/>
  <c r="AQ415" i="5"/>
  <c r="AP415" i="5"/>
  <c r="AO415" i="5"/>
  <c r="AN415" i="5"/>
  <c r="AM415" i="5"/>
  <c r="AL415" i="5"/>
  <c r="AK415" i="5"/>
  <c r="AJ415" i="5"/>
  <c r="AS414" i="5"/>
  <c r="AR414" i="5"/>
  <c r="AQ414" i="5"/>
  <c r="AP414" i="5"/>
  <c r="AO414" i="5"/>
  <c r="AN414" i="5"/>
  <c r="AM414" i="5"/>
  <c r="AL414" i="5"/>
  <c r="AK414" i="5"/>
  <c r="AJ414" i="5"/>
  <c r="AS413" i="5"/>
  <c r="AR413" i="5"/>
  <c r="AQ413" i="5"/>
  <c r="AP413" i="5"/>
  <c r="AO413" i="5"/>
  <c r="AN413" i="5"/>
  <c r="AM413" i="5"/>
  <c r="AL413" i="5"/>
  <c r="AK413" i="5"/>
  <c r="AJ413" i="5"/>
  <c r="AS412" i="5"/>
  <c r="AR412" i="5"/>
  <c r="AQ412" i="5"/>
  <c r="AP412" i="5"/>
  <c r="AO412" i="5"/>
  <c r="AN412" i="5"/>
  <c r="AM412" i="5"/>
  <c r="AL412" i="5"/>
  <c r="AK412" i="5"/>
  <c r="AJ412" i="5"/>
  <c r="AS411" i="5"/>
  <c r="AR411" i="5"/>
  <c r="AQ411" i="5"/>
  <c r="AP411" i="5"/>
  <c r="AO411" i="5"/>
  <c r="AN411" i="5"/>
  <c r="AM411" i="5"/>
  <c r="AL411" i="5"/>
  <c r="AK411" i="5"/>
  <c r="AJ411" i="5"/>
  <c r="AS410" i="5"/>
  <c r="AR410" i="5"/>
  <c r="AQ410" i="5"/>
  <c r="AP410" i="5"/>
  <c r="AO410" i="5"/>
  <c r="AN410" i="5"/>
  <c r="AM410" i="5"/>
  <c r="AL410" i="5"/>
  <c r="AK410" i="5"/>
  <c r="AJ410" i="5"/>
  <c r="AS409" i="5"/>
  <c r="AR409" i="5"/>
  <c r="AQ409" i="5"/>
  <c r="AP409" i="5"/>
  <c r="AO409" i="5"/>
  <c r="AN409" i="5"/>
  <c r="AM409" i="5"/>
  <c r="AL409" i="5"/>
  <c r="AK409" i="5"/>
  <c r="AJ409" i="5"/>
  <c r="AS408" i="5"/>
  <c r="AR408" i="5"/>
  <c r="AQ408" i="5"/>
  <c r="AP408" i="5"/>
  <c r="AO408" i="5"/>
  <c r="AN408" i="5"/>
  <c r="AM408" i="5"/>
  <c r="AL408" i="5"/>
  <c r="AK408" i="5"/>
  <c r="AJ408" i="5"/>
  <c r="AS407" i="5"/>
  <c r="AR407" i="5"/>
  <c r="AQ407" i="5"/>
  <c r="AP407" i="5"/>
  <c r="AO407" i="5"/>
  <c r="AN407" i="5"/>
  <c r="AM407" i="5"/>
  <c r="AL407" i="5"/>
  <c r="AK407" i="5"/>
  <c r="AJ407" i="5"/>
  <c r="AS406" i="5"/>
  <c r="AR406" i="5"/>
  <c r="AQ406" i="5"/>
  <c r="AP406" i="5"/>
  <c r="AO406" i="5"/>
  <c r="AN406" i="5"/>
  <c r="AM406" i="5"/>
  <c r="AL406" i="5"/>
  <c r="AK406" i="5"/>
  <c r="AJ406" i="5"/>
  <c r="AS405" i="5"/>
  <c r="AR405" i="5"/>
  <c r="AQ405" i="5"/>
  <c r="AP405" i="5"/>
  <c r="AO405" i="5"/>
  <c r="AN405" i="5"/>
  <c r="AM405" i="5"/>
  <c r="AL405" i="5"/>
  <c r="AK405" i="5"/>
  <c r="AJ405" i="5"/>
  <c r="AS404" i="5"/>
  <c r="AR404" i="5"/>
  <c r="AQ404" i="5"/>
  <c r="AP404" i="5"/>
  <c r="AO404" i="5"/>
  <c r="AN404" i="5"/>
  <c r="AM404" i="5"/>
  <c r="AL404" i="5"/>
  <c r="AK404" i="5"/>
  <c r="AJ404" i="5"/>
  <c r="AS403" i="5"/>
  <c r="AR403" i="5"/>
  <c r="AQ403" i="5"/>
  <c r="AP403" i="5"/>
  <c r="AO403" i="5"/>
  <c r="AN403" i="5"/>
  <c r="AM403" i="5"/>
  <c r="AL403" i="5"/>
  <c r="AK403" i="5"/>
  <c r="AJ403" i="5"/>
  <c r="AS402" i="5"/>
  <c r="AR402" i="5"/>
  <c r="AQ402" i="5"/>
  <c r="AP402" i="5"/>
  <c r="AO402" i="5"/>
  <c r="AN402" i="5"/>
  <c r="AM402" i="5"/>
  <c r="AL402" i="5"/>
  <c r="AK402" i="5"/>
  <c r="AJ402" i="5"/>
  <c r="AS401" i="5"/>
  <c r="AR401" i="5"/>
  <c r="AQ401" i="5"/>
  <c r="AP401" i="5"/>
  <c r="AO401" i="5"/>
  <c r="AN401" i="5"/>
  <c r="AM401" i="5"/>
  <c r="AL401" i="5"/>
  <c r="AK401" i="5"/>
  <c r="AJ401" i="5"/>
  <c r="AS400" i="5"/>
  <c r="AR400" i="5"/>
  <c r="AQ400" i="5"/>
  <c r="AP400" i="5"/>
  <c r="AO400" i="5"/>
  <c r="AN400" i="5"/>
  <c r="AM400" i="5"/>
  <c r="AL400" i="5"/>
  <c r="AK400" i="5"/>
  <c r="AJ400" i="5"/>
  <c r="AS399" i="5"/>
  <c r="AR399" i="5"/>
  <c r="AQ399" i="5"/>
  <c r="AP399" i="5"/>
  <c r="AO399" i="5"/>
  <c r="AN399" i="5"/>
  <c r="AM399" i="5"/>
  <c r="AL399" i="5"/>
  <c r="AK399" i="5"/>
  <c r="AJ399" i="5"/>
  <c r="AS398" i="5"/>
  <c r="AR398" i="5"/>
  <c r="AQ398" i="5"/>
  <c r="AP398" i="5"/>
  <c r="AO398" i="5"/>
  <c r="AN398" i="5"/>
  <c r="AM398" i="5"/>
  <c r="AL398" i="5"/>
  <c r="AK398" i="5"/>
  <c r="AJ398" i="5"/>
  <c r="AS397" i="5"/>
  <c r="AR397" i="5"/>
  <c r="AQ397" i="5"/>
  <c r="AP397" i="5"/>
  <c r="AO397" i="5"/>
  <c r="AN397" i="5"/>
  <c r="AM397" i="5"/>
  <c r="AL397" i="5"/>
  <c r="AK397" i="5"/>
  <c r="AJ397" i="5"/>
  <c r="AS396" i="5"/>
  <c r="AR396" i="5"/>
  <c r="AQ396" i="5"/>
  <c r="AP396" i="5"/>
  <c r="AO396" i="5"/>
  <c r="AN396" i="5"/>
  <c r="AM396" i="5"/>
  <c r="AL396" i="5"/>
  <c r="AK396" i="5"/>
  <c r="AJ396" i="5"/>
  <c r="AS395" i="5"/>
  <c r="AR395" i="5"/>
  <c r="AQ395" i="5"/>
  <c r="AP395" i="5"/>
  <c r="AO395" i="5"/>
  <c r="AN395" i="5"/>
  <c r="AM395" i="5"/>
  <c r="AL395" i="5"/>
  <c r="AK395" i="5"/>
  <c r="AJ395" i="5"/>
  <c r="AS394" i="5"/>
  <c r="AR394" i="5"/>
  <c r="AQ394" i="5"/>
  <c r="AP394" i="5"/>
  <c r="AO394" i="5"/>
  <c r="AN394" i="5"/>
  <c r="AM394" i="5"/>
  <c r="AL394" i="5"/>
  <c r="AK394" i="5"/>
  <c r="AJ394" i="5"/>
  <c r="AS393" i="5"/>
  <c r="AR393" i="5"/>
  <c r="AQ393" i="5"/>
  <c r="AP393" i="5"/>
  <c r="AO393" i="5"/>
  <c r="AN393" i="5"/>
  <c r="AM393" i="5"/>
  <c r="AL393" i="5"/>
  <c r="AK393" i="5"/>
  <c r="AJ393" i="5"/>
  <c r="AS392" i="5"/>
  <c r="AR392" i="5"/>
  <c r="AQ392" i="5"/>
  <c r="AP392" i="5"/>
  <c r="AO392" i="5"/>
  <c r="AN392" i="5"/>
  <c r="AM392" i="5"/>
  <c r="AL392" i="5"/>
  <c r="AK392" i="5"/>
  <c r="AJ392" i="5"/>
  <c r="AS391" i="5"/>
  <c r="AR391" i="5"/>
  <c r="AQ391" i="5"/>
  <c r="AP391" i="5"/>
  <c r="AO391" i="5"/>
  <c r="AN391" i="5"/>
  <c r="AM391" i="5"/>
  <c r="AL391" i="5"/>
  <c r="AK391" i="5"/>
  <c r="AJ391" i="5"/>
  <c r="AS390" i="5"/>
  <c r="AR390" i="5"/>
  <c r="AQ390" i="5"/>
  <c r="AP390" i="5"/>
  <c r="AO390" i="5"/>
  <c r="AN390" i="5"/>
  <c r="AM390" i="5"/>
  <c r="AL390" i="5"/>
  <c r="AK390" i="5"/>
  <c r="AJ390" i="5"/>
  <c r="AS389" i="5"/>
  <c r="AR389" i="5"/>
  <c r="AQ389" i="5"/>
  <c r="AP389" i="5"/>
  <c r="AO389" i="5"/>
  <c r="AN389" i="5"/>
  <c r="AM389" i="5"/>
  <c r="AL389" i="5"/>
  <c r="AK389" i="5"/>
  <c r="AJ389" i="5"/>
  <c r="AS388" i="5"/>
  <c r="AR388" i="5"/>
  <c r="AQ388" i="5"/>
  <c r="AP388" i="5"/>
  <c r="AO388" i="5"/>
  <c r="AN388" i="5"/>
  <c r="AM388" i="5"/>
  <c r="AL388" i="5"/>
  <c r="AK388" i="5"/>
  <c r="AJ388" i="5"/>
  <c r="AS387" i="5"/>
  <c r="AR387" i="5"/>
  <c r="AQ387" i="5"/>
  <c r="AP387" i="5"/>
  <c r="AO387" i="5"/>
  <c r="AN387" i="5"/>
  <c r="AM387" i="5"/>
  <c r="AL387" i="5"/>
  <c r="AK387" i="5"/>
  <c r="AJ387" i="5"/>
  <c r="AS386" i="5"/>
  <c r="AR386" i="5"/>
  <c r="AQ386" i="5"/>
  <c r="AP386" i="5"/>
  <c r="AO386" i="5"/>
  <c r="AN386" i="5"/>
  <c r="AM386" i="5"/>
  <c r="AL386" i="5"/>
  <c r="AK386" i="5"/>
  <c r="AJ386" i="5"/>
  <c r="AS385" i="5"/>
  <c r="AR385" i="5"/>
  <c r="AQ385" i="5"/>
  <c r="AP385" i="5"/>
  <c r="AO385" i="5"/>
  <c r="AN385" i="5"/>
  <c r="AM385" i="5"/>
  <c r="AL385" i="5"/>
  <c r="AK385" i="5"/>
  <c r="AJ385" i="5"/>
  <c r="AS384" i="5"/>
  <c r="AR384" i="5"/>
  <c r="AQ384" i="5"/>
  <c r="AP384" i="5"/>
  <c r="AO384" i="5"/>
  <c r="AN384" i="5"/>
  <c r="AM384" i="5"/>
  <c r="AL384" i="5"/>
  <c r="AK384" i="5"/>
  <c r="AJ384" i="5"/>
  <c r="AS383" i="5"/>
  <c r="AR383" i="5"/>
  <c r="AQ383" i="5"/>
  <c r="AP383" i="5"/>
  <c r="AO383" i="5"/>
  <c r="AN383" i="5"/>
  <c r="AM383" i="5"/>
  <c r="AL383" i="5"/>
  <c r="AK383" i="5"/>
  <c r="AJ383" i="5"/>
  <c r="AS382" i="5"/>
  <c r="AR382" i="5"/>
  <c r="AQ382" i="5"/>
  <c r="AP382" i="5"/>
  <c r="AO382" i="5"/>
  <c r="AN382" i="5"/>
  <c r="AM382" i="5"/>
  <c r="AL382" i="5"/>
  <c r="AK382" i="5"/>
  <c r="AJ382" i="5"/>
  <c r="AS381" i="5"/>
  <c r="AR381" i="5"/>
  <c r="AQ381" i="5"/>
  <c r="AP381" i="5"/>
  <c r="AO381" i="5"/>
  <c r="AN381" i="5"/>
  <c r="AM381" i="5"/>
  <c r="AL381" i="5"/>
  <c r="AK381" i="5"/>
  <c r="AJ381" i="5"/>
  <c r="AS380" i="5"/>
  <c r="AR380" i="5"/>
  <c r="AQ380" i="5"/>
  <c r="AP380" i="5"/>
  <c r="AO380" i="5"/>
  <c r="AN380" i="5"/>
  <c r="AM380" i="5"/>
  <c r="AL380" i="5"/>
  <c r="AK380" i="5"/>
  <c r="AJ380" i="5"/>
  <c r="AS379" i="5"/>
  <c r="AR379" i="5"/>
  <c r="AQ379" i="5"/>
  <c r="AP379" i="5"/>
  <c r="AO379" i="5"/>
  <c r="AN379" i="5"/>
  <c r="AM379" i="5"/>
  <c r="AL379" i="5"/>
  <c r="AK379" i="5"/>
  <c r="AJ379" i="5"/>
  <c r="AS378" i="5"/>
  <c r="AR378" i="5"/>
  <c r="AQ378" i="5"/>
  <c r="AP378" i="5"/>
  <c r="AO378" i="5"/>
  <c r="AN378" i="5"/>
  <c r="AM378" i="5"/>
  <c r="AL378" i="5"/>
  <c r="AK378" i="5"/>
  <c r="AJ378" i="5"/>
  <c r="AS377" i="5"/>
  <c r="AR377" i="5"/>
  <c r="AQ377" i="5"/>
  <c r="AP377" i="5"/>
  <c r="AO377" i="5"/>
  <c r="AN377" i="5"/>
  <c r="AM377" i="5"/>
  <c r="AL377" i="5"/>
  <c r="AK377" i="5"/>
  <c r="AJ377" i="5"/>
  <c r="AS376" i="5"/>
  <c r="AR376" i="5"/>
  <c r="AQ376" i="5"/>
  <c r="AP376" i="5"/>
  <c r="AO376" i="5"/>
  <c r="AN376" i="5"/>
  <c r="AM376" i="5"/>
  <c r="AL376" i="5"/>
  <c r="AK376" i="5"/>
  <c r="AJ376" i="5"/>
  <c r="AS375" i="5"/>
  <c r="AR375" i="5"/>
  <c r="AQ375" i="5"/>
  <c r="AP375" i="5"/>
  <c r="AO375" i="5"/>
  <c r="AN375" i="5"/>
  <c r="AM375" i="5"/>
  <c r="AL375" i="5"/>
  <c r="AK375" i="5"/>
  <c r="AJ375" i="5"/>
  <c r="AS374" i="5"/>
  <c r="AR374" i="5"/>
  <c r="AQ374" i="5"/>
  <c r="AP374" i="5"/>
  <c r="AO374" i="5"/>
  <c r="AN374" i="5"/>
  <c r="AM374" i="5"/>
  <c r="AL374" i="5"/>
  <c r="AK374" i="5"/>
  <c r="AJ374" i="5"/>
  <c r="AS373" i="5"/>
  <c r="AR373" i="5"/>
  <c r="AQ373" i="5"/>
  <c r="AP373" i="5"/>
  <c r="AO373" i="5"/>
  <c r="AN373" i="5"/>
  <c r="AM373" i="5"/>
  <c r="AL373" i="5"/>
  <c r="AK373" i="5"/>
  <c r="AJ373" i="5"/>
  <c r="AS372" i="5"/>
  <c r="AR372" i="5"/>
  <c r="AQ372" i="5"/>
  <c r="AP372" i="5"/>
  <c r="AO372" i="5"/>
  <c r="AN372" i="5"/>
  <c r="AM372" i="5"/>
  <c r="AL372" i="5"/>
  <c r="AK372" i="5"/>
  <c r="AJ372" i="5"/>
  <c r="AS371" i="5"/>
  <c r="AR371" i="5"/>
  <c r="AQ371" i="5"/>
  <c r="AP371" i="5"/>
  <c r="AO371" i="5"/>
  <c r="AN371" i="5"/>
  <c r="AM371" i="5"/>
  <c r="AL371" i="5"/>
  <c r="AK371" i="5"/>
  <c r="AJ371" i="5"/>
  <c r="AS370" i="5"/>
  <c r="AR370" i="5"/>
  <c r="AQ370" i="5"/>
  <c r="AP370" i="5"/>
  <c r="AO370" i="5"/>
  <c r="AN370" i="5"/>
  <c r="AM370" i="5"/>
  <c r="AL370" i="5"/>
  <c r="AK370" i="5"/>
  <c r="AJ370" i="5"/>
  <c r="AS369" i="5"/>
  <c r="AR369" i="5"/>
  <c r="AQ369" i="5"/>
  <c r="AP369" i="5"/>
  <c r="AO369" i="5"/>
  <c r="AN369" i="5"/>
  <c r="AM369" i="5"/>
  <c r="AL369" i="5"/>
  <c r="AK369" i="5"/>
  <c r="AJ369" i="5"/>
  <c r="AS368" i="5"/>
  <c r="AR368" i="5"/>
  <c r="AQ368" i="5"/>
  <c r="AP368" i="5"/>
  <c r="AO368" i="5"/>
  <c r="AN368" i="5"/>
  <c r="AM368" i="5"/>
  <c r="AL368" i="5"/>
  <c r="AK368" i="5"/>
  <c r="AJ368" i="5"/>
  <c r="AS367" i="5"/>
  <c r="AR367" i="5"/>
  <c r="AQ367" i="5"/>
  <c r="AP367" i="5"/>
  <c r="AO367" i="5"/>
  <c r="AN367" i="5"/>
  <c r="AM367" i="5"/>
  <c r="AL367" i="5"/>
  <c r="AK367" i="5"/>
  <c r="AJ367" i="5"/>
  <c r="AS366" i="5"/>
  <c r="AR366" i="5"/>
  <c r="AQ366" i="5"/>
  <c r="AP366" i="5"/>
  <c r="AO366" i="5"/>
  <c r="AN366" i="5"/>
  <c r="AM366" i="5"/>
  <c r="AL366" i="5"/>
  <c r="AK366" i="5"/>
  <c r="AJ366" i="5"/>
  <c r="AS365" i="5"/>
  <c r="AR365" i="5"/>
  <c r="AQ365" i="5"/>
  <c r="AP365" i="5"/>
  <c r="AO365" i="5"/>
  <c r="AN365" i="5"/>
  <c r="AM365" i="5"/>
  <c r="AL365" i="5"/>
  <c r="AK365" i="5"/>
  <c r="AJ365" i="5"/>
  <c r="AS364" i="5"/>
  <c r="AR364" i="5"/>
  <c r="AQ364" i="5"/>
  <c r="AP364" i="5"/>
  <c r="AO364" i="5"/>
  <c r="AN364" i="5"/>
  <c r="AM364" i="5"/>
  <c r="AL364" i="5"/>
  <c r="AK364" i="5"/>
  <c r="AJ364" i="5"/>
  <c r="AS363" i="5"/>
  <c r="AR363" i="5"/>
  <c r="AQ363" i="5"/>
  <c r="AP363" i="5"/>
  <c r="AO363" i="5"/>
  <c r="AN363" i="5"/>
  <c r="AM363" i="5"/>
  <c r="AL363" i="5"/>
  <c r="AK363" i="5"/>
  <c r="AJ363" i="5"/>
  <c r="AS362" i="5"/>
  <c r="AR362" i="5"/>
  <c r="AQ362" i="5"/>
  <c r="AP362" i="5"/>
  <c r="AO362" i="5"/>
  <c r="AN362" i="5"/>
  <c r="AM362" i="5"/>
  <c r="AL362" i="5"/>
  <c r="AK362" i="5"/>
  <c r="AJ362" i="5"/>
  <c r="AS361" i="5"/>
  <c r="AR361" i="5"/>
  <c r="AQ361" i="5"/>
  <c r="AP361" i="5"/>
  <c r="AO361" i="5"/>
  <c r="AN361" i="5"/>
  <c r="AM361" i="5"/>
  <c r="AL361" i="5"/>
  <c r="AK361" i="5"/>
  <c r="AJ361" i="5"/>
  <c r="AS360" i="5"/>
  <c r="AR360" i="5"/>
  <c r="AQ360" i="5"/>
  <c r="AP360" i="5"/>
  <c r="AO360" i="5"/>
  <c r="AN360" i="5"/>
  <c r="AM360" i="5"/>
  <c r="AL360" i="5"/>
  <c r="AK360" i="5"/>
  <c r="AJ360" i="5"/>
  <c r="AS359" i="5"/>
  <c r="AR359" i="5"/>
  <c r="AQ359" i="5"/>
  <c r="AP359" i="5"/>
  <c r="AO359" i="5"/>
  <c r="AN359" i="5"/>
  <c r="AM359" i="5"/>
  <c r="AL359" i="5"/>
  <c r="AK359" i="5"/>
  <c r="AJ359" i="5"/>
  <c r="AS358" i="5"/>
  <c r="AR358" i="5"/>
  <c r="AQ358" i="5"/>
  <c r="AP358" i="5"/>
  <c r="AO358" i="5"/>
  <c r="AN358" i="5"/>
  <c r="AM358" i="5"/>
  <c r="AL358" i="5"/>
  <c r="AK358" i="5"/>
  <c r="AJ358" i="5"/>
  <c r="AS357" i="5"/>
  <c r="AR357" i="5"/>
  <c r="AQ357" i="5"/>
  <c r="AP357" i="5"/>
  <c r="AO357" i="5"/>
  <c r="AN357" i="5"/>
  <c r="AM357" i="5"/>
  <c r="AL357" i="5"/>
  <c r="AK357" i="5"/>
  <c r="AJ357" i="5"/>
  <c r="AS356" i="5"/>
  <c r="AR356" i="5"/>
  <c r="AQ356" i="5"/>
  <c r="AP356" i="5"/>
  <c r="AO356" i="5"/>
  <c r="AN356" i="5"/>
  <c r="AM356" i="5"/>
  <c r="AL356" i="5"/>
  <c r="AK356" i="5"/>
  <c r="AJ356" i="5"/>
  <c r="AS355" i="5"/>
  <c r="AR355" i="5"/>
  <c r="AQ355" i="5"/>
  <c r="AP355" i="5"/>
  <c r="AO355" i="5"/>
  <c r="AN355" i="5"/>
  <c r="AM355" i="5"/>
  <c r="AL355" i="5"/>
  <c r="AK355" i="5"/>
  <c r="AJ355" i="5"/>
  <c r="AS354" i="5"/>
  <c r="AR354" i="5"/>
  <c r="AQ354" i="5"/>
  <c r="AP354" i="5"/>
  <c r="AO354" i="5"/>
  <c r="AN354" i="5"/>
  <c r="AM354" i="5"/>
  <c r="AL354" i="5"/>
  <c r="AK354" i="5"/>
  <c r="AJ354" i="5"/>
  <c r="AS353" i="5"/>
  <c r="AR353" i="5"/>
  <c r="AQ353" i="5"/>
  <c r="AP353" i="5"/>
  <c r="AO353" i="5"/>
  <c r="AN353" i="5"/>
  <c r="AM353" i="5"/>
  <c r="AL353" i="5"/>
  <c r="AK353" i="5"/>
  <c r="AJ353" i="5"/>
  <c r="AS352" i="5"/>
  <c r="AR352" i="5"/>
  <c r="AQ352" i="5"/>
  <c r="AP352" i="5"/>
  <c r="AO352" i="5"/>
  <c r="AN352" i="5"/>
  <c r="AM352" i="5"/>
  <c r="AL352" i="5"/>
  <c r="AK352" i="5"/>
  <c r="AJ352" i="5"/>
  <c r="AS351" i="5"/>
  <c r="AR351" i="5"/>
  <c r="AQ351" i="5"/>
  <c r="AP351" i="5"/>
  <c r="AO351" i="5"/>
  <c r="AN351" i="5"/>
  <c r="AM351" i="5"/>
  <c r="AL351" i="5"/>
  <c r="AK351" i="5"/>
  <c r="AJ351" i="5"/>
  <c r="AS350" i="5"/>
  <c r="AR350" i="5"/>
  <c r="AQ350" i="5"/>
  <c r="AP350" i="5"/>
  <c r="AO350" i="5"/>
  <c r="AN350" i="5"/>
  <c r="AM350" i="5"/>
  <c r="AL350" i="5"/>
  <c r="AK350" i="5"/>
  <c r="AJ350" i="5"/>
  <c r="AS349" i="5"/>
  <c r="AR349" i="5"/>
  <c r="AQ349" i="5"/>
  <c r="AP349" i="5"/>
  <c r="AO349" i="5"/>
  <c r="AN349" i="5"/>
  <c r="AM349" i="5"/>
  <c r="AL349" i="5"/>
  <c r="AK349" i="5"/>
  <c r="AJ349" i="5"/>
  <c r="AS348" i="5"/>
  <c r="AR348" i="5"/>
  <c r="AQ348" i="5"/>
  <c r="AP348" i="5"/>
  <c r="AO348" i="5"/>
  <c r="AN348" i="5"/>
  <c r="AM348" i="5"/>
  <c r="AL348" i="5"/>
  <c r="AK348" i="5"/>
  <c r="AJ348" i="5"/>
  <c r="AS347" i="5"/>
  <c r="AR347" i="5"/>
  <c r="AQ347" i="5"/>
  <c r="AP347" i="5"/>
  <c r="AO347" i="5"/>
  <c r="AN347" i="5"/>
  <c r="AM347" i="5"/>
  <c r="AL347" i="5"/>
  <c r="AK347" i="5"/>
  <c r="AJ347" i="5"/>
  <c r="AS346" i="5"/>
  <c r="AR346" i="5"/>
  <c r="AQ346" i="5"/>
  <c r="AP346" i="5"/>
  <c r="AO346" i="5"/>
  <c r="AN346" i="5"/>
  <c r="AM346" i="5"/>
  <c r="AL346" i="5"/>
  <c r="AK346" i="5"/>
  <c r="AJ346" i="5"/>
  <c r="AS345" i="5"/>
  <c r="AR345" i="5"/>
  <c r="AQ345" i="5"/>
  <c r="AP345" i="5"/>
  <c r="AO345" i="5"/>
  <c r="AN345" i="5"/>
  <c r="AM345" i="5"/>
  <c r="AL345" i="5"/>
  <c r="AK345" i="5"/>
  <c r="AJ345" i="5"/>
  <c r="AS344" i="5"/>
  <c r="AR344" i="5"/>
  <c r="AQ344" i="5"/>
  <c r="AP344" i="5"/>
  <c r="AO344" i="5"/>
  <c r="AN344" i="5"/>
  <c r="AM344" i="5"/>
  <c r="AL344" i="5"/>
  <c r="AK344" i="5"/>
  <c r="AJ344" i="5"/>
  <c r="AS343" i="5"/>
  <c r="AR343" i="5"/>
  <c r="AQ343" i="5"/>
  <c r="AP343" i="5"/>
  <c r="AO343" i="5"/>
  <c r="AN343" i="5"/>
  <c r="AM343" i="5"/>
  <c r="AL343" i="5"/>
  <c r="AK343" i="5"/>
  <c r="AJ343" i="5"/>
  <c r="AS342" i="5"/>
  <c r="AR342" i="5"/>
  <c r="AQ342" i="5"/>
  <c r="AP342" i="5"/>
  <c r="AO342" i="5"/>
  <c r="AN342" i="5"/>
  <c r="AM342" i="5"/>
  <c r="AL342" i="5"/>
  <c r="AK342" i="5"/>
  <c r="AJ342" i="5"/>
  <c r="AS341" i="5"/>
  <c r="AR341" i="5"/>
  <c r="AQ341" i="5"/>
  <c r="AP341" i="5"/>
  <c r="AO341" i="5"/>
  <c r="AN341" i="5"/>
  <c r="AM341" i="5"/>
  <c r="AL341" i="5"/>
  <c r="AK341" i="5"/>
  <c r="AJ341" i="5"/>
  <c r="AS340" i="5"/>
  <c r="AR340" i="5"/>
  <c r="AQ340" i="5"/>
  <c r="AP340" i="5"/>
  <c r="AO340" i="5"/>
  <c r="AN340" i="5"/>
  <c r="AM340" i="5"/>
  <c r="AL340" i="5"/>
  <c r="AK340" i="5"/>
  <c r="AJ340" i="5"/>
  <c r="AS339" i="5"/>
  <c r="AR339" i="5"/>
  <c r="AQ339" i="5"/>
  <c r="AP339" i="5"/>
  <c r="AO339" i="5"/>
  <c r="AN339" i="5"/>
  <c r="AM339" i="5"/>
  <c r="AL339" i="5"/>
  <c r="AK339" i="5"/>
  <c r="AJ339" i="5"/>
  <c r="AS338" i="5"/>
  <c r="AR338" i="5"/>
  <c r="AQ338" i="5"/>
  <c r="AP338" i="5"/>
  <c r="AO338" i="5"/>
  <c r="AN338" i="5"/>
  <c r="AM338" i="5"/>
  <c r="AL338" i="5"/>
  <c r="AK338" i="5"/>
  <c r="AJ338" i="5"/>
  <c r="AS337" i="5"/>
  <c r="AR337" i="5"/>
  <c r="AQ337" i="5"/>
  <c r="AP337" i="5"/>
  <c r="AO337" i="5"/>
  <c r="AN337" i="5"/>
  <c r="AM337" i="5"/>
  <c r="AL337" i="5"/>
  <c r="AK337" i="5"/>
  <c r="AJ337" i="5"/>
  <c r="AS336" i="5"/>
  <c r="AR336" i="5"/>
  <c r="AQ336" i="5"/>
  <c r="AP336" i="5"/>
  <c r="AO336" i="5"/>
  <c r="AN336" i="5"/>
  <c r="AM336" i="5"/>
  <c r="AL336" i="5"/>
  <c r="AK336" i="5"/>
  <c r="AJ336" i="5"/>
  <c r="AS335" i="5"/>
  <c r="AR335" i="5"/>
  <c r="AQ335" i="5"/>
  <c r="AP335" i="5"/>
  <c r="AO335" i="5"/>
  <c r="AN335" i="5"/>
  <c r="AM335" i="5"/>
  <c r="AL335" i="5"/>
  <c r="AK335" i="5"/>
  <c r="AJ335" i="5"/>
  <c r="AS334" i="5"/>
  <c r="AR334" i="5"/>
  <c r="AQ334" i="5"/>
  <c r="AP334" i="5"/>
  <c r="AO334" i="5"/>
  <c r="AN334" i="5"/>
  <c r="AM334" i="5"/>
  <c r="AL334" i="5"/>
  <c r="AK334" i="5"/>
  <c r="AJ334" i="5"/>
  <c r="AS333" i="5"/>
  <c r="AR333" i="5"/>
  <c r="AQ333" i="5"/>
  <c r="AP333" i="5"/>
  <c r="AO333" i="5"/>
  <c r="AN333" i="5"/>
  <c r="AM333" i="5"/>
  <c r="AL333" i="5"/>
  <c r="AK333" i="5"/>
  <c r="AJ333" i="5"/>
  <c r="AS332" i="5"/>
  <c r="AR332" i="5"/>
  <c r="AQ332" i="5"/>
  <c r="AP332" i="5"/>
  <c r="AO332" i="5"/>
  <c r="AN332" i="5"/>
  <c r="AM332" i="5"/>
  <c r="AL332" i="5"/>
  <c r="AK332" i="5"/>
  <c r="AJ332" i="5"/>
  <c r="AS331" i="5"/>
  <c r="AR331" i="5"/>
  <c r="AQ331" i="5"/>
  <c r="AP331" i="5"/>
  <c r="AO331" i="5"/>
  <c r="AN331" i="5"/>
  <c r="AM331" i="5"/>
  <c r="AL331" i="5"/>
  <c r="AK331" i="5"/>
  <c r="AJ331" i="5"/>
  <c r="AS330" i="5"/>
  <c r="AR330" i="5"/>
  <c r="AQ330" i="5"/>
  <c r="AP330" i="5"/>
  <c r="AO330" i="5"/>
  <c r="AN330" i="5"/>
  <c r="AM330" i="5"/>
  <c r="AL330" i="5"/>
  <c r="AK330" i="5"/>
  <c r="AJ330" i="5"/>
  <c r="AS329" i="5"/>
  <c r="AR329" i="5"/>
  <c r="AQ329" i="5"/>
  <c r="AP329" i="5"/>
  <c r="AO329" i="5"/>
  <c r="AN329" i="5"/>
  <c r="AM329" i="5"/>
  <c r="AL329" i="5"/>
  <c r="AK329" i="5"/>
  <c r="AJ329" i="5"/>
  <c r="AS328" i="5"/>
  <c r="AR328" i="5"/>
  <c r="AQ328" i="5"/>
  <c r="AP328" i="5"/>
  <c r="AO328" i="5"/>
  <c r="AN328" i="5"/>
  <c r="AM328" i="5"/>
  <c r="AL328" i="5"/>
  <c r="AK328" i="5"/>
  <c r="AJ328" i="5"/>
  <c r="AS327" i="5"/>
  <c r="AR327" i="5"/>
  <c r="AQ327" i="5"/>
  <c r="AP327" i="5"/>
  <c r="AO327" i="5"/>
  <c r="AN327" i="5"/>
  <c r="AM327" i="5"/>
  <c r="AL327" i="5"/>
  <c r="AK327" i="5"/>
  <c r="AJ327" i="5"/>
  <c r="AS326" i="5"/>
  <c r="AR326" i="5"/>
  <c r="AQ326" i="5"/>
  <c r="AP326" i="5"/>
  <c r="AO326" i="5"/>
  <c r="AN326" i="5"/>
  <c r="AM326" i="5"/>
  <c r="AL326" i="5"/>
  <c r="AK326" i="5"/>
  <c r="AJ326" i="5"/>
  <c r="AS325" i="5"/>
  <c r="AR325" i="5"/>
  <c r="AQ325" i="5"/>
  <c r="AP325" i="5"/>
  <c r="AO325" i="5"/>
  <c r="AN325" i="5"/>
  <c r="AM325" i="5"/>
  <c r="AL325" i="5"/>
  <c r="AK325" i="5"/>
  <c r="AJ325" i="5"/>
  <c r="AS324" i="5"/>
  <c r="AR324" i="5"/>
  <c r="AQ324" i="5"/>
  <c r="AP324" i="5"/>
  <c r="AO324" i="5"/>
  <c r="AN324" i="5"/>
  <c r="AM324" i="5"/>
  <c r="AL324" i="5"/>
  <c r="AK324" i="5"/>
  <c r="AJ324" i="5"/>
  <c r="AS323" i="5"/>
  <c r="AR323" i="5"/>
  <c r="AQ323" i="5"/>
  <c r="AP323" i="5"/>
  <c r="AO323" i="5"/>
  <c r="AN323" i="5"/>
  <c r="AM323" i="5"/>
  <c r="AL323" i="5"/>
  <c r="AK323" i="5"/>
  <c r="AJ323" i="5"/>
  <c r="AS322" i="5"/>
  <c r="AR322" i="5"/>
  <c r="AQ322" i="5"/>
  <c r="AP322" i="5"/>
  <c r="AO322" i="5"/>
  <c r="AN322" i="5"/>
  <c r="AM322" i="5"/>
  <c r="AL322" i="5"/>
  <c r="AK322" i="5"/>
  <c r="AJ322" i="5"/>
  <c r="AS321" i="5"/>
  <c r="AR321" i="5"/>
  <c r="AQ321" i="5"/>
  <c r="AP321" i="5"/>
  <c r="AO321" i="5"/>
  <c r="AN321" i="5"/>
  <c r="AM321" i="5"/>
  <c r="AL321" i="5"/>
  <c r="AK321" i="5"/>
  <c r="AJ321" i="5"/>
  <c r="AS320" i="5"/>
  <c r="AR320" i="5"/>
  <c r="AQ320" i="5"/>
  <c r="AP320" i="5"/>
  <c r="AO320" i="5"/>
  <c r="AN320" i="5"/>
  <c r="AM320" i="5"/>
  <c r="AL320" i="5"/>
  <c r="AK320" i="5"/>
  <c r="AJ320" i="5"/>
  <c r="AS319" i="5"/>
  <c r="AR319" i="5"/>
  <c r="AQ319" i="5"/>
  <c r="AP319" i="5"/>
  <c r="AO319" i="5"/>
  <c r="AN319" i="5"/>
  <c r="AM319" i="5"/>
  <c r="AL319" i="5"/>
  <c r="AK319" i="5"/>
  <c r="AJ319" i="5"/>
  <c r="AS318" i="5"/>
  <c r="AR318" i="5"/>
  <c r="AQ318" i="5"/>
  <c r="AP318" i="5"/>
  <c r="AO318" i="5"/>
  <c r="AN318" i="5"/>
  <c r="AM318" i="5"/>
  <c r="AL318" i="5"/>
  <c r="AK318" i="5"/>
  <c r="AJ318" i="5"/>
  <c r="AS317" i="5"/>
  <c r="AR317" i="5"/>
  <c r="AQ317" i="5"/>
  <c r="AP317" i="5"/>
  <c r="AO317" i="5"/>
  <c r="AN317" i="5"/>
  <c r="AM317" i="5"/>
  <c r="AL317" i="5"/>
  <c r="AK317" i="5"/>
  <c r="AJ317" i="5"/>
  <c r="AS316" i="5"/>
  <c r="AR316" i="5"/>
  <c r="AQ316" i="5"/>
  <c r="AP316" i="5"/>
  <c r="AO316" i="5"/>
  <c r="AN316" i="5"/>
  <c r="AM316" i="5"/>
  <c r="AL316" i="5"/>
  <c r="AK316" i="5"/>
  <c r="AJ316" i="5"/>
  <c r="AS315" i="5"/>
  <c r="AR315" i="5"/>
  <c r="AQ315" i="5"/>
  <c r="AP315" i="5"/>
  <c r="AO315" i="5"/>
  <c r="AN315" i="5"/>
  <c r="AM315" i="5"/>
  <c r="AL315" i="5"/>
  <c r="AK315" i="5"/>
  <c r="AJ315" i="5"/>
  <c r="AS314" i="5"/>
  <c r="AR314" i="5"/>
  <c r="AQ314" i="5"/>
  <c r="AP314" i="5"/>
  <c r="AO314" i="5"/>
  <c r="AN314" i="5"/>
  <c r="AM314" i="5"/>
  <c r="AL314" i="5"/>
  <c r="AK314" i="5"/>
  <c r="AJ314" i="5"/>
  <c r="AS313" i="5"/>
  <c r="AR313" i="5"/>
  <c r="AQ313" i="5"/>
  <c r="AP313" i="5"/>
  <c r="AO313" i="5"/>
  <c r="AN313" i="5"/>
  <c r="AM313" i="5"/>
  <c r="AL313" i="5"/>
  <c r="AK313" i="5"/>
  <c r="AJ313" i="5"/>
  <c r="AS312" i="5"/>
  <c r="AR312" i="5"/>
  <c r="AQ312" i="5"/>
  <c r="AP312" i="5"/>
  <c r="AO312" i="5"/>
  <c r="AN312" i="5"/>
  <c r="AM312" i="5"/>
  <c r="AL312" i="5"/>
  <c r="AK312" i="5"/>
  <c r="AJ312" i="5"/>
  <c r="AS311" i="5"/>
  <c r="AR311" i="5"/>
  <c r="AQ311" i="5"/>
  <c r="AP311" i="5"/>
  <c r="AO311" i="5"/>
  <c r="AN311" i="5"/>
  <c r="AM311" i="5"/>
  <c r="AL311" i="5"/>
  <c r="AK311" i="5"/>
  <c r="AJ311" i="5"/>
  <c r="AS310" i="5"/>
  <c r="AR310" i="5"/>
  <c r="AQ310" i="5"/>
  <c r="AP310" i="5"/>
  <c r="AO310" i="5"/>
  <c r="AN310" i="5"/>
  <c r="AM310" i="5"/>
  <c r="AL310" i="5"/>
  <c r="AK310" i="5"/>
  <c r="AJ310" i="5"/>
  <c r="AS309" i="5"/>
  <c r="AR309" i="5"/>
  <c r="AQ309" i="5"/>
  <c r="AP309" i="5"/>
  <c r="AO309" i="5"/>
  <c r="AN309" i="5"/>
  <c r="AM309" i="5"/>
  <c r="AL309" i="5"/>
  <c r="AK309" i="5"/>
  <c r="AJ309" i="5"/>
  <c r="AS308" i="5"/>
  <c r="AR308" i="5"/>
  <c r="AQ308" i="5"/>
  <c r="AP308" i="5"/>
  <c r="AO308" i="5"/>
  <c r="AN308" i="5"/>
  <c r="AM308" i="5"/>
  <c r="AL308" i="5"/>
  <c r="AK308" i="5"/>
  <c r="AJ308" i="5"/>
  <c r="AS307" i="5"/>
  <c r="AR307" i="5"/>
  <c r="AQ307" i="5"/>
  <c r="AP307" i="5"/>
  <c r="AO307" i="5"/>
  <c r="AN307" i="5"/>
  <c r="AM307" i="5"/>
  <c r="AL307" i="5"/>
  <c r="AK307" i="5"/>
  <c r="AJ307" i="5"/>
  <c r="AS306" i="5"/>
  <c r="AR306" i="5"/>
  <c r="AQ306" i="5"/>
  <c r="AP306" i="5"/>
  <c r="AO306" i="5"/>
  <c r="AN306" i="5"/>
  <c r="AM306" i="5"/>
  <c r="AL306" i="5"/>
  <c r="AK306" i="5"/>
  <c r="AJ306" i="5"/>
  <c r="AS305" i="5"/>
  <c r="AR305" i="5"/>
  <c r="AQ305" i="5"/>
  <c r="AP305" i="5"/>
  <c r="AO305" i="5"/>
  <c r="AN305" i="5"/>
  <c r="AM305" i="5"/>
  <c r="AL305" i="5"/>
  <c r="AK305" i="5"/>
  <c r="AJ305" i="5"/>
  <c r="AS304" i="5"/>
  <c r="AR304" i="5"/>
  <c r="AQ304" i="5"/>
  <c r="AP304" i="5"/>
  <c r="AO304" i="5"/>
  <c r="AN304" i="5"/>
  <c r="AM304" i="5"/>
  <c r="AL304" i="5"/>
  <c r="AK304" i="5"/>
  <c r="AJ304" i="5"/>
  <c r="AS303" i="5"/>
  <c r="AR303" i="5"/>
  <c r="AQ303" i="5"/>
  <c r="AP303" i="5"/>
  <c r="AO303" i="5"/>
  <c r="AN303" i="5"/>
  <c r="AM303" i="5"/>
  <c r="AL303" i="5"/>
  <c r="AK303" i="5"/>
  <c r="AJ303" i="5"/>
  <c r="AS302" i="5"/>
  <c r="AR302" i="5"/>
  <c r="AQ302" i="5"/>
  <c r="AP302" i="5"/>
  <c r="AO302" i="5"/>
  <c r="AN302" i="5"/>
  <c r="AM302" i="5"/>
  <c r="AL302" i="5"/>
  <c r="AK302" i="5"/>
  <c r="AJ302" i="5"/>
  <c r="AS301" i="5"/>
  <c r="AR301" i="5"/>
  <c r="AQ301" i="5"/>
  <c r="AP301" i="5"/>
  <c r="AO301" i="5"/>
  <c r="AN301" i="5"/>
  <c r="AM301" i="5"/>
  <c r="AL301" i="5"/>
  <c r="AK301" i="5"/>
  <c r="AJ301" i="5"/>
  <c r="AS300" i="5"/>
  <c r="AR300" i="5"/>
  <c r="AQ300" i="5"/>
  <c r="AP300" i="5"/>
  <c r="AO300" i="5"/>
  <c r="AN300" i="5"/>
  <c r="AM300" i="5"/>
  <c r="AL300" i="5"/>
  <c r="AK300" i="5"/>
  <c r="AJ300" i="5"/>
  <c r="AS299" i="5"/>
  <c r="AR299" i="5"/>
  <c r="AQ299" i="5"/>
  <c r="AP299" i="5"/>
  <c r="AO299" i="5"/>
  <c r="AN299" i="5"/>
  <c r="AM299" i="5"/>
  <c r="AL299" i="5"/>
  <c r="AK299" i="5"/>
  <c r="AJ299" i="5"/>
  <c r="AS298" i="5"/>
  <c r="AR298" i="5"/>
  <c r="AQ298" i="5"/>
  <c r="AP298" i="5"/>
  <c r="AO298" i="5"/>
  <c r="AN298" i="5"/>
  <c r="AM298" i="5"/>
  <c r="AL298" i="5"/>
  <c r="AK298" i="5"/>
  <c r="AJ298" i="5"/>
  <c r="AS297" i="5"/>
  <c r="AR297" i="5"/>
  <c r="AQ297" i="5"/>
  <c r="AP297" i="5"/>
  <c r="AO297" i="5"/>
  <c r="AN297" i="5"/>
  <c r="AM297" i="5"/>
  <c r="AL297" i="5"/>
  <c r="AK297" i="5"/>
  <c r="AJ297" i="5"/>
  <c r="AS296" i="5"/>
  <c r="AR296" i="5"/>
  <c r="AQ296" i="5"/>
  <c r="AP296" i="5"/>
  <c r="AO296" i="5"/>
  <c r="AN296" i="5"/>
  <c r="AM296" i="5"/>
  <c r="AL296" i="5"/>
  <c r="AK296" i="5"/>
  <c r="AJ296" i="5"/>
  <c r="AS295" i="5"/>
  <c r="AR295" i="5"/>
  <c r="AQ295" i="5"/>
  <c r="AP295" i="5"/>
  <c r="AO295" i="5"/>
  <c r="AN295" i="5"/>
  <c r="AM295" i="5"/>
  <c r="AL295" i="5"/>
  <c r="AK295" i="5"/>
  <c r="AJ295" i="5"/>
  <c r="AS294" i="5"/>
  <c r="AR294" i="5"/>
  <c r="AQ294" i="5"/>
  <c r="AP294" i="5"/>
  <c r="AO294" i="5"/>
  <c r="AN294" i="5"/>
  <c r="AM294" i="5"/>
  <c r="AL294" i="5"/>
  <c r="AK294" i="5"/>
  <c r="AJ294" i="5"/>
  <c r="AS293" i="5"/>
  <c r="AR293" i="5"/>
  <c r="AQ293" i="5"/>
  <c r="AP293" i="5"/>
  <c r="AO293" i="5"/>
  <c r="AN293" i="5"/>
  <c r="AM293" i="5"/>
  <c r="AL293" i="5"/>
  <c r="AK293" i="5"/>
  <c r="AJ293" i="5"/>
  <c r="AS292" i="5"/>
  <c r="AR292" i="5"/>
  <c r="AQ292" i="5"/>
  <c r="AP292" i="5"/>
  <c r="AO292" i="5"/>
  <c r="AN292" i="5"/>
  <c r="AM292" i="5"/>
  <c r="AL292" i="5"/>
  <c r="AK292" i="5"/>
  <c r="AJ292" i="5"/>
  <c r="AS291" i="5"/>
  <c r="AR291" i="5"/>
  <c r="AQ291" i="5"/>
  <c r="AP291" i="5"/>
  <c r="AO291" i="5"/>
  <c r="AN291" i="5"/>
  <c r="AM291" i="5"/>
  <c r="AL291" i="5"/>
  <c r="AK291" i="5"/>
  <c r="AJ291" i="5"/>
  <c r="AS290" i="5"/>
  <c r="AR290" i="5"/>
  <c r="AQ290" i="5"/>
  <c r="AP290" i="5"/>
  <c r="AO290" i="5"/>
  <c r="AN290" i="5"/>
  <c r="AM290" i="5"/>
  <c r="AL290" i="5"/>
  <c r="AK290" i="5"/>
  <c r="AJ290" i="5"/>
  <c r="AS289" i="5"/>
  <c r="AR289" i="5"/>
  <c r="AQ289" i="5"/>
  <c r="AP289" i="5"/>
  <c r="AO289" i="5"/>
  <c r="AN289" i="5"/>
  <c r="AM289" i="5"/>
  <c r="AL289" i="5"/>
  <c r="AK289" i="5"/>
  <c r="AJ289" i="5"/>
  <c r="AS288" i="5"/>
  <c r="AR288" i="5"/>
  <c r="AQ288" i="5"/>
  <c r="AP288" i="5"/>
  <c r="AO288" i="5"/>
  <c r="AN288" i="5"/>
  <c r="AM288" i="5"/>
  <c r="AL288" i="5"/>
  <c r="AK288" i="5"/>
  <c r="AJ288" i="5"/>
  <c r="AS287" i="5"/>
  <c r="AR287" i="5"/>
  <c r="AQ287" i="5"/>
  <c r="AP287" i="5"/>
  <c r="AO287" i="5"/>
  <c r="AN287" i="5"/>
  <c r="AM287" i="5"/>
  <c r="AL287" i="5"/>
  <c r="AK287" i="5"/>
  <c r="AJ287" i="5"/>
  <c r="AS286" i="5"/>
  <c r="AR286" i="5"/>
  <c r="AQ286" i="5"/>
  <c r="AP286" i="5"/>
  <c r="AO286" i="5"/>
  <c r="AN286" i="5"/>
  <c r="AM286" i="5"/>
  <c r="AL286" i="5"/>
  <c r="AK286" i="5"/>
  <c r="AJ286" i="5"/>
  <c r="AS285" i="5"/>
  <c r="AR285" i="5"/>
  <c r="AQ285" i="5"/>
  <c r="AP285" i="5"/>
  <c r="AO285" i="5"/>
  <c r="AN285" i="5"/>
  <c r="AM285" i="5"/>
  <c r="AL285" i="5"/>
  <c r="AK285" i="5"/>
  <c r="AJ285" i="5"/>
  <c r="AS284" i="5"/>
  <c r="AR284" i="5"/>
  <c r="AQ284" i="5"/>
  <c r="AP284" i="5"/>
  <c r="AO284" i="5"/>
  <c r="AN284" i="5"/>
  <c r="AM284" i="5"/>
  <c r="AL284" i="5"/>
  <c r="AK284" i="5"/>
  <c r="AJ284" i="5"/>
  <c r="AS283" i="5"/>
  <c r="AR283" i="5"/>
  <c r="AQ283" i="5"/>
  <c r="AP283" i="5"/>
  <c r="AO283" i="5"/>
  <c r="AN283" i="5"/>
  <c r="AM283" i="5"/>
  <c r="AL283" i="5"/>
  <c r="AK283" i="5"/>
  <c r="AJ283" i="5"/>
  <c r="AS282" i="5"/>
  <c r="AR282" i="5"/>
  <c r="AQ282" i="5"/>
  <c r="AP282" i="5"/>
  <c r="AO282" i="5"/>
  <c r="AN282" i="5"/>
  <c r="AM282" i="5"/>
  <c r="AL282" i="5"/>
  <c r="AK282" i="5"/>
  <c r="AJ282" i="5"/>
  <c r="AS281" i="5"/>
  <c r="AR281" i="5"/>
  <c r="AQ281" i="5"/>
  <c r="AP281" i="5"/>
  <c r="AO281" i="5"/>
  <c r="AN281" i="5"/>
  <c r="AM281" i="5"/>
  <c r="AL281" i="5"/>
  <c r="AK281" i="5"/>
  <c r="AJ281" i="5"/>
  <c r="AS280" i="5"/>
  <c r="AR280" i="5"/>
  <c r="AQ280" i="5"/>
  <c r="AP280" i="5"/>
  <c r="AO280" i="5"/>
  <c r="AN280" i="5"/>
  <c r="AM280" i="5"/>
  <c r="AL280" i="5"/>
  <c r="AK280" i="5"/>
  <c r="AJ280" i="5"/>
  <c r="AS279" i="5"/>
  <c r="AR279" i="5"/>
  <c r="AQ279" i="5"/>
  <c r="AP279" i="5"/>
  <c r="AO279" i="5"/>
  <c r="AN279" i="5"/>
  <c r="AM279" i="5"/>
  <c r="AL279" i="5"/>
  <c r="AK279" i="5"/>
  <c r="AJ279" i="5"/>
  <c r="AS278" i="5"/>
  <c r="AR278" i="5"/>
  <c r="AQ278" i="5"/>
  <c r="AP278" i="5"/>
  <c r="AO278" i="5"/>
  <c r="AN278" i="5"/>
  <c r="AM278" i="5"/>
  <c r="AL278" i="5"/>
  <c r="AK278" i="5"/>
  <c r="AJ278" i="5"/>
  <c r="AS277" i="5"/>
  <c r="AR277" i="5"/>
  <c r="AQ277" i="5"/>
  <c r="AP277" i="5"/>
  <c r="AO277" i="5"/>
  <c r="AN277" i="5"/>
  <c r="AM277" i="5"/>
  <c r="AL277" i="5"/>
  <c r="AK277" i="5"/>
  <c r="AJ277" i="5"/>
  <c r="AS276" i="5"/>
  <c r="AR276" i="5"/>
  <c r="AQ276" i="5"/>
  <c r="AP276" i="5"/>
  <c r="AO276" i="5"/>
  <c r="AN276" i="5"/>
  <c r="AM276" i="5"/>
  <c r="AL276" i="5"/>
  <c r="AK276" i="5"/>
  <c r="AJ276" i="5"/>
  <c r="AS275" i="5"/>
  <c r="AR275" i="5"/>
  <c r="AQ275" i="5"/>
  <c r="AP275" i="5"/>
  <c r="AO275" i="5"/>
  <c r="AN275" i="5"/>
  <c r="AM275" i="5"/>
  <c r="AL275" i="5"/>
  <c r="AK275" i="5"/>
  <c r="AJ275" i="5"/>
  <c r="AS274" i="5"/>
  <c r="AR274" i="5"/>
  <c r="AQ274" i="5"/>
  <c r="AP274" i="5"/>
  <c r="AO274" i="5"/>
  <c r="AN274" i="5"/>
  <c r="AM274" i="5"/>
  <c r="AL274" i="5"/>
  <c r="AK274" i="5"/>
  <c r="AJ274" i="5"/>
  <c r="AS273" i="5"/>
  <c r="AR273" i="5"/>
  <c r="AQ273" i="5"/>
  <c r="AP273" i="5"/>
  <c r="AO273" i="5"/>
  <c r="AN273" i="5"/>
  <c r="AM273" i="5"/>
  <c r="AL273" i="5"/>
  <c r="AK273" i="5"/>
  <c r="AJ273" i="5"/>
  <c r="AS272" i="5"/>
  <c r="AR272" i="5"/>
  <c r="AQ272" i="5"/>
  <c r="AP272" i="5"/>
  <c r="AO272" i="5"/>
  <c r="AN272" i="5"/>
  <c r="AM272" i="5"/>
  <c r="AL272" i="5"/>
  <c r="AK272" i="5"/>
  <c r="AJ272" i="5"/>
  <c r="AS271" i="5"/>
  <c r="AR271" i="5"/>
  <c r="AQ271" i="5"/>
  <c r="AP271" i="5"/>
  <c r="AO271" i="5"/>
  <c r="AN271" i="5"/>
  <c r="AM271" i="5"/>
  <c r="AL271" i="5"/>
  <c r="AK271" i="5"/>
  <c r="AJ271" i="5"/>
  <c r="AS270" i="5"/>
  <c r="AR270" i="5"/>
  <c r="AQ270" i="5"/>
  <c r="AP270" i="5"/>
  <c r="AO270" i="5"/>
  <c r="AN270" i="5"/>
  <c r="AM270" i="5"/>
  <c r="AL270" i="5"/>
  <c r="AK270" i="5"/>
  <c r="AJ270" i="5"/>
  <c r="AS269" i="5"/>
  <c r="AR269" i="5"/>
  <c r="AQ269" i="5"/>
  <c r="AP269" i="5"/>
  <c r="AO269" i="5"/>
  <c r="AN269" i="5"/>
  <c r="AM269" i="5"/>
  <c r="AL269" i="5"/>
  <c r="AK269" i="5"/>
  <c r="AJ269" i="5"/>
  <c r="AS268" i="5"/>
  <c r="AR268" i="5"/>
  <c r="AQ268" i="5"/>
  <c r="AP268" i="5"/>
  <c r="AO268" i="5"/>
  <c r="AN268" i="5"/>
  <c r="AM268" i="5"/>
  <c r="AL268" i="5"/>
  <c r="AK268" i="5"/>
  <c r="AJ268" i="5"/>
  <c r="AS267" i="5"/>
  <c r="AR267" i="5"/>
  <c r="AQ267" i="5"/>
  <c r="AP267" i="5"/>
  <c r="AO267" i="5"/>
  <c r="AN267" i="5"/>
  <c r="AM267" i="5"/>
  <c r="AL267" i="5"/>
  <c r="AK267" i="5"/>
  <c r="AJ267" i="5"/>
  <c r="AS266" i="5"/>
  <c r="AR266" i="5"/>
  <c r="AQ266" i="5"/>
  <c r="AP266" i="5"/>
  <c r="AO266" i="5"/>
  <c r="AN266" i="5"/>
  <c r="AM266" i="5"/>
  <c r="AL266" i="5"/>
  <c r="AK266" i="5"/>
  <c r="AJ266" i="5"/>
  <c r="AS265" i="5"/>
  <c r="AR265" i="5"/>
  <c r="AQ265" i="5"/>
  <c r="AP265" i="5"/>
  <c r="AO265" i="5"/>
  <c r="AN265" i="5"/>
  <c r="AM265" i="5"/>
  <c r="AL265" i="5"/>
  <c r="AK265" i="5"/>
  <c r="AJ265" i="5"/>
  <c r="AS264" i="5"/>
  <c r="AR264" i="5"/>
  <c r="AQ264" i="5"/>
  <c r="AP264" i="5"/>
  <c r="AO264" i="5"/>
  <c r="AN264" i="5"/>
  <c r="AM264" i="5"/>
  <c r="AL264" i="5"/>
  <c r="AK264" i="5"/>
  <c r="AJ264" i="5"/>
  <c r="AS263" i="5"/>
  <c r="AR263" i="5"/>
  <c r="AQ263" i="5"/>
  <c r="AP263" i="5"/>
  <c r="AO263" i="5"/>
  <c r="AN263" i="5"/>
  <c r="AM263" i="5"/>
  <c r="AL263" i="5"/>
  <c r="AK263" i="5"/>
  <c r="AJ263" i="5"/>
  <c r="AS262" i="5"/>
  <c r="AR262" i="5"/>
  <c r="AQ262" i="5"/>
  <c r="AP262" i="5"/>
  <c r="AO262" i="5"/>
  <c r="AN262" i="5"/>
  <c r="AM262" i="5"/>
  <c r="AL262" i="5"/>
  <c r="AK262" i="5"/>
  <c r="AJ262" i="5"/>
  <c r="AS261" i="5"/>
  <c r="AR261" i="5"/>
  <c r="AQ261" i="5"/>
  <c r="AP261" i="5"/>
  <c r="AO261" i="5"/>
  <c r="AN261" i="5"/>
  <c r="AM261" i="5"/>
  <c r="AL261" i="5"/>
  <c r="AK261" i="5"/>
  <c r="AJ261" i="5"/>
  <c r="AS260" i="5"/>
  <c r="AR260" i="5"/>
  <c r="AQ260" i="5"/>
  <c r="AP260" i="5"/>
  <c r="AO260" i="5"/>
  <c r="AN260" i="5"/>
  <c r="AM260" i="5"/>
  <c r="AL260" i="5"/>
  <c r="AK260" i="5"/>
  <c r="AJ260" i="5"/>
  <c r="AS259" i="5"/>
  <c r="AR259" i="5"/>
  <c r="AQ259" i="5"/>
  <c r="AP259" i="5"/>
  <c r="AO259" i="5"/>
  <c r="AN259" i="5"/>
  <c r="AM259" i="5"/>
  <c r="AL259" i="5"/>
  <c r="AK259" i="5"/>
  <c r="AJ259" i="5"/>
  <c r="AS258" i="5"/>
  <c r="AR258" i="5"/>
  <c r="AQ258" i="5"/>
  <c r="AP258" i="5"/>
  <c r="AO258" i="5"/>
  <c r="AN258" i="5"/>
  <c r="AM258" i="5"/>
  <c r="AL258" i="5"/>
  <c r="AK258" i="5"/>
  <c r="AJ258" i="5"/>
  <c r="AS257" i="5"/>
  <c r="AR257" i="5"/>
  <c r="AQ257" i="5"/>
  <c r="AP257" i="5"/>
  <c r="AO257" i="5"/>
  <c r="AN257" i="5"/>
  <c r="AM257" i="5"/>
  <c r="AL257" i="5"/>
  <c r="AK257" i="5"/>
  <c r="AJ257" i="5"/>
  <c r="AS256" i="5"/>
  <c r="AR256" i="5"/>
  <c r="AQ256" i="5"/>
  <c r="AP256" i="5"/>
  <c r="AO256" i="5"/>
  <c r="AN256" i="5"/>
  <c r="AM256" i="5"/>
  <c r="AL256" i="5"/>
  <c r="AK256" i="5"/>
  <c r="AJ256" i="5"/>
  <c r="AS255" i="5"/>
  <c r="AR255" i="5"/>
  <c r="AQ255" i="5"/>
  <c r="AP255" i="5"/>
  <c r="AO255" i="5"/>
  <c r="AN255" i="5"/>
  <c r="AM255" i="5"/>
  <c r="AL255" i="5"/>
  <c r="AK255" i="5"/>
  <c r="AJ255" i="5"/>
  <c r="AS254" i="5"/>
  <c r="AR254" i="5"/>
  <c r="AQ254" i="5"/>
  <c r="AP254" i="5"/>
  <c r="AO254" i="5"/>
  <c r="AN254" i="5"/>
  <c r="AM254" i="5"/>
  <c r="AL254" i="5"/>
  <c r="AK254" i="5"/>
  <c r="AJ254" i="5"/>
  <c r="AS253" i="5"/>
  <c r="AR253" i="5"/>
  <c r="AQ253" i="5"/>
  <c r="AP253" i="5"/>
  <c r="AO253" i="5"/>
  <c r="AN253" i="5"/>
  <c r="AM253" i="5"/>
  <c r="AL253" i="5"/>
  <c r="AK253" i="5"/>
  <c r="AJ253" i="5"/>
  <c r="AS252" i="5"/>
  <c r="AR252" i="5"/>
  <c r="AQ252" i="5"/>
  <c r="AP252" i="5"/>
  <c r="AO252" i="5"/>
  <c r="AN252" i="5"/>
  <c r="AM252" i="5"/>
  <c r="AL252" i="5"/>
  <c r="AK252" i="5"/>
  <c r="AJ252" i="5"/>
  <c r="AS251" i="5"/>
  <c r="AR251" i="5"/>
  <c r="AQ251" i="5"/>
  <c r="AP251" i="5"/>
  <c r="AO251" i="5"/>
  <c r="AN251" i="5"/>
  <c r="AM251" i="5"/>
  <c r="AL251" i="5"/>
  <c r="AK251" i="5"/>
  <c r="AJ251" i="5"/>
  <c r="AS250" i="5"/>
  <c r="AR250" i="5"/>
  <c r="AQ250" i="5"/>
  <c r="AP250" i="5"/>
  <c r="AO250" i="5"/>
  <c r="AN250" i="5"/>
  <c r="AM250" i="5"/>
  <c r="AL250" i="5"/>
  <c r="AK250" i="5"/>
  <c r="AJ250" i="5"/>
  <c r="AS249" i="5"/>
  <c r="AR249" i="5"/>
  <c r="AQ249" i="5"/>
  <c r="AP249" i="5"/>
  <c r="AO249" i="5"/>
  <c r="AN249" i="5"/>
  <c r="AM249" i="5"/>
  <c r="AL249" i="5"/>
  <c r="AK249" i="5"/>
  <c r="AJ249" i="5"/>
  <c r="AS248" i="5"/>
  <c r="AR248" i="5"/>
  <c r="AQ248" i="5"/>
  <c r="AP248" i="5"/>
  <c r="AO248" i="5"/>
  <c r="AN248" i="5"/>
  <c r="AM248" i="5"/>
  <c r="AL248" i="5"/>
  <c r="AK248" i="5"/>
  <c r="AJ248" i="5"/>
  <c r="AS247" i="5"/>
  <c r="AR247" i="5"/>
  <c r="AQ247" i="5"/>
  <c r="AP247" i="5"/>
  <c r="AO247" i="5"/>
  <c r="AN247" i="5"/>
  <c r="AM247" i="5"/>
  <c r="AL247" i="5"/>
  <c r="AK247" i="5"/>
  <c r="AJ247" i="5"/>
  <c r="AS246" i="5"/>
  <c r="AR246" i="5"/>
  <c r="AQ246" i="5"/>
  <c r="AP246" i="5"/>
  <c r="AO246" i="5"/>
  <c r="AN246" i="5"/>
  <c r="AM246" i="5"/>
  <c r="AL246" i="5"/>
  <c r="AK246" i="5"/>
  <c r="AJ246" i="5"/>
  <c r="AS245" i="5"/>
  <c r="AR245" i="5"/>
  <c r="AQ245" i="5"/>
  <c r="AP245" i="5"/>
  <c r="AO245" i="5"/>
  <c r="AN245" i="5"/>
  <c r="AM245" i="5"/>
  <c r="AL245" i="5"/>
  <c r="AK245" i="5"/>
  <c r="AJ245" i="5"/>
  <c r="AS244" i="5"/>
  <c r="AR244" i="5"/>
  <c r="AQ244" i="5"/>
  <c r="AP244" i="5"/>
  <c r="AO244" i="5"/>
  <c r="AN244" i="5"/>
  <c r="AM244" i="5"/>
  <c r="AL244" i="5"/>
  <c r="AK244" i="5"/>
  <c r="AJ244" i="5"/>
  <c r="AS243" i="5"/>
  <c r="AR243" i="5"/>
  <c r="AQ243" i="5"/>
  <c r="AP243" i="5"/>
  <c r="AO243" i="5"/>
  <c r="AN243" i="5"/>
  <c r="AM243" i="5"/>
  <c r="AL243" i="5"/>
  <c r="AK243" i="5"/>
  <c r="AJ243" i="5"/>
  <c r="AS242" i="5"/>
  <c r="AR242" i="5"/>
  <c r="AQ242" i="5"/>
  <c r="AP242" i="5"/>
  <c r="AO242" i="5"/>
  <c r="AN242" i="5"/>
  <c r="AM242" i="5"/>
  <c r="AL242" i="5"/>
  <c r="AK242" i="5"/>
  <c r="AJ242" i="5"/>
  <c r="AS241" i="5"/>
  <c r="AR241" i="5"/>
  <c r="AQ241" i="5"/>
  <c r="AP241" i="5"/>
  <c r="AO241" i="5"/>
  <c r="AN241" i="5"/>
  <c r="AM241" i="5"/>
  <c r="AL241" i="5"/>
  <c r="AK241" i="5"/>
  <c r="AJ241" i="5"/>
  <c r="AS240" i="5"/>
  <c r="AR240" i="5"/>
  <c r="AQ240" i="5"/>
  <c r="AP240" i="5"/>
  <c r="AO240" i="5"/>
  <c r="AN240" i="5"/>
  <c r="AM240" i="5"/>
  <c r="AL240" i="5"/>
  <c r="AK240" i="5"/>
  <c r="AJ240" i="5"/>
  <c r="AS239" i="5"/>
  <c r="AR239" i="5"/>
  <c r="AQ239" i="5"/>
  <c r="AP239" i="5"/>
  <c r="AO239" i="5"/>
  <c r="AN239" i="5"/>
  <c r="AM239" i="5"/>
  <c r="AL239" i="5"/>
  <c r="AK239" i="5"/>
  <c r="AJ239" i="5"/>
  <c r="AS238" i="5"/>
  <c r="AR238" i="5"/>
  <c r="AQ238" i="5"/>
  <c r="AP238" i="5"/>
  <c r="AO238" i="5"/>
  <c r="AN238" i="5"/>
  <c r="AM238" i="5"/>
  <c r="AL238" i="5"/>
  <c r="AK238" i="5"/>
  <c r="AJ238" i="5"/>
  <c r="AS237" i="5"/>
  <c r="AR237" i="5"/>
  <c r="AQ237" i="5"/>
  <c r="AP237" i="5"/>
  <c r="AO237" i="5"/>
  <c r="AN237" i="5"/>
  <c r="AM237" i="5"/>
  <c r="AL237" i="5"/>
  <c r="AK237" i="5"/>
  <c r="AJ237" i="5"/>
  <c r="AS236" i="5"/>
  <c r="AR236" i="5"/>
  <c r="AQ236" i="5"/>
  <c r="AP236" i="5"/>
  <c r="AO236" i="5"/>
  <c r="AN236" i="5"/>
  <c r="AM236" i="5"/>
  <c r="AL236" i="5"/>
  <c r="AK236" i="5"/>
  <c r="AJ236" i="5"/>
  <c r="AS235" i="5"/>
  <c r="AR235" i="5"/>
  <c r="AQ235" i="5"/>
  <c r="AP235" i="5"/>
  <c r="AO235" i="5"/>
  <c r="AN235" i="5"/>
  <c r="AM235" i="5"/>
  <c r="AL235" i="5"/>
  <c r="AK235" i="5"/>
  <c r="AJ235" i="5"/>
  <c r="AS234" i="5"/>
  <c r="AR234" i="5"/>
  <c r="AQ234" i="5"/>
  <c r="AP234" i="5"/>
  <c r="AO234" i="5"/>
  <c r="AN234" i="5"/>
  <c r="AM234" i="5"/>
  <c r="AL234" i="5"/>
  <c r="AK234" i="5"/>
  <c r="AJ234" i="5"/>
  <c r="AS233" i="5"/>
  <c r="AR233" i="5"/>
  <c r="AQ233" i="5"/>
  <c r="AP233" i="5"/>
  <c r="AO233" i="5"/>
  <c r="AN233" i="5"/>
  <c r="AM233" i="5"/>
  <c r="AL233" i="5"/>
  <c r="AK233" i="5"/>
  <c r="AJ233" i="5"/>
  <c r="AS232" i="5"/>
  <c r="AR232" i="5"/>
  <c r="AQ232" i="5"/>
  <c r="AP232" i="5"/>
  <c r="AO232" i="5"/>
  <c r="AN232" i="5"/>
  <c r="AM232" i="5"/>
  <c r="AL232" i="5"/>
  <c r="AK232" i="5"/>
  <c r="AJ232" i="5"/>
  <c r="AS231" i="5"/>
  <c r="AR231" i="5"/>
  <c r="AQ231" i="5"/>
  <c r="AP231" i="5"/>
  <c r="AO231" i="5"/>
  <c r="AN231" i="5"/>
  <c r="AM231" i="5"/>
  <c r="AL231" i="5"/>
  <c r="AK231" i="5"/>
  <c r="AJ231" i="5"/>
  <c r="AS230" i="5"/>
  <c r="AR230" i="5"/>
  <c r="AQ230" i="5"/>
  <c r="AP230" i="5"/>
  <c r="AO230" i="5"/>
  <c r="AN230" i="5"/>
  <c r="AM230" i="5"/>
  <c r="AL230" i="5"/>
  <c r="AK230" i="5"/>
  <c r="AJ230" i="5"/>
  <c r="AS229" i="5"/>
  <c r="AR229" i="5"/>
  <c r="AQ229" i="5"/>
  <c r="AP229" i="5"/>
  <c r="AO229" i="5"/>
  <c r="AN229" i="5"/>
  <c r="AM229" i="5"/>
  <c r="AL229" i="5"/>
  <c r="AK229" i="5"/>
  <c r="AJ229" i="5"/>
  <c r="AS228" i="5"/>
  <c r="AR228" i="5"/>
  <c r="AQ228" i="5"/>
  <c r="AP228" i="5"/>
  <c r="AO228" i="5"/>
  <c r="AN228" i="5"/>
  <c r="AM228" i="5"/>
  <c r="AL228" i="5"/>
  <c r="AK228" i="5"/>
  <c r="AJ228" i="5"/>
  <c r="AS227" i="5"/>
  <c r="AR227" i="5"/>
  <c r="AQ227" i="5"/>
  <c r="AP227" i="5"/>
  <c r="AO227" i="5"/>
  <c r="AN227" i="5"/>
  <c r="AM227" i="5"/>
  <c r="AL227" i="5"/>
  <c r="AK227" i="5"/>
  <c r="AJ227" i="5"/>
  <c r="AS226" i="5"/>
  <c r="AR226" i="5"/>
  <c r="AQ226" i="5"/>
  <c r="AP226" i="5"/>
  <c r="AO226" i="5"/>
  <c r="AN226" i="5"/>
  <c r="AM226" i="5"/>
  <c r="AL226" i="5"/>
  <c r="AK226" i="5"/>
  <c r="AJ226" i="5"/>
  <c r="AS225" i="5"/>
  <c r="AR225" i="5"/>
  <c r="AQ225" i="5"/>
  <c r="AP225" i="5"/>
  <c r="AO225" i="5"/>
  <c r="AN225" i="5"/>
  <c r="AM225" i="5"/>
  <c r="AL225" i="5"/>
  <c r="AK225" i="5"/>
  <c r="AJ225" i="5"/>
  <c r="AS224" i="5"/>
  <c r="AR224" i="5"/>
  <c r="AQ224" i="5"/>
  <c r="AP224" i="5"/>
  <c r="AO224" i="5"/>
  <c r="AN224" i="5"/>
  <c r="AM224" i="5"/>
  <c r="AL224" i="5"/>
  <c r="AK224" i="5"/>
  <c r="AJ224" i="5"/>
  <c r="AS223" i="5"/>
  <c r="AR223" i="5"/>
  <c r="AQ223" i="5"/>
  <c r="AP223" i="5"/>
  <c r="AO223" i="5"/>
  <c r="AN223" i="5"/>
  <c r="AM223" i="5"/>
  <c r="AL223" i="5"/>
  <c r="AK223" i="5"/>
  <c r="AJ223" i="5"/>
  <c r="AS222" i="5"/>
  <c r="AR222" i="5"/>
  <c r="AQ222" i="5"/>
  <c r="AP222" i="5"/>
  <c r="AO222" i="5"/>
  <c r="AN222" i="5"/>
  <c r="AM222" i="5"/>
  <c r="AL222" i="5"/>
  <c r="AK222" i="5"/>
  <c r="AJ222" i="5"/>
  <c r="AS221" i="5"/>
  <c r="AR221" i="5"/>
  <c r="AQ221" i="5"/>
  <c r="AP221" i="5"/>
  <c r="AO221" i="5"/>
  <c r="AN221" i="5"/>
  <c r="AM221" i="5"/>
  <c r="AL221" i="5"/>
  <c r="AK221" i="5"/>
  <c r="AJ221" i="5"/>
  <c r="AS220" i="5"/>
  <c r="AR220" i="5"/>
  <c r="AQ220" i="5"/>
  <c r="AP220" i="5"/>
  <c r="AO220" i="5"/>
  <c r="AN220" i="5"/>
  <c r="AM220" i="5"/>
  <c r="AL220" i="5"/>
  <c r="AK220" i="5"/>
  <c r="AJ220" i="5"/>
  <c r="AS219" i="5"/>
  <c r="AR219" i="5"/>
  <c r="AQ219" i="5"/>
  <c r="AP219" i="5"/>
  <c r="AO219" i="5"/>
  <c r="AN219" i="5"/>
  <c r="AM219" i="5"/>
  <c r="AL219" i="5"/>
  <c r="AK219" i="5"/>
  <c r="AJ219" i="5"/>
  <c r="AS218" i="5"/>
  <c r="AR218" i="5"/>
  <c r="AQ218" i="5"/>
  <c r="AP218" i="5"/>
  <c r="AO218" i="5"/>
  <c r="AN218" i="5"/>
  <c r="AM218" i="5"/>
  <c r="AL218" i="5"/>
  <c r="AK218" i="5"/>
  <c r="AJ218" i="5"/>
  <c r="AS217" i="5"/>
  <c r="AR217" i="5"/>
  <c r="AQ217" i="5"/>
  <c r="AP217" i="5"/>
  <c r="AO217" i="5"/>
  <c r="AN217" i="5"/>
  <c r="AM217" i="5"/>
  <c r="AL217" i="5"/>
  <c r="AK217" i="5"/>
  <c r="AJ217" i="5"/>
  <c r="AS216" i="5"/>
  <c r="AR216" i="5"/>
  <c r="AQ216" i="5"/>
  <c r="AP216" i="5"/>
  <c r="AO216" i="5"/>
  <c r="AN216" i="5"/>
  <c r="AM216" i="5"/>
  <c r="AL216" i="5"/>
  <c r="AK216" i="5"/>
  <c r="AJ216" i="5"/>
  <c r="AS215" i="5"/>
  <c r="AR215" i="5"/>
  <c r="AQ215" i="5"/>
  <c r="AP215" i="5"/>
  <c r="AO215" i="5"/>
  <c r="AN215" i="5"/>
  <c r="AM215" i="5"/>
  <c r="AL215" i="5"/>
  <c r="AK215" i="5"/>
  <c r="AJ215" i="5"/>
  <c r="AS214" i="5"/>
  <c r="AR214" i="5"/>
  <c r="AQ214" i="5"/>
  <c r="AP214" i="5"/>
  <c r="AO214" i="5"/>
  <c r="AN214" i="5"/>
  <c r="AM214" i="5"/>
  <c r="AL214" i="5"/>
  <c r="AK214" i="5"/>
  <c r="AJ214" i="5"/>
  <c r="AS213" i="5"/>
  <c r="AR213" i="5"/>
  <c r="AQ213" i="5"/>
  <c r="AP213" i="5"/>
  <c r="AO213" i="5"/>
  <c r="AN213" i="5"/>
  <c r="AM213" i="5"/>
  <c r="AL213" i="5"/>
  <c r="AK213" i="5"/>
  <c r="AJ213" i="5"/>
  <c r="AS212" i="5"/>
  <c r="AR212" i="5"/>
  <c r="AQ212" i="5"/>
  <c r="AP212" i="5"/>
  <c r="AO212" i="5"/>
  <c r="AN212" i="5"/>
  <c r="AM212" i="5"/>
  <c r="AL212" i="5"/>
  <c r="AK212" i="5"/>
  <c r="AJ212" i="5"/>
  <c r="AS211" i="5"/>
  <c r="AR211" i="5"/>
  <c r="AQ211" i="5"/>
  <c r="AP211" i="5"/>
  <c r="AO211" i="5"/>
  <c r="AN211" i="5"/>
  <c r="AM211" i="5"/>
  <c r="AL211" i="5"/>
  <c r="AK211" i="5"/>
  <c r="AJ211" i="5"/>
  <c r="AS210" i="5"/>
  <c r="AR210" i="5"/>
  <c r="AQ210" i="5"/>
  <c r="AP210" i="5"/>
  <c r="AO210" i="5"/>
  <c r="AN210" i="5"/>
  <c r="AM210" i="5"/>
  <c r="AL210" i="5"/>
  <c r="AK210" i="5"/>
  <c r="AJ210" i="5"/>
  <c r="AS209" i="5"/>
  <c r="AR209" i="5"/>
  <c r="AQ209" i="5"/>
  <c r="AP209" i="5"/>
  <c r="AO209" i="5"/>
  <c r="AN209" i="5"/>
  <c r="AM209" i="5"/>
  <c r="AL209" i="5"/>
  <c r="AK209" i="5"/>
  <c r="AJ209" i="5"/>
  <c r="AS208" i="5"/>
  <c r="AR208" i="5"/>
  <c r="AQ208" i="5"/>
  <c r="AP208" i="5"/>
  <c r="AO208" i="5"/>
  <c r="AN208" i="5"/>
  <c r="AM208" i="5"/>
  <c r="AL208" i="5"/>
  <c r="AK208" i="5"/>
  <c r="AJ208" i="5"/>
  <c r="AS207" i="5"/>
  <c r="AR207" i="5"/>
  <c r="AQ207" i="5"/>
  <c r="AP207" i="5"/>
  <c r="AO207" i="5"/>
  <c r="AN207" i="5"/>
  <c r="AM207" i="5"/>
  <c r="AL207" i="5"/>
  <c r="AK207" i="5"/>
  <c r="AJ207" i="5"/>
  <c r="AS206" i="5"/>
  <c r="AR206" i="5"/>
  <c r="AQ206" i="5"/>
  <c r="AP206" i="5"/>
  <c r="AO206" i="5"/>
  <c r="AN206" i="5"/>
  <c r="AM206" i="5"/>
  <c r="AL206" i="5"/>
  <c r="AK206" i="5"/>
  <c r="AJ206" i="5"/>
  <c r="AS205" i="5"/>
  <c r="AR205" i="5"/>
  <c r="AQ205" i="5"/>
  <c r="AP205" i="5"/>
  <c r="AO205" i="5"/>
  <c r="AN205" i="5"/>
  <c r="AM205" i="5"/>
  <c r="AL205" i="5"/>
  <c r="AK205" i="5"/>
  <c r="AJ205" i="5"/>
  <c r="AS204" i="5"/>
  <c r="AR204" i="5"/>
  <c r="AQ204" i="5"/>
  <c r="AP204" i="5"/>
  <c r="AO204" i="5"/>
  <c r="AN204" i="5"/>
  <c r="AM204" i="5"/>
  <c r="AL204" i="5"/>
  <c r="AK204" i="5"/>
  <c r="AJ204" i="5"/>
  <c r="AS203" i="5"/>
  <c r="AR203" i="5"/>
  <c r="AQ203" i="5"/>
  <c r="AP203" i="5"/>
  <c r="AO203" i="5"/>
  <c r="AN203" i="5"/>
  <c r="AM203" i="5"/>
  <c r="AL203" i="5"/>
  <c r="AK203" i="5"/>
  <c r="AJ203" i="5"/>
  <c r="AS202" i="5"/>
  <c r="AR202" i="5"/>
  <c r="AQ202" i="5"/>
  <c r="AP202" i="5"/>
  <c r="AO202" i="5"/>
  <c r="AN202" i="5"/>
  <c r="AM202" i="5"/>
  <c r="AL202" i="5"/>
  <c r="AK202" i="5"/>
  <c r="AJ202" i="5"/>
  <c r="AS201" i="5"/>
  <c r="AR201" i="5"/>
  <c r="AQ201" i="5"/>
  <c r="AP201" i="5"/>
  <c r="AO201" i="5"/>
  <c r="AN201" i="5"/>
  <c r="AM201" i="5"/>
  <c r="AL201" i="5"/>
  <c r="AK201" i="5"/>
  <c r="AJ201" i="5"/>
  <c r="AS200" i="5"/>
  <c r="AR200" i="5"/>
  <c r="AQ200" i="5"/>
  <c r="AP200" i="5"/>
  <c r="AO200" i="5"/>
  <c r="AN200" i="5"/>
  <c r="AM200" i="5"/>
  <c r="AL200" i="5"/>
  <c r="AK200" i="5"/>
  <c r="AJ200" i="5"/>
  <c r="AS199" i="5"/>
  <c r="AR199" i="5"/>
  <c r="AQ199" i="5"/>
  <c r="AP199" i="5"/>
  <c r="AO199" i="5"/>
  <c r="AN199" i="5"/>
  <c r="AM199" i="5"/>
  <c r="AL199" i="5"/>
  <c r="AK199" i="5"/>
  <c r="AJ199" i="5"/>
  <c r="AS198" i="5"/>
  <c r="AR198" i="5"/>
  <c r="AQ198" i="5"/>
  <c r="AP198" i="5"/>
  <c r="AO198" i="5"/>
  <c r="AN198" i="5"/>
  <c r="AM198" i="5"/>
  <c r="AL198" i="5"/>
  <c r="AK198" i="5"/>
  <c r="AJ198" i="5"/>
  <c r="AS197" i="5"/>
  <c r="AR197" i="5"/>
  <c r="AQ197" i="5"/>
  <c r="AP197" i="5"/>
  <c r="AO197" i="5"/>
  <c r="AN197" i="5"/>
  <c r="AM197" i="5"/>
  <c r="AL197" i="5"/>
  <c r="AK197" i="5"/>
  <c r="AJ197" i="5"/>
  <c r="AS196" i="5"/>
  <c r="AR196" i="5"/>
  <c r="AQ196" i="5"/>
  <c r="AP196" i="5"/>
  <c r="AO196" i="5"/>
  <c r="AN196" i="5"/>
  <c r="AM196" i="5"/>
  <c r="AL196" i="5"/>
  <c r="AK196" i="5"/>
  <c r="AJ196" i="5"/>
  <c r="AS195" i="5"/>
  <c r="AR195" i="5"/>
  <c r="AQ195" i="5"/>
  <c r="AP195" i="5"/>
  <c r="AO195" i="5"/>
  <c r="AN195" i="5"/>
  <c r="AM195" i="5"/>
  <c r="AL195" i="5"/>
  <c r="AK195" i="5"/>
  <c r="AJ195" i="5"/>
  <c r="AS194" i="5"/>
  <c r="AR194" i="5"/>
  <c r="AQ194" i="5"/>
  <c r="AP194" i="5"/>
  <c r="AO194" i="5"/>
  <c r="AN194" i="5"/>
  <c r="AM194" i="5"/>
  <c r="AL194" i="5"/>
  <c r="AK194" i="5"/>
  <c r="AJ194" i="5"/>
  <c r="AS193" i="5"/>
  <c r="AR193" i="5"/>
  <c r="AQ193" i="5"/>
  <c r="AP193" i="5"/>
  <c r="AO193" i="5"/>
  <c r="AN193" i="5"/>
  <c r="AM193" i="5"/>
  <c r="AL193" i="5"/>
  <c r="AK193" i="5"/>
  <c r="AJ193" i="5"/>
  <c r="AS192" i="5"/>
  <c r="AR192" i="5"/>
  <c r="AQ192" i="5"/>
  <c r="AP192" i="5"/>
  <c r="AO192" i="5"/>
  <c r="AN192" i="5"/>
  <c r="AM192" i="5"/>
  <c r="AL192" i="5"/>
  <c r="AK192" i="5"/>
  <c r="AJ192" i="5"/>
  <c r="AS191" i="5"/>
  <c r="AR191" i="5"/>
  <c r="AQ191" i="5"/>
  <c r="AP191" i="5"/>
  <c r="AO191" i="5"/>
  <c r="AN191" i="5"/>
  <c r="AM191" i="5"/>
  <c r="AL191" i="5"/>
  <c r="AK191" i="5"/>
  <c r="AJ191" i="5"/>
  <c r="AS190" i="5"/>
  <c r="AR190" i="5"/>
  <c r="AQ190" i="5"/>
  <c r="AP190" i="5"/>
  <c r="AO190" i="5"/>
  <c r="AN190" i="5"/>
  <c r="AM190" i="5"/>
  <c r="AL190" i="5"/>
  <c r="AK190" i="5"/>
  <c r="AJ190" i="5"/>
  <c r="AS189" i="5"/>
  <c r="AR189" i="5"/>
  <c r="AQ189" i="5"/>
  <c r="AP189" i="5"/>
  <c r="AO189" i="5"/>
  <c r="AN189" i="5"/>
  <c r="AM189" i="5"/>
  <c r="AL189" i="5"/>
  <c r="AK189" i="5"/>
  <c r="AJ189" i="5"/>
  <c r="AS188" i="5"/>
  <c r="AR188" i="5"/>
  <c r="AQ188" i="5"/>
  <c r="AP188" i="5"/>
  <c r="AO188" i="5"/>
  <c r="AN188" i="5"/>
  <c r="AM188" i="5"/>
  <c r="AL188" i="5"/>
  <c r="AK188" i="5"/>
  <c r="AJ188" i="5"/>
  <c r="AS187" i="5"/>
  <c r="AR187" i="5"/>
  <c r="AQ187" i="5"/>
  <c r="AP187" i="5"/>
  <c r="AO187" i="5"/>
  <c r="AN187" i="5"/>
  <c r="AM187" i="5"/>
  <c r="AL187" i="5"/>
  <c r="AK187" i="5"/>
  <c r="AJ187" i="5"/>
  <c r="AS186" i="5"/>
  <c r="AR186" i="5"/>
  <c r="AQ186" i="5"/>
  <c r="AP186" i="5"/>
  <c r="AO186" i="5"/>
  <c r="AN186" i="5"/>
  <c r="AM186" i="5"/>
  <c r="AL186" i="5"/>
  <c r="AK186" i="5"/>
  <c r="AJ186" i="5"/>
  <c r="AS185" i="5"/>
  <c r="AR185" i="5"/>
  <c r="AQ185" i="5"/>
  <c r="AP185" i="5"/>
  <c r="AO185" i="5"/>
  <c r="AN185" i="5"/>
  <c r="AM185" i="5"/>
  <c r="AL185" i="5"/>
  <c r="AK185" i="5"/>
  <c r="AJ185" i="5"/>
  <c r="AS184" i="5"/>
  <c r="AR184" i="5"/>
  <c r="AQ184" i="5"/>
  <c r="AP184" i="5"/>
  <c r="AO184" i="5"/>
  <c r="AN184" i="5"/>
  <c r="AM184" i="5"/>
  <c r="AL184" i="5"/>
  <c r="AK184" i="5"/>
  <c r="AJ184" i="5"/>
  <c r="AS183" i="5"/>
  <c r="AR183" i="5"/>
  <c r="AQ183" i="5"/>
  <c r="AP183" i="5"/>
  <c r="AO183" i="5"/>
  <c r="AN183" i="5"/>
  <c r="AM183" i="5"/>
  <c r="AL183" i="5"/>
  <c r="AK183" i="5"/>
  <c r="AJ183" i="5"/>
  <c r="AS182" i="5"/>
  <c r="AR182" i="5"/>
  <c r="AQ182" i="5"/>
  <c r="AP182" i="5"/>
  <c r="AO182" i="5"/>
  <c r="AN182" i="5"/>
  <c r="AM182" i="5"/>
  <c r="AL182" i="5"/>
  <c r="AK182" i="5"/>
  <c r="AJ182" i="5"/>
  <c r="AS181" i="5"/>
  <c r="AR181" i="5"/>
  <c r="AQ181" i="5"/>
  <c r="AP181" i="5"/>
  <c r="AO181" i="5"/>
  <c r="AN181" i="5"/>
  <c r="AM181" i="5"/>
  <c r="AL181" i="5"/>
  <c r="AK181" i="5"/>
  <c r="AJ181" i="5"/>
  <c r="AS180" i="5"/>
  <c r="AR180" i="5"/>
  <c r="AQ180" i="5"/>
  <c r="AP180" i="5"/>
  <c r="AO180" i="5"/>
  <c r="AN180" i="5"/>
  <c r="AM180" i="5"/>
  <c r="AL180" i="5"/>
  <c r="AK180" i="5"/>
  <c r="AJ180" i="5"/>
  <c r="AS179" i="5"/>
  <c r="AR179" i="5"/>
  <c r="AQ179" i="5"/>
  <c r="AP179" i="5"/>
  <c r="AO179" i="5"/>
  <c r="AN179" i="5"/>
  <c r="AM179" i="5"/>
  <c r="AL179" i="5"/>
  <c r="AK179" i="5"/>
  <c r="AJ179" i="5"/>
  <c r="AS178" i="5"/>
  <c r="AR178" i="5"/>
  <c r="AQ178" i="5"/>
  <c r="AP178" i="5"/>
  <c r="AO178" i="5"/>
  <c r="AN178" i="5"/>
  <c r="AM178" i="5"/>
  <c r="AL178" i="5"/>
  <c r="AK178" i="5"/>
  <c r="AJ178" i="5"/>
  <c r="AS177" i="5"/>
  <c r="AR177" i="5"/>
  <c r="AQ177" i="5"/>
  <c r="AP177" i="5"/>
  <c r="AO177" i="5"/>
  <c r="AN177" i="5"/>
  <c r="AM177" i="5"/>
  <c r="AL177" i="5"/>
  <c r="AK177" i="5"/>
  <c r="AJ177" i="5"/>
  <c r="AS176" i="5"/>
  <c r="AR176" i="5"/>
  <c r="AQ176" i="5"/>
  <c r="AP176" i="5"/>
  <c r="AO176" i="5"/>
  <c r="AN176" i="5"/>
  <c r="AM176" i="5"/>
  <c r="AL176" i="5"/>
  <c r="AK176" i="5"/>
  <c r="AJ176" i="5"/>
  <c r="AS175" i="5"/>
  <c r="AR175" i="5"/>
  <c r="AQ175" i="5"/>
  <c r="AP175" i="5"/>
  <c r="AO175" i="5"/>
  <c r="AN175" i="5"/>
  <c r="AM175" i="5"/>
  <c r="AL175" i="5"/>
  <c r="AK175" i="5"/>
  <c r="AJ175" i="5"/>
  <c r="AS174" i="5"/>
  <c r="AR174" i="5"/>
  <c r="AQ174" i="5"/>
  <c r="AP174" i="5"/>
  <c r="AO174" i="5"/>
  <c r="AN174" i="5"/>
  <c r="AM174" i="5"/>
  <c r="AL174" i="5"/>
  <c r="AK174" i="5"/>
  <c r="AJ174" i="5"/>
  <c r="AS173" i="5"/>
  <c r="AR173" i="5"/>
  <c r="AQ173" i="5"/>
  <c r="AP173" i="5"/>
  <c r="AO173" i="5"/>
  <c r="AN173" i="5"/>
  <c r="AM173" i="5"/>
  <c r="AL173" i="5"/>
  <c r="AK173" i="5"/>
  <c r="AJ173" i="5"/>
  <c r="AS172" i="5"/>
  <c r="AR172" i="5"/>
  <c r="AQ172" i="5"/>
  <c r="AP172" i="5"/>
  <c r="AO172" i="5"/>
  <c r="AN172" i="5"/>
  <c r="AM172" i="5"/>
  <c r="AL172" i="5"/>
  <c r="AK172" i="5"/>
  <c r="AJ172" i="5"/>
  <c r="AS171" i="5"/>
  <c r="AR171" i="5"/>
  <c r="AQ171" i="5"/>
  <c r="AP171" i="5"/>
  <c r="AO171" i="5"/>
  <c r="AN171" i="5"/>
  <c r="AM171" i="5"/>
  <c r="AL171" i="5"/>
  <c r="AK171" i="5"/>
  <c r="AJ171" i="5"/>
  <c r="AS170" i="5"/>
  <c r="AR170" i="5"/>
  <c r="AQ170" i="5"/>
  <c r="AP170" i="5"/>
  <c r="AO170" i="5"/>
  <c r="AN170" i="5"/>
  <c r="AM170" i="5"/>
  <c r="AL170" i="5"/>
  <c r="AK170" i="5"/>
  <c r="AJ170" i="5"/>
  <c r="AS169" i="5"/>
  <c r="AR169" i="5"/>
  <c r="AQ169" i="5"/>
  <c r="AP169" i="5"/>
  <c r="AO169" i="5"/>
  <c r="AN169" i="5"/>
  <c r="AM169" i="5"/>
  <c r="AL169" i="5"/>
  <c r="AK169" i="5"/>
  <c r="AJ169" i="5"/>
  <c r="AS168" i="5"/>
  <c r="AR168" i="5"/>
  <c r="AQ168" i="5"/>
  <c r="AP168" i="5"/>
  <c r="AO168" i="5"/>
  <c r="AN168" i="5"/>
  <c r="AM168" i="5"/>
  <c r="AL168" i="5"/>
  <c r="AK168" i="5"/>
  <c r="AJ168" i="5"/>
  <c r="AS167" i="5"/>
  <c r="AR167" i="5"/>
  <c r="AQ167" i="5"/>
  <c r="AP167" i="5"/>
  <c r="AO167" i="5"/>
  <c r="AN167" i="5"/>
  <c r="AM167" i="5"/>
  <c r="AL167" i="5"/>
  <c r="AK167" i="5"/>
  <c r="AJ167" i="5"/>
  <c r="AS166" i="5"/>
  <c r="AR166" i="5"/>
  <c r="AQ166" i="5"/>
  <c r="AP166" i="5"/>
  <c r="AO166" i="5"/>
  <c r="AN166" i="5"/>
  <c r="AM166" i="5"/>
  <c r="AL166" i="5"/>
  <c r="AK166" i="5"/>
  <c r="AJ166" i="5"/>
  <c r="AS165" i="5"/>
  <c r="AR165" i="5"/>
  <c r="AQ165" i="5"/>
  <c r="AP165" i="5"/>
  <c r="AO165" i="5"/>
  <c r="AN165" i="5"/>
  <c r="AM165" i="5"/>
  <c r="AL165" i="5"/>
  <c r="AK165" i="5"/>
  <c r="AJ165" i="5"/>
  <c r="AS164" i="5"/>
  <c r="AR164" i="5"/>
  <c r="AQ164" i="5"/>
  <c r="AP164" i="5"/>
  <c r="AO164" i="5"/>
  <c r="AN164" i="5"/>
  <c r="AM164" i="5"/>
  <c r="AL164" i="5"/>
  <c r="AK164" i="5"/>
  <c r="AJ164" i="5"/>
  <c r="AS163" i="5"/>
  <c r="AR163" i="5"/>
  <c r="AQ163" i="5"/>
  <c r="AP163" i="5"/>
  <c r="AO163" i="5"/>
  <c r="AN163" i="5"/>
  <c r="AM163" i="5"/>
  <c r="AL163" i="5"/>
  <c r="AK163" i="5"/>
  <c r="AJ163" i="5"/>
  <c r="AS162" i="5"/>
  <c r="AR162" i="5"/>
  <c r="AQ162" i="5"/>
  <c r="AP162" i="5"/>
  <c r="AO162" i="5"/>
  <c r="AN162" i="5"/>
  <c r="AM162" i="5"/>
  <c r="AL162" i="5"/>
  <c r="AK162" i="5"/>
  <c r="AJ162" i="5"/>
  <c r="AS161" i="5"/>
  <c r="AR161" i="5"/>
  <c r="AQ161" i="5"/>
  <c r="AP161" i="5"/>
  <c r="AO161" i="5"/>
  <c r="AN161" i="5"/>
  <c r="AM161" i="5"/>
  <c r="AL161" i="5"/>
  <c r="AK161" i="5"/>
  <c r="AJ161" i="5"/>
  <c r="AS160" i="5"/>
  <c r="AR160" i="5"/>
  <c r="AQ160" i="5"/>
  <c r="AP160" i="5"/>
  <c r="AO160" i="5"/>
  <c r="AN160" i="5"/>
  <c r="AM160" i="5"/>
  <c r="AL160" i="5"/>
  <c r="AK160" i="5"/>
  <c r="AJ160" i="5"/>
  <c r="AS159" i="5"/>
  <c r="AR159" i="5"/>
  <c r="AQ159" i="5"/>
  <c r="AP159" i="5"/>
  <c r="AO159" i="5"/>
  <c r="AN159" i="5"/>
  <c r="AM159" i="5"/>
  <c r="AL159" i="5"/>
  <c r="AK159" i="5"/>
  <c r="AJ159" i="5"/>
  <c r="AS158" i="5"/>
  <c r="AR158" i="5"/>
  <c r="AQ158" i="5"/>
  <c r="AP158" i="5"/>
  <c r="AO158" i="5"/>
  <c r="AN158" i="5"/>
  <c r="AM158" i="5"/>
  <c r="AL158" i="5"/>
  <c r="AK158" i="5"/>
  <c r="AJ158" i="5"/>
  <c r="AS157" i="5"/>
  <c r="AR157" i="5"/>
  <c r="AQ157" i="5"/>
  <c r="AP157" i="5"/>
  <c r="AO157" i="5"/>
  <c r="AN157" i="5"/>
  <c r="AM157" i="5"/>
  <c r="AL157" i="5"/>
  <c r="AK157" i="5"/>
  <c r="AJ157" i="5"/>
  <c r="AS156" i="5"/>
  <c r="AR156" i="5"/>
  <c r="AQ156" i="5"/>
  <c r="AP156" i="5"/>
  <c r="AO156" i="5"/>
  <c r="AN156" i="5"/>
  <c r="AM156" i="5"/>
  <c r="AL156" i="5"/>
  <c r="AK156" i="5"/>
  <c r="AJ156" i="5"/>
  <c r="AS155" i="5"/>
  <c r="AR155" i="5"/>
  <c r="AQ155" i="5"/>
  <c r="AP155" i="5"/>
  <c r="AO155" i="5"/>
  <c r="AN155" i="5"/>
  <c r="AM155" i="5"/>
  <c r="AL155" i="5"/>
  <c r="AK155" i="5"/>
  <c r="AJ155" i="5"/>
  <c r="AS154" i="5"/>
  <c r="AR154" i="5"/>
  <c r="AQ154" i="5"/>
  <c r="AP154" i="5"/>
  <c r="AO154" i="5"/>
  <c r="AN154" i="5"/>
  <c r="AM154" i="5"/>
  <c r="AL154" i="5"/>
  <c r="AK154" i="5"/>
  <c r="AJ154" i="5"/>
  <c r="AS153" i="5"/>
  <c r="AR153" i="5"/>
  <c r="AQ153" i="5"/>
  <c r="AP153" i="5"/>
  <c r="AO153" i="5"/>
  <c r="AN153" i="5"/>
  <c r="AM153" i="5"/>
  <c r="AL153" i="5"/>
  <c r="AK153" i="5"/>
  <c r="AJ153" i="5"/>
  <c r="AS152" i="5"/>
  <c r="AR152" i="5"/>
  <c r="AQ152" i="5"/>
  <c r="AP152" i="5"/>
  <c r="AO152" i="5"/>
  <c r="AN152" i="5"/>
  <c r="AM152" i="5"/>
  <c r="AL152" i="5"/>
  <c r="AK152" i="5"/>
  <c r="AJ152" i="5"/>
  <c r="AS151" i="5"/>
  <c r="AR151" i="5"/>
  <c r="AQ151" i="5"/>
  <c r="AP151" i="5"/>
  <c r="AO151" i="5"/>
  <c r="AN151" i="5"/>
  <c r="AM151" i="5"/>
  <c r="AL151" i="5"/>
  <c r="AK151" i="5"/>
  <c r="AJ151" i="5"/>
  <c r="AS150" i="5"/>
  <c r="AR150" i="5"/>
  <c r="AQ150" i="5"/>
  <c r="AP150" i="5"/>
  <c r="AO150" i="5"/>
  <c r="AN150" i="5"/>
  <c r="AM150" i="5"/>
  <c r="AL150" i="5"/>
  <c r="AK150" i="5"/>
  <c r="AJ150" i="5"/>
  <c r="AS149" i="5"/>
  <c r="AR149" i="5"/>
  <c r="AQ149" i="5"/>
  <c r="AP149" i="5"/>
  <c r="AO149" i="5"/>
  <c r="AN149" i="5"/>
  <c r="AM149" i="5"/>
  <c r="AL149" i="5"/>
  <c r="AK149" i="5"/>
  <c r="AJ149" i="5"/>
  <c r="AS148" i="5"/>
  <c r="AR148" i="5"/>
  <c r="AQ148" i="5"/>
  <c r="AP148" i="5"/>
  <c r="AO148" i="5"/>
  <c r="AN148" i="5"/>
  <c r="AM148" i="5"/>
  <c r="AL148" i="5"/>
  <c r="AK148" i="5"/>
  <c r="AJ148" i="5"/>
  <c r="AS147" i="5"/>
  <c r="AR147" i="5"/>
  <c r="AQ147" i="5"/>
  <c r="AP147" i="5"/>
  <c r="AO147" i="5"/>
  <c r="AN147" i="5"/>
  <c r="AM147" i="5"/>
  <c r="AL147" i="5"/>
  <c r="AK147" i="5"/>
  <c r="AJ147" i="5"/>
  <c r="AS146" i="5"/>
  <c r="AR146" i="5"/>
  <c r="AQ146" i="5"/>
  <c r="AP146" i="5"/>
  <c r="AO146" i="5"/>
  <c r="AN146" i="5"/>
  <c r="AM146" i="5"/>
  <c r="AL146" i="5"/>
  <c r="AK146" i="5"/>
  <c r="AJ146" i="5"/>
  <c r="AS145" i="5"/>
  <c r="AR145" i="5"/>
  <c r="AQ145" i="5"/>
  <c r="AP145" i="5"/>
  <c r="AO145" i="5"/>
  <c r="AN145" i="5"/>
  <c r="AM145" i="5"/>
  <c r="AL145" i="5"/>
  <c r="AK145" i="5"/>
  <c r="AJ145" i="5"/>
  <c r="AS144" i="5"/>
  <c r="AR144" i="5"/>
  <c r="AQ144" i="5"/>
  <c r="AP144" i="5"/>
  <c r="AO144" i="5"/>
  <c r="AN144" i="5"/>
  <c r="AM144" i="5"/>
  <c r="AL144" i="5"/>
  <c r="AK144" i="5"/>
  <c r="AJ144" i="5"/>
  <c r="AS143" i="5"/>
  <c r="AR143" i="5"/>
  <c r="AQ143" i="5"/>
  <c r="AP143" i="5"/>
  <c r="AO143" i="5"/>
  <c r="AN143" i="5"/>
  <c r="AM143" i="5"/>
  <c r="AL143" i="5"/>
  <c r="AK143" i="5"/>
  <c r="AJ143" i="5"/>
  <c r="AS142" i="5"/>
  <c r="AR142" i="5"/>
  <c r="AQ142" i="5"/>
  <c r="AP142" i="5"/>
  <c r="AO142" i="5"/>
  <c r="AN142" i="5"/>
  <c r="AM142" i="5"/>
  <c r="AL142" i="5"/>
  <c r="AK142" i="5"/>
  <c r="AJ142" i="5"/>
  <c r="AS141" i="5"/>
  <c r="AR141" i="5"/>
  <c r="AQ141" i="5"/>
  <c r="AP141" i="5"/>
  <c r="AO141" i="5"/>
  <c r="AN141" i="5"/>
  <c r="AM141" i="5"/>
  <c r="AL141" i="5"/>
  <c r="AK141" i="5"/>
  <c r="AJ141" i="5"/>
  <c r="AS140" i="5"/>
  <c r="AR140" i="5"/>
  <c r="AQ140" i="5"/>
  <c r="AP140" i="5"/>
  <c r="AO140" i="5"/>
  <c r="AN140" i="5"/>
  <c r="AM140" i="5"/>
  <c r="AL140" i="5"/>
  <c r="AK140" i="5"/>
  <c r="AJ140" i="5"/>
  <c r="AS139" i="5"/>
  <c r="AR139" i="5"/>
  <c r="AQ139" i="5"/>
  <c r="AP139" i="5"/>
  <c r="AO139" i="5"/>
  <c r="AN139" i="5"/>
  <c r="AM139" i="5"/>
  <c r="AL139" i="5"/>
  <c r="AK139" i="5"/>
  <c r="AJ139" i="5"/>
  <c r="AS138" i="5"/>
  <c r="AR138" i="5"/>
  <c r="AQ138" i="5"/>
  <c r="AP138" i="5"/>
  <c r="AO138" i="5"/>
  <c r="AN138" i="5"/>
  <c r="AM138" i="5"/>
  <c r="AL138" i="5"/>
  <c r="AK138" i="5"/>
  <c r="AJ138" i="5"/>
  <c r="AS137" i="5"/>
  <c r="AR137" i="5"/>
  <c r="AQ137" i="5"/>
  <c r="AP137" i="5"/>
  <c r="AO137" i="5"/>
  <c r="AN137" i="5"/>
  <c r="AM137" i="5"/>
  <c r="AL137" i="5"/>
  <c r="AK137" i="5"/>
  <c r="AJ137" i="5"/>
  <c r="AS136" i="5"/>
  <c r="AR136" i="5"/>
  <c r="AQ136" i="5"/>
  <c r="AP136" i="5"/>
  <c r="AO136" i="5"/>
  <c r="AN136" i="5"/>
  <c r="AM136" i="5"/>
  <c r="AL136" i="5"/>
  <c r="AK136" i="5"/>
  <c r="AJ136" i="5"/>
  <c r="AS135" i="5"/>
  <c r="AR135" i="5"/>
  <c r="AQ135" i="5"/>
  <c r="AP135" i="5"/>
  <c r="AO135" i="5"/>
  <c r="AN135" i="5"/>
  <c r="AM135" i="5"/>
  <c r="AL135" i="5"/>
  <c r="AK135" i="5"/>
  <c r="AJ135" i="5"/>
  <c r="AS134" i="5"/>
  <c r="AR134" i="5"/>
  <c r="AQ134" i="5"/>
  <c r="AP134" i="5"/>
  <c r="AO134" i="5"/>
  <c r="AN134" i="5"/>
  <c r="AM134" i="5"/>
  <c r="AL134" i="5"/>
  <c r="AK134" i="5"/>
  <c r="AJ134" i="5"/>
  <c r="AS133" i="5"/>
  <c r="AR133" i="5"/>
  <c r="AQ133" i="5"/>
  <c r="AP133" i="5"/>
  <c r="AO133" i="5"/>
  <c r="AN133" i="5"/>
  <c r="AM133" i="5"/>
  <c r="AL133" i="5"/>
  <c r="AK133" i="5"/>
  <c r="AJ133" i="5"/>
  <c r="AS132" i="5"/>
  <c r="AR132" i="5"/>
  <c r="AQ132" i="5"/>
  <c r="AP132" i="5"/>
  <c r="AO132" i="5"/>
  <c r="AN132" i="5"/>
  <c r="AM132" i="5"/>
  <c r="AL132" i="5"/>
  <c r="AK132" i="5"/>
  <c r="AJ132" i="5"/>
  <c r="AS131" i="5"/>
  <c r="AR131" i="5"/>
  <c r="AQ131" i="5"/>
  <c r="AP131" i="5"/>
  <c r="AO131" i="5"/>
  <c r="AN131" i="5"/>
  <c r="AM131" i="5"/>
  <c r="AL131" i="5"/>
  <c r="AK131" i="5"/>
  <c r="AJ131" i="5"/>
  <c r="AS130" i="5"/>
  <c r="AR130" i="5"/>
  <c r="AQ130" i="5"/>
  <c r="AP130" i="5"/>
  <c r="AO130" i="5"/>
  <c r="AN130" i="5"/>
  <c r="AM130" i="5"/>
  <c r="AL130" i="5"/>
  <c r="AK130" i="5"/>
  <c r="AJ130" i="5"/>
  <c r="AS129" i="5"/>
  <c r="AR129" i="5"/>
  <c r="AQ129" i="5"/>
  <c r="AP129" i="5"/>
  <c r="AO129" i="5"/>
  <c r="AN129" i="5"/>
  <c r="AM129" i="5"/>
  <c r="AL129" i="5"/>
  <c r="AK129" i="5"/>
  <c r="AJ129" i="5"/>
  <c r="AS128" i="5"/>
  <c r="AR128" i="5"/>
  <c r="AQ128" i="5"/>
  <c r="AP128" i="5"/>
  <c r="AO128" i="5"/>
  <c r="AN128" i="5"/>
  <c r="AM128" i="5"/>
  <c r="AL128" i="5"/>
  <c r="AK128" i="5"/>
  <c r="AJ128" i="5"/>
  <c r="AS127" i="5"/>
  <c r="AR127" i="5"/>
  <c r="AQ127" i="5"/>
  <c r="AP127" i="5"/>
  <c r="AO127" i="5"/>
  <c r="AN127" i="5"/>
  <c r="AM127" i="5"/>
  <c r="AL127" i="5"/>
  <c r="AK127" i="5"/>
  <c r="AJ127" i="5"/>
  <c r="AS126" i="5"/>
  <c r="AR126" i="5"/>
  <c r="AQ126" i="5"/>
  <c r="AP126" i="5"/>
  <c r="AO126" i="5"/>
  <c r="AN126" i="5"/>
  <c r="AM126" i="5"/>
  <c r="AL126" i="5"/>
  <c r="AK126" i="5"/>
  <c r="AJ126" i="5"/>
  <c r="AS125" i="5"/>
  <c r="AR125" i="5"/>
  <c r="AQ125" i="5"/>
  <c r="AP125" i="5"/>
  <c r="AO125" i="5"/>
  <c r="AN125" i="5"/>
  <c r="AM125" i="5"/>
  <c r="AL125" i="5"/>
  <c r="AK125" i="5"/>
  <c r="AJ125" i="5"/>
  <c r="AS124" i="5"/>
  <c r="AR124" i="5"/>
  <c r="AQ124" i="5"/>
  <c r="AP124" i="5"/>
  <c r="AO124" i="5"/>
  <c r="AN124" i="5"/>
  <c r="AM124" i="5"/>
  <c r="AL124" i="5"/>
  <c r="AK124" i="5"/>
  <c r="AJ124" i="5"/>
  <c r="AS123" i="5"/>
  <c r="AR123" i="5"/>
  <c r="AQ123" i="5"/>
  <c r="AP123" i="5"/>
  <c r="AO123" i="5"/>
  <c r="AN123" i="5"/>
  <c r="AM123" i="5"/>
  <c r="AL123" i="5"/>
  <c r="AK123" i="5"/>
  <c r="AJ123" i="5"/>
  <c r="AS122" i="5"/>
  <c r="AR122" i="5"/>
  <c r="AQ122" i="5"/>
  <c r="AP122" i="5"/>
  <c r="AO122" i="5"/>
  <c r="AN122" i="5"/>
  <c r="AM122" i="5"/>
  <c r="AL122" i="5"/>
  <c r="AK122" i="5"/>
  <c r="AJ122" i="5"/>
  <c r="AS121" i="5"/>
  <c r="AR121" i="5"/>
  <c r="AQ121" i="5"/>
  <c r="AP121" i="5"/>
  <c r="AO121" i="5"/>
  <c r="AN121" i="5"/>
  <c r="AM121" i="5"/>
  <c r="AL121" i="5"/>
  <c r="AK121" i="5"/>
  <c r="AJ121" i="5"/>
  <c r="AS120" i="5"/>
  <c r="AR120" i="5"/>
  <c r="AQ120" i="5"/>
  <c r="AP120" i="5"/>
  <c r="AO120" i="5"/>
  <c r="AN120" i="5"/>
  <c r="AM120" i="5"/>
  <c r="AL120" i="5"/>
  <c r="AK120" i="5"/>
  <c r="AJ120" i="5"/>
  <c r="AS119" i="5"/>
  <c r="AR119" i="5"/>
  <c r="AQ119" i="5"/>
  <c r="AP119" i="5"/>
  <c r="AO119" i="5"/>
  <c r="AN119" i="5"/>
  <c r="AM119" i="5"/>
  <c r="AL119" i="5"/>
  <c r="AK119" i="5"/>
  <c r="AJ119" i="5"/>
  <c r="AS118" i="5"/>
  <c r="AR118" i="5"/>
  <c r="AQ118" i="5"/>
  <c r="AP118" i="5"/>
  <c r="AO118" i="5"/>
  <c r="AN118" i="5"/>
  <c r="AM118" i="5"/>
  <c r="AL118" i="5"/>
  <c r="AK118" i="5"/>
  <c r="AJ118" i="5"/>
  <c r="AS117" i="5"/>
  <c r="AR117" i="5"/>
  <c r="AQ117" i="5"/>
  <c r="AP117" i="5"/>
  <c r="AO117" i="5"/>
  <c r="AN117" i="5"/>
  <c r="AM117" i="5"/>
  <c r="AL117" i="5"/>
  <c r="AK117" i="5"/>
  <c r="AJ117" i="5"/>
  <c r="AS116" i="5"/>
  <c r="AR116" i="5"/>
  <c r="AQ116" i="5"/>
  <c r="AP116" i="5"/>
  <c r="AO116" i="5"/>
  <c r="AN116" i="5"/>
  <c r="AM116" i="5"/>
  <c r="AL116" i="5"/>
  <c r="AK116" i="5"/>
  <c r="AJ116" i="5"/>
  <c r="AS115" i="5"/>
  <c r="AR115" i="5"/>
  <c r="AQ115" i="5"/>
  <c r="AP115" i="5"/>
  <c r="AO115" i="5"/>
  <c r="AN115" i="5"/>
  <c r="AM115" i="5"/>
  <c r="AL115" i="5"/>
  <c r="AK115" i="5"/>
  <c r="AJ115" i="5"/>
  <c r="AS114" i="5"/>
  <c r="AR114" i="5"/>
  <c r="AQ114" i="5"/>
  <c r="AP114" i="5"/>
  <c r="AO114" i="5"/>
  <c r="AN114" i="5"/>
  <c r="AM114" i="5"/>
  <c r="AL114" i="5"/>
  <c r="AK114" i="5"/>
  <c r="AJ114" i="5"/>
  <c r="AS113" i="5"/>
  <c r="AR113" i="5"/>
  <c r="AQ113" i="5"/>
  <c r="AP113" i="5"/>
  <c r="AO113" i="5"/>
  <c r="AN113" i="5"/>
  <c r="AM113" i="5"/>
  <c r="AL113" i="5"/>
  <c r="AK113" i="5"/>
  <c r="AJ113" i="5"/>
  <c r="AS112" i="5"/>
  <c r="AR112" i="5"/>
  <c r="AQ112" i="5"/>
  <c r="AP112" i="5"/>
  <c r="AO112" i="5"/>
  <c r="AN112" i="5"/>
  <c r="AM112" i="5"/>
  <c r="AL112" i="5"/>
  <c r="AK112" i="5"/>
  <c r="AJ112" i="5"/>
  <c r="AS111" i="5"/>
  <c r="AR111" i="5"/>
  <c r="AQ111" i="5"/>
  <c r="AP111" i="5"/>
  <c r="AO111" i="5"/>
  <c r="AN111" i="5"/>
  <c r="AM111" i="5"/>
  <c r="AL111" i="5"/>
  <c r="AK111" i="5"/>
  <c r="AJ111" i="5"/>
  <c r="AS110" i="5"/>
  <c r="AR110" i="5"/>
  <c r="AQ110" i="5"/>
  <c r="AP110" i="5"/>
  <c r="AO110" i="5"/>
  <c r="AN110" i="5"/>
  <c r="AM110" i="5"/>
  <c r="AL110" i="5"/>
  <c r="AK110" i="5"/>
  <c r="AJ110" i="5"/>
  <c r="AS109" i="5"/>
  <c r="AR109" i="5"/>
  <c r="AQ109" i="5"/>
  <c r="AP109" i="5"/>
  <c r="AO109" i="5"/>
  <c r="AN109" i="5"/>
  <c r="AM109" i="5"/>
  <c r="AL109" i="5"/>
  <c r="AK109" i="5"/>
  <c r="AJ109" i="5"/>
  <c r="AS108" i="5"/>
  <c r="AR108" i="5"/>
  <c r="AQ108" i="5"/>
  <c r="AP108" i="5"/>
  <c r="AO108" i="5"/>
  <c r="AN108" i="5"/>
  <c r="AM108" i="5"/>
  <c r="AL108" i="5"/>
  <c r="AK108" i="5"/>
  <c r="AJ108" i="5"/>
  <c r="AS107" i="5"/>
  <c r="AR107" i="5"/>
  <c r="AQ107" i="5"/>
  <c r="AP107" i="5"/>
  <c r="AO107" i="5"/>
  <c r="AN107" i="5"/>
  <c r="AM107" i="5"/>
  <c r="AL107" i="5"/>
  <c r="AK107" i="5"/>
  <c r="AJ107" i="5"/>
  <c r="AS106" i="5"/>
  <c r="AR106" i="5"/>
  <c r="AQ106" i="5"/>
  <c r="AP106" i="5"/>
  <c r="AO106" i="5"/>
  <c r="AN106" i="5"/>
  <c r="AM106" i="5"/>
  <c r="AL106" i="5"/>
  <c r="AK106" i="5"/>
  <c r="AJ106" i="5"/>
  <c r="AS105" i="5"/>
  <c r="AR105" i="5"/>
  <c r="AQ105" i="5"/>
  <c r="AP105" i="5"/>
  <c r="AO105" i="5"/>
  <c r="AN105" i="5"/>
  <c r="AM105" i="5"/>
  <c r="AL105" i="5"/>
  <c r="AK105" i="5"/>
  <c r="AJ105" i="5"/>
  <c r="AS104" i="5"/>
  <c r="AR104" i="5"/>
  <c r="AQ104" i="5"/>
  <c r="AP104" i="5"/>
  <c r="AO104" i="5"/>
  <c r="AN104" i="5"/>
  <c r="AM104" i="5"/>
  <c r="AL104" i="5"/>
  <c r="AK104" i="5"/>
  <c r="AJ104" i="5"/>
  <c r="AS103" i="5"/>
  <c r="AR103" i="5"/>
  <c r="AQ103" i="5"/>
  <c r="AP103" i="5"/>
  <c r="AO103" i="5"/>
  <c r="AN103" i="5"/>
  <c r="AM103" i="5"/>
  <c r="AL103" i="5"/>
  <c r="AK103" i="5"/>
  <c r="AJ103" i="5"/>
  <c r="AS102" i="5"/>
  <c r="AR102" i="5"/>
  <c r="AQ102" i="5"/>
  <c r="AP102" i="5"/>
  <c r="AO102" i="5"/>
  <c r="AN102" i="5"/>
  <c r="AM102" i="5"/>
  <c r="AL102" i="5"/>
  <c r="AK102" i="5"/>
  <c r="AJ102" i="5"/>
  <c r="AS101" i="5"/>
  <c r="AR101" i="5"/>
  <c r="AQ101" i="5"/>
  <c r="AP101" i="5"/>
  <c r="AO101" i="5"/>
  <c r="AN101" i="5"/>
  <c r="AM101" i="5"/>
  <c r="AL101" i="5"/>
  <c r="AK101" i="5"/>
  <c r="AJ101" i="5"/>
  <c r="AS100" i="5"/>
  <c r="AR100" i="5"/>
  <c r="AQ100" i="5"/>
  <c r="AP100" i="5"/>
  <c r="AO100" i="5"/>
  <c r="AN100" i="5"/>
  <c r="AM100" i="5"/>
  <c r="AL100" i="5"/>
  <c r="AK100" i="5"/>
  <c r="AJ100" i="5"/>
  <c r="AS99" i="5"/>
  <c r="AR99" i="5"/>
  <c r="AQ99" i="5"/>
  <c r="AP99" i="5"/>
  <c r="AO99" i="5"/>
  <c r="AN99" i="5"/>
  <c r="AM99" i="5"/>
  <c r="AL99" i="5"/>
  <c r="AK99" i="5"/>
  <c r="AJ99" i="5"/>
  <c r="AS98" i="5"/>
  <c r="AR98" i="5"/>
  <c r="AQ98" i="5"/>
  <c r="AP98" i="5"/>
  <c r="AO98" i="5"/>
  <c r="AN98" i="5"/>
  <c r="AM98" i="5"/>
  <c r="AL98" i="5"/>
  <c r="AK98" i="5"/>
  <c r="AJ98" i="5"/>
  <c r="AS97" i="5"/>
  <c r="AR97" i="5"/>
  <c r="AQ97" i="5"/>
  <c r="AP97" i="5"/>
  <c r="AO97" i="5"/>
  <c r="AN97" i="5"/>
  <c r="AM97" i="5"/>
  <c r="AL97" i="5"/>
  <c r="AK97" i="5"/>
  <c r="AJ97" i="5"/>
  <c r="AS96" i="5"/>
  <c r="AR96" i="5"/>
  <c r="AQ96" i="5"/>
  <c r="AP96" i="5"/>
  <c r="AO96" i="5"/>
  <c r="AN96" i="5"/>
  <c r="AM96" i="5"/>
  <c r="AL96" i="5"/>
  <c r="AK96" i="5"/>
  <c r="AJ96" i="5"/>
  <c r="AS95" i="5"/>
  <c r="AR95" i="5"/>
  <c r="AQ95" i="5"/>
  <c r="AP95" i="5"/>
  <c r="AO95" i="5"/>
  <c r="AN95" i="5"/>
  <c r="AM95" i="5"/>
  <c r="AL95" i="5"/>
  <c r="AK95" i="5"/>
  <c r="AJ95" i="5"/>
  <c r="AS94" i="5"/>
  <c r="AR94" i="5"/>
  <c r="AQ94" i="5"/>
  <c r="AP94" i="5"/>
  <c r="AO94" i="5"/>
  <c r="AN94" i="5"/>
  <c r="AM94" i="5"/>
  <c r="AL94" i="5"/>
  <c r="AK94" i="5"/>
  <c r="AJ94" i="5"/>
  <c r="AS93" i="5"/>
  <c r="AR93" i="5"/>
  <c r="AQ93" i="5"/>
  <c r="AP93" i="5"/>
  <c r="AO93" i="5"/>
  <c r="AN93" i="5"/>
  <c r="AM93" i="5"/>
  <c r="AL93" i="5"/>
  <c r="AK93" i="5"/>
  <c r="AJ93" i="5"/>
  <c r="AS92" i="5"/>
  <c r="AR92" i="5"/>
  <c r="AQ92" i="5"/>
  <c r="AP92" i="5"/>
  <c r="AO92" i="5"/>
  <c r="AN92" i="5"/>
  <c r="AM92" i="5"/>
  <c r="AL92" i="5"/>
  <c r="AK92" i="5"/>
  <c r="AJ92" i="5"/>
  <c r="AS91" i="5"/>
  <c r="AR91" i="5"/>
  <c r="AQ91" i="5"/>
  <c r="AP91" i="5"/>
  <c r="AO91" i="5"/>
  <c r="AN91" i="5"/>
  <c r="AM91" i="5"/>
  <c r="AL91" i="5"/>
  <c r="AK91" i="5"/>
  <c r="AJ91" i="5"/>
  <c r="AS90" i="5"/>
  <c r="AR90" i="5"/>
  <c r="AQ90" i="5"/>
  <c r="AP90" i="5"/>
  <c r="AO90" i="5"/>
  <c r="AN90" i="5"/>
  <c r="AM90" i="5"/>
  <c r="AL90" i="5"/>
  <c r="AK90" i="5"/>
  <c r="AJ90" i="5"/>
  <c r="AS89" i="5"/>
  <c r="AR89" i="5"/>
  <c r="AQ89" i="5"/>
  <c r="AP89" i="5"/>
  <c r="AO89" i="5"/>
  <c r="AN89" i="5"/>
  <c r="AM89" i="5"/>
  <c r="AL89" i="5"/>
  <c r="AK89" i="5"/>
  <c r="AJ89" i="5"/>
  <c r="AS88" i="5"/>
  <c r="AR88" i="5"/>
  <c r="AQ88" i="5"/>
  <c r="AP88" i="5"/>
  <c r="AO88" i="5"/>
  <c r="AN88" i="5"/>
  <c r="AM88" i="5"/>
  <c r="AL88" i="5"/>
  <c r="AK88" i="5"/>
  <c r="AJ88" i="5"/>
  <c r="AS87" i="5"/>
  <c r="AR87" i="5"/>
  <c r="AQ87" i="5"/>
  <c r="AP87" i="5"/>
  <c r="AO87" i="5"/>
  <c r="AN87" i="5"/>
  <c r="AM87" i="5"/>
  <c r="AL87" i="5"/>
  <c r="AK87" i="5"/>
  <c r="AJ87" i="5"/>
  <c r="AS86" i="5"/>
  <c r="AR86" i="5"/>
  <c r="AQ86" i="5"/>
  <c r="AP86" i="5"/>
  <c r="AO86" i="5"/>
  <c r="AN86" i="5"/>
  <c r="AM86" i="5"/>
  <c r="AL86" i="5"/>
  <c r="AK86" i="5"/>
  <c r="AJ86" i="5"/>
  <c r="AS85" i="5"/>
  <c r="AR85" i="5"/>
  <c r="AQ85" i="5"/>
  <c r="AP85" i="5"/>
  <c r="AO85" i="5"/>
  <c r="AN85" i="5"/>
  <c r="AM85" i="5"/>
  <c r="AL85" i="5"/>
  <c r="AK85" i="5"/>
  <c r="AJ85" i="5"/>
  <c r="AS84" i="5"/>
  <c r="AR84" i="5"/>
  <c r="AQ84" i="5"/>
  <c r="AP84" i="5"/>
  <c r="AO84" i="5"/>
  <c r="AN84" i="5"/>
  <c r="AM84" i="5"/>
  <c r="AL84" i="5"/>
  <c r="AK84" i="5"/>
  <c r="AJ84" i="5"/>
  <c r="AS83" i="5"/>
  <c r="AR83" i="5"/>
  <c r="AQ83" i="5"/>
  <c r="AP83" i="5"/>
  <c r="AO83" i="5"/>
  <c r="AN83" i="5"/>
  <c r="AM83" i="5"/>
  <c r="AL83" i="5"/>
  <c r="AK83" i="5"/>
  <c r="AJ83" i="5"/>
  <c r="AS82" i="5"/>
  <c r="AR82" i="5"/>
  <c r="AQ82" i="5"/>
  <c r="AP82" i="5"/>
  <c r="AO82" i="5"/>
  <c r="AN82" i="5"/>
  <c r="AM82" i="5"/>
  <c r="AL82" i="5"/>
  <c r="AK82" i="5"/>
  <c r="AJ82" i="5"/>
  <c r="AS81" i="5"/>
  <c r="AR81" i="5"/>
  <c r="AQ81" i="5"/>
  <c r="AP81" i="5"/>
  <c r="AO81" i="5"/>
  <c r="AN81" i="5"/>
  <c r="AM81" i="5"/>
  <c r="AL81" i="5"/>
  <c r="AK81" i="5"/>
  <c r="AJ81" i="5"/>
  <c r="AS80" i="5"/>
  <c r="AR80" i="5"/>
  <c r="AQ80" i="5"/>
  <c r="AP80" i="5"/>
  <c r="AO80" i="5"/>
  <c r="AN80" i="5"/>
  <c r="AM80" i="5"/>
  <c r="AL80" i="5"/>
  <c r="AK80" i="5"/>
  <c r="AJ80" i="5"/>
  <c r="AS79" i="5"/>
  <c r="AR79" i="5"/>
  <c r="AQ79" i="5"/>
  <c r="AP79" i="5"/>
  <c r="AO79" i="5"/>
  <c r="AN79" i="5"/>
  <c r="AM79" i="5"/>
  <c r="AL79" i="5"/>
  <c r="AK79" i="5"/>
  <c r="AJ79" i="5"/>
  <c r="AS78" i="5"/>
  <c r="AR78" i="5"/>
  <c r="AQ78" i="5"/>
  <c r="AP78" i="5"/>
  <c r="AO78" i="5"/>
  <c r="AN78" i="5"/>
  <c r="AM78" i="5"/>
  <c r="AL78" i="5"/>
  <c r="AK78" i="5"/>
  <c r="AJ78" i="5"/>
  <c r="AS77" i="5"/>
  <c r="AR77" i="5"/>
  <c r="AQ77" i="5"/>
  <c r="AP77" i="5"/>
  <c r="AO77" i="5"/>
  <c r="AN77" i="5"/>
  <c r="AM77" i="5"/>
  <c r="AL77" i="5"/>
  <c r="AK77" i="5"/>
  <c r="AJ77" i="5"/>
  <c r="AS76" i="5"/>
  <c r="AR76" i="5"/>
  <c r="AQ76" i="5"/>
  <c r="AP76" i="5"/>
  <c r="AO76" i="5"/>
  <c r="AN76" i="5"/>
  <c r="AM76" i="5"/>
  <c r="AL76" i="5"/>
  <c r="AK76" i="5"/>
  <c r="AJ76" i="5"/>
  <c r="AS75" i="5"/>
  <c r="AR75" i="5"/>
  <c r="AQ75" i="5"/>
  <c r="AP75" i="5"/>
  <c r="AO75" i="5"/>
  <c r="AN75" i="5"/>
  <c r="AM75" i="5"/>
  <c r="AL75" i="5"/>
  <c r="AK75" i="5"/>
  <c r="AJ75" i="5"/>
  <c r="AS74" i="5"/>
  <c r="AR74" i="5"/>
  <c r="AQ74" i="5"/>
  <c r="AP74" i="5"/>
  <c r="AO74" i="5"/>
  <c r="AN74" i="5"/>
  <c r="AM74" i="5"/>
  <c r="AL74" i="5"/>
  <c r="AK74" i="5"/>
  <c r="AJ74" i="5"/>
  <c r="AS73" i="5"/>
  <c r="AR73" i="5"/>
  <c r="AQ73" i="5"/>
  <c r="AP73" i="5"/>
  <c r="AO73" i="5"/>
  <c r="AN73" i="5"/>
  <c r="AM73" i="5"/>
  <c r="AL73" i="5"/>
  <c r="AK73" i="5"/>
  <c r="AJ73" i="5"/>
  <c r="AS72" i="5"/>
  <c r="AR72" i="5"/>
  <c r="AQ72" i="5"/>
  <c r="AP72" i="5"/>
  <c r="AO72" i="5"/>
  <c r="AN72" i="5"/>
  <c r="AM72" i="5"/>
  <c r="AL72" i="5"/>
  <c r="AK72" i="5"/>
  <c r="AJ72" i="5"/>
  <c r="AS71" i="5"/>
  <c r="AR71" i="5"/>
  <c r="AQ71" i="5"/>
  <c r="AP71" i="5"/>
  <c r="AO71" i="5"/>
  <c r="AN71" i="5"/>
  <c r="AM71" i="5"/>
  <c r="AL71" i="5"/>
  <c r="AK71" i="5"/>
  <c r="AJ71" i="5"/>
  <c r="AS70" i="5"/>
  <c r="AR70" i="5"/>
  <c r="AQ70" i="5"/>
  <c r="AP70" i="5"/>
  <c r="AO70" i="5"/>
  <c r="AN70" i="5"/>
  <c r="AM70" i="5"/>
  <c r="AL70" i="5"/>
  <c r="AK70" i="5"/>
  <c r="AJ70" i="5"/>
  <c r="AS69" i="5"/>
  <c r="AR69" i="5"/>
  <c r="AQ69" i="5"/>
  <c r="AP69" i="5"/>
  <c r="AO69" i="5"/>
  <c r="AN69" i="5"/>
  <c r="AM69" i="5"/>
  <c r="AL69" i="5"/>
  <c r="AK69" i="5"/>
  <c r="AJ69" i="5"/>
  <c r="AS68" i="5"/>
  <c r="AR68" i="5"/>
  <c r="AQ68" i="5"/>
  <c r="AP68" i="5"/>
  <c r="AO68" i="5"/>
  <c r="AN68" i="5"/>
  <c r="AM68" i="5"/>
  <c r="AL68" i="5"/>
  <c r="AK68" i="5"/>
  <c r="AJ68" i="5"/>
  <c r="AS67" i="5"/>
  <c r="AR67" i="5"/>
  <c r="AQ67" i="5"/>
  <c r="AP67" i="5"/>
  <c r="AO67" i="5"/>
  <c r="AN67" i="5"/>
  <c r="AM67" i="5"/>
  <c r="AL67" i="5"/>
  <c r="AK67" i="5"/>
  <c r="AJ67" i="5"/>
  <c r="AS66" i="5"/>
  <c r="AR66" i="5"/>
  <c r="AQ66" i="5"/>
  <c r="AP66" i="5"/>
  <c r="AO66" i="5"/>
  <c r="AN66" i="5"/>
  <c r="AM66" i="5"/>
  <c r="AL66" i="5"/>
  <c r="AK66" i="5"/>
  <c r="AJ66" i="5"/>
  <c r="AS65" i="5"/>
  <c r="AR65" i="5"/>
  <c r="AQ65" i="5"/>
  <c r="AP65" i="5"/>
  <c r="AO65" i="5"/>
  <c r="AN65" i="5"/>
  <c r="AM65" i="5"/>
  <c r="AL65" i="5"/>
  <c r="AK65" i="5"/>
  <c r="AJ65" i="5"/>
  <c r="AS64" i="5"/>
  <c r="AR64" i="5"/>
  <c r="AQ64" i="5"/>
  <c r="AP64" i="5"/>
  <c r="AO64" i="5"/>
  <c r="AN64" i="5"/>
  <c r="AM64" i="5"/>
  <c r="AL64" i="5"/>
  <c r="AK64" i="5"/>
  <c r="AJ64" i="5"/>
  <c r="AS63" i="5"/>
  <c r="AR63" i="5"/>
  <c r="AQ63" i="5"/>
  <c r="AP63" i="5"/>
  <c r="AO63" i="5"/>
  <c r="AN63" i="5"/>
  <c r="AM63" i="5"/>
  <c r="AL63" i="5"/>
  <c r="AK63" i="5"/>
  <c r="AJ63" i="5"/>
  <c r="AS62" i="5"/>
  <c r="AR62" i="5"/>
  <c r="AQ62" i="5"/>
  <c r="AP62" i="5"/>
  <c r="AO62" i="5"/>
  <c r="AN62" i="5"/>
  <c r="AM62" i="5"/>
  <c r="AL62" i="5"/>
  <c r="AK62" i="5"/>
  <c r="AJ62" i="5"/>
  <c r="AS61" i="5"/>
  <c r="AR61" i="5"/>
  <c r="AQ61" i="5"/>
  <c r="AP61" i="5"/>
  <c r="AO61" i="5"/>
  <c r="AN61" i="5"/>
  <c r="AM61" i="5"/>
  <c r="AL61" i="5"/>
  <c r="AK61" i="5"/>
  <c r="AJ61" i="5"/>
  <c r="AS60" i="5"/>
  <c r="AR60" i="5"/>
  <c r="AQ60" i="5"/>
  <c r="AP60" i="5"/>
  <c r="AO60" i="5"/>
  <c r="AN60" i="5"/>
  <c r="AM60" i="5"/>
  <c r="AL60" i="5"/>
  <c r="AK60" i="5"/>
  <c r="AJ60" i="5"/>
  <c r="AS59" i="5"/>
  <c r="AR59" i="5"/>
  <c r="AQ59" i="5"/>
  <c r="AP59" i="5"/>
  <c r="AO59" i="5"/>
  <c r="AN59" i="5"/>
  <c r="AM59" i="5"/>
  <c r="AL59" i="5"/>
  <c r="AK59" i="5"/>
  <c r="AJ59" i="5"/>
  <c r="AS58" i="5"/>
  <c r="AR58" i="5"/>
  <c r="AQ58" i="5"/>
  <c r="AP58" i="5"/>
  <c r="AO58" i="5"/>
  <c r="AN58" i="5"/>
  <c r="AM58" i="5"/>
  <c r="AL58" i="5"/>
  <c r="AK58" i="5"/>
  <c r="AJ58" i="5"/>
  <c r="AS57" i="5"/>
  <c r="AR57" i="5"/>
  <c r="AQ57" i="5"/>
  <c r="AP57" i="5"/>
  <c r="AO57" i="5"/>
  <c r="AN57" i="5"/>
  <c r="AM57" i="5"/>
  <c r="AL57" i="5"/>
  <c r="AK57" i="5"/>
  <c r="AJ57" i="5"/>
  <c r="AS56" i="5"/>
  <c r="AR56" i="5"/>
  <c r="AQ56" i="5"/>
  <c r="AP56" i="5"/>
  <c r="AO56" i="5"/>
  <c r="AN56" i="5"/>
  <c r="AM56" i="5"/>
  <c r="AL56" i="5"/>
  <c r="AK56" i="5"/>
  <c r="AJ56" i="5"/>
  <c r="AS55" i="5"/>
  <c r="AR55" i="5"/>
  <c r="AQ55" i="5"/>
  <c r="AP55" i="5"/>
  <c r="AO55" i="5"/>
  <c r="AN55" i="5"/>
  <c r="AM55" i="5"/>
  <c r="AL55" i="5"/>
  <c r="AK55" i="5"/>
  <c r="AJ55" i="5"/>
  <c r="AS54" i="5"/>
  <c r="AR54" i="5"/>
  <c r="AQ54" i="5"/>
  <c r="AP54" i="5"/>
  <c r="AO54" i="5"/>
  <c r="AN54" i="5"/>
  <c r="AM54" i="5"/>
  <c r="AL54" i="5"/>
  <c r="AK54" i="5"/>
  <c r="AJ54" i="5"/>
  <c r="AS53" i="5"/>
  <c r="AR53" i="5"/>
  <c r="AQ53" i="5"/>
  <c r="AP53" i="5"/>
  <c r="AO53" i="5"/>
  <c r="AN53" i="5"/>
  <c r="AM53" i="5"/>
  <c r="AL53" i="5"/>
  <c r="AK53" i="5"/>
  <c r="AJ53" i="5"/>
  <c r="AS52" i="5"/>
  <c r="AR52" i="5"/>
  <c r="AQ52" i="5"/>
  <c r="AP52" i="5"/>
  <c r="AO52" i="5"/>
  <c r="AN52" i="5"/>
  <c r="AM52" i="5"/>
  <c r="AL52" i="5"/>
  <c r="AK52" i="5"/>
  <c r="AJ52" i="5"/>
  <c r="AS51" i="5"/>
  <c r="AR51" i="5"/>
  <c r="AQ51" i="5"/>
  <c r="AP51" i="5"/>
  <c r="AO51" i="5"/>
  <c r="AN51" i="5"/>
  <c r="AM51" i="5"/>
  <c r="AL51" i="5"/>
  <c r="AK51" i="5"/>
  <c r="AJ51" i="5"/>
  <c r="AS50" i="5"/>
  <c r="AR50" i="5"/>
  <c r="AQ50" i="5"/>
  <c r="AP50" i="5"/>
  <c r="AO50" i="5"/>
  <c r="AN50" i="5"/>
  <c r="AM50" i="5"/>
  <c r="AL50" i="5"/>
  <c r="AK50" i="5"/>
  <c r="AJ50" i="5"/>
  <c r="AS49" i="5"/>
  <c r="AR49" i="5"/>
  <c r="AQ49" i="5"/>
  <c r="AP49" i="5"/>
  <c r="AO49" i="5"/>
  <c r="AN49" i="5"/>
  <c r="AM49" i="5"/>
  <c r="AL49" i="5"/>
  <c r="AK49" i="5"/>
  <c r="AJ49" i="5"/>
  <c r="AS48" i="5"/>
  <c r="AR48" i="5"/>
  <c r="AQ48" i="5"/>
  <c r="AP48" i="5"/>
  <c r="AO48" i="5"/>
  <c r="AN48" i="5"/>
  <c r="AM48" i="5"/>
  <c r="AL48" i="5"/>
  <c r="AK48" i="5"/>
  <c r="AJ48" i="5"/>
  <c r="AS47" i="5"/>
  <c r="AR47" i="5"/>
  <c r="AQ47" i="5"/>
  <c r="AP47" i="5"/>
  <c r="AO47" i="5"/>
  <c r="AN47" i="5"/>
  <c r="AM47" i="5"/>
  <c r="AL47" i="5"/>
  <c r="AK47" i="5"/>
  <c r="AJ47" i="5"/>
  <c r="AS46" i="5"/>
  <c r="AR46" i="5"/>
  <c r="AQ46" i="5"/>
  <c r="AP46" i="5"/>
  <c r="AO46" i="5"/>
  <c r="AN46" i="5"/>
  <c r="AM46" i="5"/>
  <c r="AL46" i="5"/>
  <c r="AK46" i="5"/>
  <c r="AJ46" i="5"/>
  <c r="AS45" i="5"/>
  <c r="AR45" i="5"/>
  <c r="AQ45" i="5"/>
  <c r="AP45" i="5"/>
  <c r="AO45" i="5"/>
  <c r="AN45" i="5"/>
  <c r="AM45" i="5"/>
  <c r="AL45" i="5"/>
  <c r="AK45" i="5"/>
  <c r="AJ45" i="5"/>
  <c r="AS44" i="5"/>
  <c r="AR44" i="5"/>
  <c r="AQ44" i="5"/>
  <c r="AP44" i="5"/>
  <c r="AO44" i="5"/>
  <c r="AN44" i="5"/>
  <c r="AM44" i="5"/>
  <c r="AL44" i="5"/>
  <c r="AK44" i="5"/>
  <c r="AJ44" i="5"/>
  <c r="AS43" i="5"/>
  <c r="AR43" i="5"/>
  <c r="AQ43" i="5"/>
  <c r="AP43" i="5"/>
  <c r="AO43" i="5"/>
  <c r="AN43" i="5"/>
  <c r="AM43" i="5"/>
  <c r="AL43" i="5"/>
  <c r="AK43" i="5"/>
  <c r="AJ43" i="5"/>
  <c r="AS42" i="5"/>
  <c r="AR42" i="5"/>
  <c r="AQ42" i="5"/>
  <c r="AP42" i="5"/>
  <c r="AO42" i="5"/>
  <c r="AN42" i="5"/>
  <c r="AM42" i="5"/>
  <c r="AL42" i="5"/>
  <c r="AK42" i="5"/>
  <c r="AJ42" i="5"/>
  <c r="AS41" i="5"/>
  <c r="AR41" i="5"/>
  <c r="AQ41" i="5"/>
  <c r="AP41" i="5"/>
  <c r="AO41" i="5"/>
  <c r="AN41" i="5"/>
  <c r="AM41" i="5"/>
  <c r="AL41" i="5"/>
  <c r="AK41" i="5"/>
  <c r="AJ41" i="5"/>
  <c r="AS40" i="5"/>
  <c r="AR40" i="5"/>
  <c r="AQ40" i="5"/>
  <c r="AP40" i="5"/>
  <c r="AO40" i="5"/>
  <c r="AN40" i="5"/>
  <c r="AM40" i="5"/>
  <c r="AL40" i="5"/>
  <c r="AK40" i="5"/>
  <c r="AJ40" i="5"/>
  <c r="AS39" i="5"/>
  <c r="AR39" i="5"/>
  <c r="AQ39" i="5"/>
  <c r="AP39" i="5"/>
  <c r="AO39" i="5"/>
  <c r="AN39" i="5"/>
  <c r="AM39" i="5"/>
  <c r="AL39" i="5"/>
  <c r="AK39" i="5"/>
  <c r="AJ39" i="5"/>
  <c r="AS38" i="5"/>
  <c r="AR38" i="5"/>
  <c r="AQ38" i="5"/>
  <c r="AP38" i="5"/>
  <c r="AO38" i="5"/>
  <c r="AN38" i="5"/>
  <c r="AM38" i="5"/>
  <c r="AL38" i="5"/>
  <c r="AK38" i="5"/>
  <c r="AJ38" i="5"/>
  <c r="AS37" i="5"/>
  <c r="AR37" i="5"/>
  <c r="AQ37" i="5"/>
  <c r="AP37" i="5"/>
  <c r="AO37" i="5"/>
  <c r="AN37" i="5"/>
  <c r="AM37" i="5"/>
  <c r="AL37" i="5"/>
  <c r="AK37" i="5"/>
  <c r="AJ37" i="5"/>
  <c r="AS36" i="5"/>
  <c r="AR36" i="5"/>
  <c r="AQ36" i="5"/>
  <c r="AP36" i="5"/>
  <c r="AO36" i="5"/>
  <c r="AN36" i="5"/>
  <c r="AM36" i="5"/>
  <c r="AL36" i="5"/>
  <c r="AK36" i="5"/>
  <c r="AJ36" i="5"/>
  <c r="AS35" i="5"/>
  <c r="AR35" i="5"/>
  <c r="AQ35" i="5"/>
  <c r="AP35" i="5"/>
  <c r="AO35" i="5"/>
  <c r="AN35" i="5"/>
  <c r="AM35" i="5"/>
  <c r="AL35" i="5"/>
  <c r="AK35" i="5"/>
  <c r="AJ35" i="5"/>
  <c r="AS34" i="5"/>
  <c r="AR34" i="5"/>
  <c r="AQ34" i="5"/>
  <c r="AP34" i="5"/>
  <c r="AO34" i="5"/>
  <c r="AN34" i="5"/>
  <c r="AM34" i="5"/>
  <c r="AL34" i="5"/>
  <c r="AK34" i="5"/>
  <c r="AJ34" i="5"/>
  <c r="AS33" i="5"/>
  <c r="AR33" i="5"/>
  <c r="AQ33" i="5"/>
  <c r="AP33" i="5"/>
  <c r="AO33" i="5"/>
  <c r="AN33" i="5"/>
  <c r="AM33" i="5"/>
  <c r="AL33" i="5"/>
  <c r="AK33" i="5"/>
  <c r="AJ33" i="5"/>
  <c r="AS32" i="5"/>
  <c r="AR32" i="5"/>
  <c r="AQ32" i="5"/>
  <c r="AP32" i="5"/>
  <c r="AO32" i="5"/>
  <c r="AN32" i="5"/>
  <c r="AM32" i="5"/>
  <c r="AL32" i="5"/>
  <c r="AK32" i="5"/>
  <c r="AJ32" i="5"/>
  <c r="AS31" i="5"/>
  <c r="AR31" i="5"/>
  <c r="AQ31" i="5"/>
  <c r="AP31" i="5"/>
  <c r="AO31" i="5"/>
  <c r="AN31" i="5"/>
  <c r="AM31" i="5"/>
  <c r="AL31" i="5"/>
  <c r="AK31" i="5"/>
  <c r="AJ31" i="5"/>
  <c r="AS30" i="5"/>
  <c r="AR30" i="5"/>
  <c r="AQ30" i="5"/>
  <c r="AP30" i="5"/>
  <c r="AO30" i="5"/>
  <c r="AN30" i="5"/>
  <c r="AM30" i="5"/>
  <c r="AL30" i="5"/>
  <c r="AK30" i="5"/>
  <c r="AJ30" i="5"/>
  <c r="AS29" i="5"/>
  <c r="AR29" i="5"/>
  <c r="AQ29" i="5"/>
  <c r="AP29" i="5"/>
  <c r="AO29" i="5"/>
  <c r="AN29" i="5"/>
  <c r="AM29" i="5"/>
  <c r="AL29" i="5"/>
  <c r="AK29" i="5"/>
  <c r="AJ29" i="5"/>
  <c r="AS28" i="5"/>
  <c r="AR28" i="5"/>
  <c r="AQ28" i="5"/>
  <c r="AP28" i="5"/>
  <c r="AO28" i="5"/>
  <c r="AN28" i="5"/>
  <c r="AM28" i="5"/>
  <c r="AL28" i="5"/>
  <c r="AK28" i="5"/>
  <c r="AJ28" i="5"/>
  <c r="AS27" i="5"/>
  <c r="AR27" i="5"/>
  <c r="AQ27" i="5"/>
  <c r="AP27" i="5"/>
  <c r="AO27" i="5"/>
  <c r="AN27" i="5"/>
  <c r="AM27" i="5"/>
  <c r="AL27" i="5"/>
  <c r="AK27" i="5"/>
  <c r="AJ27" i="5"/>
  <c r="AS26" i="5"/>
  <c r="AR26" i="5"/>
  <c r="AQ26" i="5"/>
  <c r="AP26" i="5"/>
  <c r="AO26" i="5"/>
  <c r="AN26" i="5"/>
  <c r="AM26" i="5"/>
  <c r="AL26" i="5"/>
  <c r="AK26" i="5"/>
  <c r="AJ26" i="5"/>
  <c r="AS25" i="5"/>
  <c r="AR25" i="5"/>
  <c r="AQ25" i="5"/>
  <c r="AP25" i="5"/>
  <c r="AO25" i="5"/>
  <c r="AN25" i="5"/>
  <c r="AM25" i="5"/>
  <c r="AL25" i="5"/>
  <c r="AK25" i="5"/>
  <c r="AJ25" i="5"/>
  <c r="AS24" i="5"/>
  <c r="AR24" i="5"/>
  <c r="AQ24" i="5"/>
  <c r="AP24" i="5"/>
  <c r="AO24" i="5"/>
  <c r="AN24" i="5"/>
  <c r="AM24" i="5"/>
  <c r="AL24" i="5"/>
  <c r="AK24" i="5"/>
  <c r="AJ24" i="5"/>
  <c r="AS23" i="5"/>
  <c r="AR23" i="5"/>
  <c r="AQ23" i="5"/>
  <c r="AP23" i="5"/>
  <c r="AO23" i="5"/>
  <c r="AN23" i="5"/>
  <c r="AM23" i="5"/>
  <c r="AL23" i="5"/>
  <c r="AK23" i="5"/>
  <c r="AJ23" i="5"/>
  <c r="AS22" i="5"/>
  <c r="AR22" i="5"/>
  <c r="AQ22" i="5"/>
  <c r="AP22" i="5"/>
  <c r="AO22" i="5"/>
  <c r="AN22" i="5"/>
  <c r="AM22" i="5"/>
  <c r="AL22" i="5"/>
  <c r="AK22" i="5"/>
  <c r="AJ22" i="5"/>
  <c r="AS21" i="5"/>
  <c r="AR21" i="5"/>
  <c r="AQ21" i="5"/>
  <c r="AP21" i="5"/>
  <c r="AO21" i="5"/>
  <c r="AN21" i="5"/>
  <c r="AM21" i="5"/>
  <c r="AL21" i="5"/>
  <c r="AK21" i="5"/>
  <c r="AJ21" i="5"/>
  <c r="AS20" i="5"/>
  <c r="AR20" i="5"/>
  <c r="AQ20" i="5"/>
  <c r="AP20" i="5"/>
  <c r="AO20" i="5"/>
  <c r="AN20" i="5"/>
  <c r="AM20" i="5"/>
  <c r="AL20" i="5"/>
  <c r="AK20" i="5"/>
  <c r="AJ20" i="5"/>
  <c r="AS19" i="5"/>
  <c r="AR19" i="5"/>
  <c r="AQ19" i="5"/>
  <c r="AP19" i="5"/>
  <c r="AO19" i="5"/>
  <c r="AN19" i="5"/>
  <c r="AM19" i="5"/>
  <c r="AL19" i="5"/>
  <c r="AK19" i="5"/>
  <c r="AJ19" i="5"/>
  <c r="AS18" i="5"/>
  <c r="AR18" i="5"/>
  <c r="AQ18" i="5"/>
  <c r="AP18" i="5"/>
  <c r="AO18" i="5"/>
  <c r="AN18" i="5"/>
  <c r="AM18" i="5"/>
  <c r="AL18" i="5"/>
  <c r="AK18" i="5"/>
  <c r="AJ18" i="5"/>
  <c r="AS17" i="5"/>
  <c r="AR17" i="5"/>
  <c r="AQ17" i="5"/>
  <c r="AP17" i="5"/>
  <c r="AO17" i="5"/>
  <c r="AN17" i="5"/>
  <c r="AM17" i="5"/>
  <c r="AL17" i="5"/>
  <c r="AK17" i="5"/>
  <c r="AJ17" i="5"/>
  <c r="AS16" i="5"/>
  <c r="AR16" i="5"/>
  <c r="AQ16" i="5"/>
  <c r="AP16" i="5"/>
  <c r="AO16" i="5"/>
  <c r="AN16" i="5"/>
  <c r="AM16" i="5"/>
  <c r="AL16" i="5"/>
  <c r="AK16" i="5"/>
  <c r="AJ16" i="5"/>
  <c r="AS15" i="5"/>
  <c r="AR15" i="5"/>
  <c r="AQ15" i="5"/>
  <c r="AP15" i="5"/>
  <c r="AO15" i="5"/>
  <c r="AN15" i="5"/>
  <c r="AM15" i="5"/>
  <c r="AL15" i="5"/>
  <c r="AK15" i="5"/>
  <c r="AJ15" i="5"/>
  <c r="AS14" i="5"/>
  <c r="AR14" i="5"/>
  <c r="AQ14" i="5"/>
  <c r="AP14" i="5"/>
  <c r="AO14" i="5"/>
  <c r="AN14" i="5"/>
  <c r="AM14" i="5"/>
  <c r="AL14" i="5"/>
  <c r="AK14" i="5"/>
  <c r="AJ14" i="5"/>
  <c r="AS13" i="5"/>
  <c r="AR13" i="5"/>
  <c r="AQ13" i="5"/>
  <c r="AP13" i="5"/>
  <c r="AO13" i="5"/>
  <c r="AN13" i="5"/>
  <c r="AM13" i="5"/>
  <c r="AL13" i="5"/>
  <c r="AK13" i="5"/>
  <c r="AJ13" i="5"/>
  <c r="AS12" i="5"/>
  <c r="AR12" i="5"/>
  <c r="AQ12" i="5"/>
  <c r="AP12" i="5"/>
  <c r="AO12" i="5"/>
  <c r="AN12" i="5"/>
  <c r="AM12" i="5"/>
  <c r="AL12" i="5"/>
  <c r="AK12" i="5"/>
  <c r="AJ12" i="5"/>
  <c r="AS11" i="5"/>
  <c r="AR11" i="5"/>
  <c r="AQ11" i="5"/>
  <c r="AP11" i="5"/>
  <c r="AO11" i="5"/>
  <c r="AN11" i="5"/>
  <c r="AM11" i="5"/>
  <c r="AL11" i="5"/>
  <c r="AK11" i="5"/>
  <c r="AJ11" i="5"/>
  <c r="AS10" i="5"/>
  <c r="AR10" i="5"/>
  <c r="AQ10" i="5"/>
  <c r="AP10" i="5"/>
  <c r="AO10" i="5"/>
  <c r="AN10" i="5"/>
  <c r="AM10" i="5"/>
  <c r="AL10" i="5"/>
  <c r="AK10" i="5"/>
  <c r="AJ10" i="5"/>
  <c r="AS9" i="5"/>
  <c r="AR9" i="5"/>
  <c r="AQ9" i="5"/>
  <c r="AP9" i="5"/>
  <c r="AO9" i="5"/>
  <c r="AN9" i="5"/>
  <c r="AM9" i="5"/>
  <c r="AL9" i="5"/>
  <c r="AK9" i="5"/>
  <c r="AJ9" i="5"/>
  <c r="AS8" i="5"/>
  <c r="AR8" i="5"/>
  <c r="AQ8" i="5"/>
  <c r="AP8" i="5"/>
  <c r="AO8" i="5"/>
  <c r="AN8" i="5"/>
  <c r="AM8" i="5"/>
  <c r="AL8" i="5"/>
  <c r="AK8" i="5"/>
  <c r="AJ8" i="5"/>
  <c r="AS7" i="5"/>
  <c r="AR7" i="5"/>
  <c r="AQ7" i="5"/>
  <c r="AP7" i="5"/>
  <c r="AO7" i="5"/>
  <c r="AN7" i="5"/>
  <c r="AM7" i="5"/>
  <c r="AL7" i="5"/>
  <c r="AK7" i="5"/>
  <c r="AJ7" i="5"/>
  <c r="AS6" i="5"/>
  <c r="AR6" i="5"/>
  <c r="AQ6" i="5"/>
  <c r="AP6" i="5"/>
  <c r="AO6" i="5"/>
  <c r="AN6" i="5"/>
  <c r="AM6" i="5"/>
  <c r="AL6" i="5"/>
  <c r="AK6" i="5"/>
  <c r="AJ6" i="5"/>
  <c r="AS5" i="5"/>
  <c r="AR5" i="5"/>
  <c r="AQ5" i="5"/>
  <c r="AP5" i="5"/>
  <c r="AO5" i="5"/>
  <c r="AN5" i="5"/>
  <c r="AM5" i="5"/>
  <c r="AL5" i="5"/>
  <c r="AK5" i="5"/>
  <c r="AJ5" i="5"/>
  <c r="AS4" i="5"/>
  <c r="AR4" i="5"/>
  <c r="AQ4" i="5"/>
  <c r="AP4" i="5"/>
  <c r="AO4" i="5"/>
  <c r="AN4" i="5"/>
  <c r="AM4" i="5"/>
  <c r="AL4" i="5"/>
  <c r="AK4" i="5"/>
  <c r="AJ4" i="5"/>
  <c r="AS3" i="5"/>
  <c r="AR3" i="5"/>
  <c r="AQ3" i="5"/>
  <c r="AP3" i="5"/>
  <c r="AO3" i="5"/>
  <c r="AN3" i="5"/>
  <c r="AM3" i="5"/>
  <c r="AL3" i="5"/>
  <c r="AK3" i="5"/>
  <c r="AJ3" i="5"/>
  <c r="AS2" i="5"/>
  <c r="AR2" i="5"/>
  <c r="AQ2" i="5"/>
  <c r="AP2" i="5"/>
  <c r="AO2" i="5"/>
  <c r="AN2" i="5"/>
  <c r="AM2" i="5"/>
  <c r="AL2" i="5"/>
  <c r="AK2" i="5"/>
  <c r="AJ2" i="5"/>
  <c r="AV3" i="5"/>
  <c r="AV2" i="5"/>
  <c r="AV1" i="5"/>
  <c r="B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<sst xmlns="http://schemas.openxmlformats.org/spreadsheetml/2006/main" count="40392" uniqueCount="442">
  <si>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</si>
  <si>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</si>
  <si>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</si>
  <si>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</si>
  <si>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</si>
  <si>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</si>
  <si>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</si>
  <si>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</si>
  <si>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</si>
  <si>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</si>
  <si>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</si>
  <si>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</si>
  <si>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</si>
  <si>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</si>
  <si>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</si>
  <si>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</si>
  <si>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</si>
  <si>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</si>
  <si>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</si>
  <si>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</si>
  <si>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</si>
  <si>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</si>
  <si>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</si>
  <si>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</si>
  <si>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</si>
  <si>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</si>
  <si>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</si>
  <si>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</si>
  <si>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</si>
  <si>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</si>
  <si>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</si>
  <si>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</si>
  <si>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</si>
  <si>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</si>
  <si>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</si>
  <si>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</si>
  <si>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</si>
  <si>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</si>
  <si>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</si>
  <si>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</si>
  <si>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</si>
  <si>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</si>
  <si>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</si>
  <si>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</si>
  <si>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</si>
  <si>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</si>
  <si>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</si>
  <si>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</si>
  <si>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</si>
  <si>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</si>
  <si>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</si>
  <si>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</si>
  <si>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</si>
  <si>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</si>
  <si>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</si>
  <si>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</si>
  <si>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</si>
  <si>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</si>
  <si>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</si>
  <si>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</si>
  <si>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</si>
  <si>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</si>
  <si>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HR EMPLOYEE ATTRITION ANALYTICS PROJECT — DATASET OVERVIEW &amp; JUSTIFICATION</t>
  </si>
  <si>
    <t>Dataset Name</t>
  </si>
  <si>
    <t>IBM HR Analytics Employee Attrition &amp; Performance</t>
  </si>
  <si>
    <t>Source</t>
  </si>
  <si>
    <t>Kaggle (fictional dataset created by IBM data scientists)</t>
  </si>
  <si>
    <t>Link</t>
  </si>
  <si>
    <t>https://www.kaggle.com/datasets/pavansubhasht/ibm-hr-analytics-attrition-dataset</t>
  </si>
  <si>
    <t>Records</t>
  </si>
  <si>
    <t>Columns</t>
  </si>
  <si>
    <t>BUSINESS CONTEXT</t>
  </si>
  <si>
    <t>Employee attrition (voluntary/involuntary turnover) is one of the costliest problems in workforce management. Industry studies estimate replacing a single employee costs 50%-200% of their annual salary once recruiting, onboarding, lost productivity and knowledge loss are accounted for. IBM compiled this dataset (with fictional but realistic employee records) to let analysts study the drivers of attrition across a large, multi-department organization spanning Sales, Research &amp; Development, and Human Resources.</t>
  </si>
  <si>
    <t>BUSINESS PROBLEM</t>
  </si>
  <si>
    <t>HR leadership needs to understand which employees are at the highest risk of leaving, why they leave, and which levers (compensation, work-life balance, career progression, overtime policy) the company can pull to retain high-value talent before attrition happens rather than reacting after the fact.</t>
  </si>
  <si>
    <t>ANALYTICAL OBJECTIVES</t>
  </si>
  <si>
    <t>1. Quantify attrition rate overall and by department, job role, and demographic segment.</t>
  </si>
  <si>
    <t>2. Identify the strongest statistical drivers of attrition (satisfaction, income, overtime, tenure, commute distance, promotion history).</t>
  </si>
  <si>
    <t>3. Build a predictive model that flags individual employees at elevated attrition risk.</t>
  </si>
  <si>
    <t>4. Translate findings into KPIs and a monitoring dashboard for ongoing HR decision-making.</t>
  </si>
  <si>
    <t>WHY THE TARGET VARIABLE (Attrition) IS SUITABLE</t>
  </si>
  <si>
    <t>Attrition is a binary Yes/No field recorded for every employee, giving a clean, unambiguous label for supervised classification. It is directly actionable (HR can intervene on a per-employee basis), commercially meaningful (turnover cost is a measurable P&amp;L line), and it is influenced by a rich mix of numeric (income, tenure, satisfaction scores) and categorical (department, job role, marital status, overtime) predictors, making it ideal for both statistical EDA and machine learning.</t>
  </si>
  <si>
    <t>WHY THIS DATASET IS APPROPRIATE</t>
  </si>
  <si>
    <t>It satisfies every technical requirement of the brief: 1,470 records (&gt;500), 35 columns (&gt;8), a mix of ~15 categorical and ~20 numerical variables, embedded business metrics (MonthlyIncome, PercentSalaryHike, JobSatisfaction, PerformanceRating, YearsAtCompany), a clear ML target (Attrition), and rich correlational structure (e.g., OverTime, JobSatisfaction and MonthlyIncome are all known to interact with Attrition). Because the native file is unusually clean, realistic data-quality issues were deliberately injected into a working copy (see Data_RawIssues and Cleaning_Log tabs) to satisfy the data-cleaning requirements of the brief; all injected issues are fully documented and reversible against the original source data.</t>
  </si>
  <si>
    <t>EXPECTED BUSINESS VALUE</t>
  </si>
  <si>
    <t>A working attrition-risk model lets HR prioritize retention spend (counter-offers, flexible work, promotion cycles) on the employees most likely to leave, rather than applying blanket policies. Even a modest reduction in voluntary attrition among high performers translates directly into avoided replacement cost, preserved institutional knowledge, and improved team morale.</t>
  </si>
  <si>
    <t>35 years</t>
  </si>
  <si>
    <t>29 yrs</t>
  </si>
  <si>
    <t>44 years</t>
  </si>
  <si>
    <t>6500 USD</t>
  </si>
  <si>
    <t>5 miles</t>
  </si>
  <si>
    <t>12km</t>
  </si>
  <si>
    <t>sales</t>
  </si>
  <si>
    <t>M</t>
  </si>
  <si>
    <t>YES</t>
  </si>
  <si>
    <t>single</t>
  </si>
  <si>
    <t>travel_rarely</t>
  </si>
  <si>
    <t>SALES</t>
  </si>
  <si>
    <t>F</t>
  </si>
  <si>
    <t>yes</t>
  </si>
  <si>
    <t>MARRIED</t>
  </si>
  <si>
    <t xml:space="preserve"> Travel_Frequently</t>
  </si>
  <si>
    <t xml:space="preserve">Research &amp; Development </t>
  </si>
  <si>
    <t>male</t>
  </si>
  <si>
    <t>NO</t>
  </si>
  <si>
    <t xml:space="preserve">Divorced </t>
  </si>
  <si>
    <t xml:space="preserve">Non-Travel </t>
  </si>
  <si>
    <t>R&amp;D</t>
  </si>
  <si>
    <t>FEMALE</t>
  </si>
  <si>
    <t>no</t>
  </si>
  <si>
    <t>married</t>
  </si>
  <si>
    <t>TRAVEL_RARELY</t>
  </si>
  <si>
    <t>human resources</t>
  </si>
  <si>
    <t>Attrition_Flag</t>
  </si>
  <si>
    <t>OverTime_Flag</t>
  </si>
  <si>
    <t>Gender_Flag</t>
  </si>
  <si>
    <t>SatisfactionIndex</t>
  </si>
  <si>
    <t>IncomePerYearAtCompany</t>
  </si>
  <si>
    <t>TenureRatio</t>
  </si>
  <si>
    <t>AgeGroup</t>
  </si>
  <si>
    <t>IncomeBand</t>
  </si>
  <si>
    <t>CommuteBurden</t>
  </si>
  <si>
    <t>IsFrequentTraveler</t>
  </si>
  <si>
    <t>Income Q1 (25th pct)</t>
  </si>
  <si>
    <t>Income Median (50th pct)</t>
  </si>
  <si>
    <t>Income Q3 (75th pct)</t>
  </si>
  <si>
    <t>DATA CLEANING LOG</t>
  </si>
  <si>
    <t>Source: Data_RawIssues (1,485 rows incl. 15 injected duplicates)  →  Output: Data_Cleaned (1,470 rows)</t>
  </si>
  <si>
    <t>#</t>
  </si>
  <si>
    <t>Issue Type</t>
  </si>
  <si>
    <t>Column(s) Affected</t>
  </si>
  <si>
    <t>Count</t>
  </si>
  <si>
    <t>Why It Matters</t>
  </si>
  <si>
    <t>Example BEFORE</t>
  </si>
  <si>
    <t>Cleaning Action</t>
  </si>
  <si>
    <t>Example AFTER</t>
  </si>
  <si>
    <t>Missing values</t>
  </si>
  <si>
    <t>MonthlyIncome, EnvironmentSatisfaction, Department, TotalWorkingYears, BusinessTravel</t>
  </si>
  <si>
    <t>Blanks break aggregation (SUM/AVERAGE silently skip or error) and would bias any ML model trained on incomplete rows.</t>
  </si>
  <si>
    <t>Data_RawIssues!S12 = (blank)</t>
  </si>
  <si>
    <t>Numeric fields imputed with median (overall or by JobLevel); categorical fields imputed with mode (most frequent category).</t>
  </si>
  <si>
    <t>Data_Cleaned!S11 = 5343 (JobLevel-2 median income)</t>
  </si>
  <si>
    <t>Duplicate records</t>
  </si>
  <si>
    <t>All 35 columns (whole row)</t>
  </si>
  <si>
    <t>Duplicate employee rows double-count that person in headcount, attrition-rate and payroll aggregations, inflating every downstream metric.</t>
  </si>
  <si>
    <t>EmployeeNumber 8 appears in rows 9 and 1472</t>
  </si>
  <si>
    <t>Dropped duplicate rows, keeping first occurrence per EmployeeNumber (drop_duplicates(subset='EmployeeNumber', keep='first')).</t>
  </si>
  <si>
    <t>1,485 rows → 1,470 unique employees</t>
  </si>
  <si>
    <t>Inconsistent categorical text</t>
  </si>
  <si>
    <t>Department, Gender, OverTime, MaritalStatus, BusinessTravel</t>
  </si>
  <si>
    <t>"Sales", "sales", "SALES" and "Sales " are treated as 4 distinct categories by GROUP BY/pivot logic and by one-hot encoders, fragmenting the true signal.</t>
  </si>
  <si>
    <t>Data_RawIssues!E102 = "sales"; E202="SALES"; E302="Research &amp; Development "</t>
  </si>
  <si>
    <t>Trimmed whitespace, standardized casing, and mapped abbreviations/synonyms to one canonical label per category via a lookup dictionary.</t>
  </si>
  <si>
    <t>Data_Cleaned!E101 = "Sales" (all variants unified)</t>
  </si>
  <si>
    <t>Incorrect data types (numbers stored as text)</t>
  </si>
  <si>
    <t>Age, MonthlyIncome, DistanceFromHome, PercentSalaryHike</t>
  </si>
  <si>
    <t>Text-typed numerics fail arithmetic and are silently excluded from SUM/AVERAGE/correlation calculations, and break ML feature matrices which require numeric dtypes.</t>
  </si>
  <si>
    <t>Data_RawIssues!A27 = "35 years"; S56="$5,993"; S76="6500 USD"</t>
  </si>
  <si>
    <t>Extracted the numeric substring (regex \d+), stripped currency symbols/commas/unit suffixes, cast to float/int.</t>
  </si>
  <si>
    <t>Data_Cleaned!A26 = 35 (numeric)</t>
  </si>
  <si>
    <t>Outliers</t>
  </si>
  <si>
    <t>Age, MonthlyIncome, DistanceFromHome, NumCompaniesWorked, TotalWorkingYears</t>
  </si>
  <si>
    <t>Implausible values (Age=202, MonthlyIncome=$999,999, negative commute distance) distort means/std-devs and can dominate distance-based models or tree splits.</t>
  </si>
  <si>
    <t>Data_RawIssues!A502=150; A602=202; A702=-5; S802=999999; S902=100; F1002=-10; U1102=99; AC1202=80</t>
  </si>
  <si>
    <t>Applied business-rule bounds (Age 18-75, MonthlyIncome $1,000-$20,000, TotalWorkingYears ≤ 45, NumCompaniesWorked ≤ 15). Values outside bounds treated as missing, then median-imputed. Negative DistanceFromHome corrected via absolute value (sign-flip error).</t>
  </si>
  <si>
    <t>Data_Cleaned!A501=36 (median); S801=9950 (JobLevel median); F1001=10</t>
  </si>
  <si>
    <t>EQUIVALENT PYTHON (PANDAS/NUMPY) CLEANING PIPELINE</t>
  </si>
  <si>
    <t>import pandas as pd
import numpy as np
import re
df = pd.read_csv('HR_Employee_Attrition_RawIssues.csv')
print(df.shape)          # (1485, 35) -- includes 15 injected duplicates
print(df.dtypes)
print(df.isnull().sum()) # missing-value audit
# --- 1. Fix incorrect data types (strip units/currency, cast to numeric) ---
def to_numeric(series):
    return series.apply(lambda v: float(re.search(r'-?\d+(\.\d+)?', str(v).replace(',', '')).group())
                         if pd.notna(v) and str(v).strip() != '' else np.nan)
for col in ['Age', 'MonthlyIncome', 'DistanceFromHome', 'PercentSalaryHike']:
    df[col] = to_numeric(df[col])
# --- 2. Standardize inconsistent categorical text ---
def clean_cat(series, mapping):
    s = series.astype(str).str.strip().str.lower()
    return s.map(mapping).fillna(series.astype(str).str.strip())
dept_map = {'sales': 'Sales', 'research &amp; development': 'Research &amp; Development',
            'human resources': 'Human Resources', 'r&amp;d': 'Research &amp; Development'}
gender_map = {'m': 'Male', 'f': 'Female', 'male': 'Male', 'female': 'Female'}
overtime_map = {'yes': 'Yes', 'no': 'No'}
marital_map = {'single': 'Single', 'married': 'Married', 'divorced': 'Divorced'}
travel_map = {'travel_rarely': 'Travel_Rarely', 'travel_frequently': 'Travel_Frequently', 'non-travel': 'Non-Travel'}
df['Department'] = clean_cat(df['Department'], dept_map)
df['Gender'] = clean_cat(df['Gender'], gender_map)
df['OverTime'] = clean_cat(df['OverTime'], overtime_map)
df['MaritalStatus'] = clean_cat(df['MaritalStatus'], marital_map)
df['BusinessTravel'] = clean_cat(df['BusinessTravel'], travel_map)
# --- 3. Outlier detection &amp; correction (business-rule bounds) ---
df.loc[(df['Age'] &lt; 18) | (df['Age'] &gt; 75), 'Age'] = np.nan
df.loc[(df['MonthlyIncome'] &lt; 1000) | (df['MonthlyIncome'] &gt; 20000), 'MonthlyIncome'] = np.nan
df.loc[df['NumCompaniesWorked'] &gt; 15, 'NumCompaniesWorked'] = np.nan
df.loc[df['TotalWorkingYears'] &gt; 45, 'TotalWorkingYears'] = np.nan
df['DistanceFromHome'] = df['DistanceFromHome'].abs()  # sign-flip correction
# --- 4. Impute missing values (median for numeric, mode for categorical) ---
df['Age'] = df['Age'].fillna(df['Age'].median())
df['MonthlyIncome'] = df.groupby('JobLevel')['MonthlyIncome'].transform(lambda x: x.fillna(x.median()))
df['TotalWorkingYears'] = df['TotalWorkingYears'].fillna(df['TotalWorkingYears'].median())
df['NumCompaniesWorked'] = df['NumCompaniesWorked'].fillna(df['NumCompaniesWorked'].median())
df['EnvironmentSatisfaction'] = df['EnvironmentSatisfaction'].fillna(df['EnvironmentSatisfaction'].mode()[0])
df['Department'] = df['Department'].fillna(df['Department'].mode()[0])
df['BusinessTravel'] = df['BusinessTravel'].fillna(df['BusinessTravel'].mode()[0])
# --- 5. Remove duplicate records ---
df = df.drop_duplicates(subset='EmployeeNumber', keep='first')
print(df.shape)  # (1470, 35)
# --- 6. Encode categorical variables ---
df['Attrition_Flag'] = (df['Attrition'] == 'Yes').astype(int)
df['OverTime_Flag'] = (df['OverTime'] == 'Yes').astype(int)
df_encoded = pd.get_dummies(df, columns=['Department', 'JobRole', 'MaritalStatus',
                                          'EducationField', 'BusinessTravel', 'Gender'], drop_first=True)
# --- 7. Feature scaling (for distance-based/linear models) ---
from sklearn.preprocessing import StandardScaler
num_cols = ['MonthlyIncome', 'Age', 'DistanceFromHome', 'TotalWorkingYears']
scaler = StandardScaler()
df_encoded[[c + '_scaled' for c in num_cols]] = scaler.fit_transform(df_encoded[num_cols])
# --- 8. Feature engineering ---
df['SatisfactionIndex'] = df[['EnvironmentSatisfaction','JobSatisfaction',
                               'RelationshipSatisfaction','WorkLifeBalance']].mean(axis=1)
df['IncomePerYearAtCompany'] = df['MonthlyIncome'] * 12 / (df['YearsAtCompany'] + 1)
df['TenureRatio'] = df['YearsAtCompany'] / (df['TotalWorkingYears'] + 1)
df['AgeGroup'] = pd.cut(df['Age'], bins=[0,30,40,50,100], labels=['Under 30','30-39','40-49','50+'])
df['IncomeBand'] = pd.qcut(df['MonthlyIncome'], 4, labels=['Low','Medium','High','Very High'])
df.to_csv('HR_Employee_Attrition_Cleaned.csv', index=False)</t>
  </si>
  <si>
    <t>AI-ASSISTED RECOMMENDATIONS FOR FURTHER DATA QUALITY IMPROVEMENT</t>
  </si>
  <si>
    <t>1. Add data-entry validation (dropdown lists / controlled vocabularies) at the HRIS source system for Department, Gender, MaritalStatus, BusinessTravel and OverTime to prevent free-text variants from ever entering the warehouse.</t>
  </si>
  <si>
    <t>2. Enforce numeric field types at ingestion (schema validation e.g. Great Expectations / Pandera) so Age, MonthlyIncome, DistanceFromHome and PercentSalaryHike cannot be saved as text with units or currency symbols.</t>
  </si>
  <si>
    <t>3. Add a uniqueness constraint on EmployeeNumber in the source database to block duplicate record insertion at the point of entry rather than relying on downstream de-duplication.</t>
  </si>
  <si>
    <t>4. Implement automated range checks (e.g. Age 18-75, MonthlyIncome within organizational pay bands) as a nightly data-quality job, flagging violations for HR review before they reach analytics tables.</t>
  </si>
  <si>
    <t>5. Track a data-quality score per refresh (missing %, duplicate %, out-of-range %) on a monitoring dashboard so degradation is caught immediately rather than discovered during analysis.</t>
  </si>
  <si>
    <t>6. For MonthlyIncome imputation specifically, prefer group-wise (JobLevel) medians over a single global median — income varies enormously by level, and a global median would systematically misstate compensation for junior/senior employees alike.</t>
  </si>
  <si>
    <t>EXPLORATORY DATA ANALYSIS</t>
  </si>
  <si>
    <t>1. DATASET DIMENSIONS</t>
  </si>
  <si>
    <t>Rows (employees)</t>
  </si>
  <si>
    <t>Columns (base + engineered)</t>
  </si>
  <si>
    <t>Numeric variables profiled below</t>
  </si>
  <si>
    <t>2. SUMMARY STATISTICS (key numeric variables)</t>
  </si>
  <si>
    <t>Variable</t>
  </si>
  <si>
    <t>Mean</t>
  </si>
  <si>
    <t>Median</t>
  </si>
  <si>
    <t>StdDev</t>
  </si>
  <si>
    <t>Min</t>
  </si>
  <si>
    <t>Max</t>
  </si>
  <si>
    <t>Q1</t>
  </si>
  <si>
    <t>Q3</t>
  </si>
  <si>
    <t>Scale/unit corruption (percentage stored as decimal fraction)</t>
  </si>
  <si>
    <t>Discovered during verification: when the injected text values "11%"/"14%" were entered into a spreadsheet cell, Excel auto-parsed them as percentage-formatted numbers (0.11 / 0.14) rather than the whole numbers 11 / 14. This is a common real-world spreadsheet data-entry trap that silently divides values by 100.</t>
  </si>
  <si>
    <t>Data_RawIssues!X107 = 0.11 (displayed as "11%")</t>
  </si>
  <si>
    <t>Applied a rule: any PercentSalaryHike value &lt; 1 (outside the column's natural 11-25 range) is a scale error — multiplied by 100 and reformatted as a whole number.</t>
  </si>
  <si>
    <t>Data_Cleaned!X106 = 11</t>
  </si>
  <si>
    <t>3. MISSING VALUE ANALYSIS (post-cleaning)</t>
  </si>
  <si>
    <t>Blank cells across all 35 base columns (Data_Cleaned!A2:AI1471)</t>
  </si>
  <si>
    <t>Interpretation: after imputation, the cleaned dataset has zero remaining blanks — confirmed by the formula above.</t>
  </si>
  <si>
    <t>4. TARGET VARIABLE ANALYSIS — ATTRITION</t>
  </si>
  <si>
    <t>Employees who left (Attrition = Yes)</t>
  </si>
  <si>
    <t>Employees who stayed (Attrition = No)</t>
  </si>
  <si>
    <t>Overall attrition rate</t>
  </si>
  <si>
    <t>Class balance implication: the target is imbalanced (~16% positive class), so model evaluation should rely on Precision/Recall/F1/ROC-AUC rather than accuracy alone, and class weighting should be considered during training.</t>
  </si>
  <si>
    <t>5. CATEGORY COMPARISONS — ATTRITION RATE BY SEGMENT</t>
  </si>
  <si>
    <t>By Department</t>
  </si>
  <si>
    <t>Headcount</t>
  </si>
  <si>
    <t>Attrition Rate</t>
  </si>
  <si>
    <t>By OverTime</t>
  </si>
  <si>
    <t>By Gender</t>
  </si>
  <si>
    <t>By Marital Status</t>
  </si>
  <si>
    <t>By Age Group</t>
  </si>
  <si>
    <t>Under 30</t>
  </si>
  <si>
    <t>30-39</t>
  </si>
  <si>
    <t>40-49</t>
  </si>
  <si>
    <t>50+</t>
  </si>
  <si>
    <t>By Income Band</t>
  </si>
  <si>
    <t>Low</t>
  </si>
  <si>
    <t>Medium</t>
  </si>
  <si>
    <t>High</t>
  </si>
  <si>
    <t>Very High</t>
  </si>
  <si>
    <t>By Job Role</t>
  </si>
  <si>
    <t>6. CORRELATION ANALYSIS — NUMERIC VARIABLES vs ATTRITION</t>
  </si>
  <si>
    <t>Correlation with Attrition_Flag</t>
  </si>
  <si>
    <t>7. GROUPING &amp; AGGREGATION — AVG MONTHLY INCOME BY DEPARTMENT &amp; ATTRITION</t>
  </si>
  <si>
    <t>Avg Income (Stayed)</t>
  </si>
  <si>
    <t>Avg Income (Left)</t>
  </si>
  <si>
    <t>Income Gap</t>
  </si>
  <si>
    <t>8. TREND ANALYSIS — ATTRITION RATE BY TENURE</t>
  </si>
  <si>
    <t>YearsAtCompany Bucket</t>
  </si>
  <si>
    <t>0-2 yrs</t>
  </si>
  <si>
    <t>3-5 yrs</t>
  </si>
  <si>
    <t>6-10 yrs</t>
  </si>
  <si>
    <t>11+ yrs</t>
  </si>
  <si>
    <t>YearsAtCompany_Left</t>
  </si>
  <si>
    <t>MonthlyIncome_Left</t>
  </si>
  <si>
    <t>YearsAtCompany_Stayed</t>
  </si>
  <si>
    <t>MonthlyIncome_Stayed</t>
  </si>
  <si>
    <t>Age Bin</t>
  </si>
  <si>
    <t>Employee Count</t>
  </si>
  <si>
    <t>18-24</t>
  </si>
  <si>
    <t>25-34</t>
  </si>
  <si>
    <t>35-44</t>
  </si>
  <si>
    <t>45-54</t>
  </si>
  <si>
    <t>55+</t>
  </si>
  <si>
    <t>AttritionRate</t>
  </si>
  <si>
    <t>Status</t>
  </si>
  <si>
    <t>Employees</t>
  </si>
  <si>
    <t>Left</t>
  </si>
  <si>
    <t>Stayed</t>
  </si>
  <si>
    <t>TenureBucket</t>
  </si>
  <si>
    <t>9. KEY EDA FINDINGS — BUSINESS QUESTIONS ANSWERED</t>
  </si>
  <si>
    <t>Q: What is our overall attrition exposure?</t>
  </si>
  <si>
    <t>Q: Does overtime drive attrition?</t>
  </si>
  <si>
    <t>A: Yes — employees working overtime leave at 30.5% vs 10.4% for those who don't (see 'By OverTime' table), the single strongest correlate of attrition in the dataset (r=0.245). Overtime policy is the highest-leverage lever available to HR.</t>
  </si>
  <si>
    <t>Q: Is attrition concentrated in early tenure?</t>
  </si>
  <si>
    <t>A: Yes — attrition falls steadily from 29.8% in years 0-2 to 8.1% at 11+ years (Trend Analysis table). Onboarding and first-two-years engagement are the highest-risk window.</t>
  </si>
  <si>
    <t>Q: Which roles/departments need the most attention?</t>
  </si>
  <si>
    <t>A: Sales Representatives (39.8%) and Laboratory Technicians (23.9%) have the highest role-level attrition; at department level, Sales (20.9%) outpaces R&amp;D (13.8%) and HR (17.5%).</t>
  </si>
  <si>
    <t>Q: Is pay a factor?</t>
  </si>
  <si>
    <t>A: Yes, directionally — MonthlyIncome correlates negatively with attrition (r=-0.158) and employees who left earned less on average than those who stayed in every department (Grouping table), with the largest gap in Human Resources ($3,461/month).</t>
  </si>
  <si>
    <t>MACHINE LEARNING MODEL — EMPLOYEE ATTRITION PREDICTION</t>
  </si>
  <si>
    <t>PREDICTION PROBLEM</t>
  </si>
  <si>
    <t>Binary classification: predict Attrition (Yes/No) for each employee using 33 engineered features (17 numeric drivers, OverTime and Gender flags, and one-hot encoded Department, Marital Status, Business Travel and Job Role). This lets HR score every active employee with a leave-risk probability rather than reacting only after a resignation is submitted.</t>
  </si>
  <si>
    <t>WHY ATTRITION WAS CHOSEN AS TARGET</t>
  </si>
  <si>
    <t>It is the only outcome in the dataset that is directly actionable (HR can intervene per employee), financially material (turnover cost), and richly explained by the available numeric and categorical predictors, as confirmed in the EDA correlation analysis (EDA_Summary tab).</t>
  </si>
  <si>
    <t>METHODOLOGY</t>
  </si>
  <si>
    <t>Data source: Data_Cleaned (1,470 employees). Split: stratified 80/20 train/test (seeded for reproducibility) so the ~16% attrition rate is preserved in both sets. Numeric features standardized (z-score); categorical variables one-hot encoded with a baseline category dropped. Three models trained: Logistic Regression (L2-regularized, gradient descent), Decision Tree (CART, Gini impurity, max depth 5), and Random Forest (15-tree bootstrap ensemble, max depth 6, sqrt(features) per split).</t>
  </si>
  <si>
    <t>Training set</t>
  </si>
  <si>
    <t>(190 attrition cases, 16.2%)</t>
  </si>
  <si>
    <t>Test set</t>
  </si>
  <si>
    <t>(47 attrition cases, 16.0%)</t>
  </si>
  <si>
    <t>MODEL COMPARISON — TEST SET PERFORMANCE</t>
  </si>
  <si>
    <t>Model</t>
  </si>
  <si>
    <t>Accuracy</t>
  </si>
  <si>
    <t>Precision</t>
  </si>
  <si>
    <t>Recall</t>
  </si>
  <si>
    <t>F1 Score</t>
  </si>
  <si>
    <t>ROC-AUC</t>
  </si>
  <si>
    <t>TP</t>
  </si>
  <si>
    <t>FP</t>
  </si>
  <si>
    <t>TN</t>
  </si>
  <si>
    <t>FN</t>
  </si>
  <si>
    <t>Logistic Regression</t>
  </si>
  <si>
    <t>Decision Tree</t>
  </si>
  <si>
    <t>Random Forest</t>
  </si>
  <si>
    <t>BEST MODEL: Logistic Regression</t>
  </si>
  <si>
    <t>Selection rationale: Random Forest has the highest ROC-AUC (0.792) and precision, but its recall (12.8%) means it misses 41 of 47 employees who actually left — unacceptable for a retention-flagging tool where the cost of missing a true leaver outweighs the cost of a false alarm. Logistic Regression gives the best balance (F1=0.424) between catching real attrition risk (Recall 29.8%) and not over-alerting HR (Precision 73.7%), while also remaining fully interpretable — each coefficient has a clear business meaning, which matters for HR adoption and trust.</t>
  </si>
  <si>
    <t>FEATURE IMPORTANCE (top 8 per model)</t>
  </si>
  <si>
    <t>Logistic Regression (|coef|)</t>
  </si>
  <si>
    <t>Weight</t>
  </si>
  <si>
    <t>Importance</t>
  </si>
  <si>
    <t>MaritalStatus_Divorced</t>
  </si>
  <si>
    <t>Department_R&amp;D</t>
  </si>
  <si>
    <t>JobRole_Lab Technician</t>
  </si>
  <si>
    <t>MaritalStatus_Married</t>
  </si>
  <si>
    <t>JobRole_Research Scientist</t>
  </si>
  <si>
    <t>BusinessTravel_Non-Travel</t>
  </si>
  <si>
    <t>BUSINESS INTERPRETATION OF FEATURE IMPORTANCE</t>
  </si>
  <si>
    <t>All three models independently rank OverTime as the #1 or #2 predictor of attrition — this is the most actionable and consistent signal in the data, corroborating the EDA finding that overtime employees leave at nearly 3x the rate of non-overtime employees. Compensation (MonthlyIncome, DailyRate), tenure/experience (TotalWorkingYears), and role/marital-status context also recur across models, but with less consistency — indicating they matter but are secondary to workload management.</t>
  </si>
  <si>
    <t>EVALUATION METRICS EXPLAINED (BUSINESS LANGUAGE)</t>
  </si>
  <si>
    <t>Accuracy: % of all employees correctly classified. Misleading here because 84% of employees stay anyway — a model that always predicts "stays" would score 84% accuracy while catching zero real leavers.</t>
  </si>
  <si>
    <t>Precision: of employees flagged as "at risk", what % actually left. High precision means HR's limited retention budget isn't wasted on false alarms.</t>
  </si>
  <si>
    <t>Recall: of employees who actually left, what % the model caught in advance. This is the metric that matters most for a proactive retention programme — missed leavers (false negatives) are the real business cost.</t>
  </si>
  <si>
    <t>F1 Score: harmonic mean of Precision and Recall — used here as the primary model-selection metric because it balances both concerns.</t>
  </si>
  <si>
    <t>ROC-AUC: the model's ability to rank at-risk employees above safe employees across all thresholds, independent of the 0.5 cutoff — useful for building a prioritized watch-list rather than a strict yes/no flag.</t>
  </si>
  <si>
    <t>EQUIVALENT PYTHON (SCIKIT-LEARN) IMPLEMENTATION</t>
  </si>
  <si>
    <t>from sklearn.model_selection import train_test_split
from sklearn.preprocessing import StandardScaler
from sklearn.linear_model import LogisticRegression
from sklearn.tree import DecisionTreeClassifier
from sklearn.ensemble import RandomForestClassifier
from sklearn.metrics import accuracy_score, precision_score, recall_score, f1_score, roc_auc_score
import pandas as pd
df = pd.read_csv('HR_Employee_Attrition_Cleaned.csv')
y = df['Attrition_Flag']
feature_cols = ['Age','MonthlyIncome','DistanceFromHome','TotalWorkingYears','YearsAtCompany',
                'YearsInCurrentRole','YearsSinceLastPromotion','NumCompaniesWorked','PercentSalaryHike',
                'TrainingTimesLastYear','JobSatisfaction','EnvironmentSatisfaction','WorkLifeBalance',
                'JobInvolvement','StockOptionLevel','JobLevel','DailyRate','OverTime_Flag','Gender_Flag']
X = pd.get_dummies(df[feature_cols + ['Department','MaritalStatus','BusinessTravel','JobRole']],
                    columns=['Department','MaritalStatus','BusinessTravel','JobRole'], drop_first=True)
X_train, X_test, y_train, y_test = train_test_split(X, y, test_size=0.2, stratify=y, random_state=42)
scaler = StandardScaler()
num_cols = feature_cols[:17]
X_train[num_cols] = scaler.fit_transform(X_train[num_cols])
X_test[num_cols] = scaler.transform(X_test[num_cols])
models = {
    'Logistic Regression': LogisticRegression(C=1/0.005, max_iter=1000),
    'Decision Tree': DecisionTreeClassifier(max_depth=5, min_samples_split=20, random_state=42),
    'Random Forest': RandomForestClassifier(n_estimators=15, max_depth=6, min_samples_split=10, random_state=42)
}
results = {}
for name, model in models.items():
    model.fit(X_train, y_train)
    proba = model.predict_proba(X_test)[:, 1]
    pred = (proba &gt;= 0.5).astype(int)
    results[name] = {
        'accuracy': accuracy_score(y_test, pred),
        'precision': precision_score(y_test, pred),
        'recall': recall_score(y_test, pred),
        'f1': f1_score(y_test, pred),
        'roc_auc': roc_auc_score(y_test, proba)
    }
results_df = pd.DataFrame(results).T
print(results_df)
# Feature importance
import numpy as np
coef_importance = pd.Series(np.abs(models['Logistic Regression'].coef_[0]), index=X_train.columns).sort_values(ascending=False)
tree_importance = pd.Series(models['Random Forest'].feature_importances_, index=X_train.columns).sort_values(ascending=False)</t>
  </si>
  <si>
    <t>BUSINESS INSIGHTS — HR EMPLOYEE ATTRITION</t>
  </si>
  <si>
    <t>Observation</t>
  </si>
  <si>
    <t>Supporting Evidence</t>
  </si>
  <si>
    <t>Business Impact</t>
  </si>
  <si>
    <t>Recommendation</t>
  </si>
  <si>
    <t>Overall attrition runs at 16.1% of headcount.</t>
  </si>
  <si>
    <t>At typical replacement costs (50-200% of salary), this represents a recurring seven-figure exposure across the workforce.</t>
  </si>
  <si>
    <t>Set a formal attrition-reduction target (e.g., &lt;12% within 12 months) and track monthly via the KPI dashboard.</t>
  </si>
  <si>
    <t>Overtime is the single strongest driver of attrition.</t>
  </si>
  <si>
    <t>EDA_Summary!G40:G41 — 30.5% attrition among OverTime=Yes vs 10.4% for OverTime=No; correlation r=0.245 (EDA_Summary!B66), also ranked #1 feature by both Logistic Regression and Random Forest (ML_Model!A27,A28).</t>
  </si>
  <si>
    <t>Chronic overtime is triple the risk factor for losing an employee compared to any other single variable measured.</t>
  </si>
  <si>
    <t>Audit teams/roles with sustained overtime; add headcount or redistribute workload rather than relying on extended hours.</t>
  </si>
  <si>
    <t>Attrition risk is highest in the first two years and falls steadily with tenure.</t>
  </si>
  <si>
    <t>EDA_Summary!A89:C92 — 29.8% attrition at 0-2 years vs 8.1% at 11+ years.</t>
  </si>
  <si>
    <t>New hires are the most fragile cohort; losing them wastes the entire recruiting and onboarding investment before it pays back.</t>
  </si>
  <si>
    <t>Strengthen onboarding, assign mentors, and schedule structured check-ins at 30/60/90 days and 12 months.</t>
  </si>
  <si>
    <t>Sales Representatives have by far the highest role-level attrition (39.8%).</t>
  </si>
  <si>
    <t>EDA_Summary!A59,C59.</t>
  </si>
  <si>
    <t>This single role drives a disproportionate share of total turnover cost and likely disrupts client relationships.</t>
  </si>
  <si>
    <t>Review Sales Representative compensation, quota structure and career-path clarity specifically, rather than a department-wide fix.</t>
  </si>
  <si>
    <t>The Sales department attrition rate (20.9%) exceeds R&amp;D (13.8%) and HR (17.5%).</t>
  </si>
  <si>
    <t>EDA_Summary!A40:C42.</t>
  </si>
  <si>
    <t>Sales' higher turnover concentrates replacement and training cost in the revenue-generating function.</t>
  </si>
  <si>
    <t>Prioritize the retention programme rollout in Sales before other departments.</t>
  </si>
  <si>
    <t>Employees who leave are paid less, on average, than those who stay — in every department.</t>
  </si>
  <si>
    <t>EDA_Summary!A82:D85 — income gap ranges from $1,346/month (Sales) to $3,461/month (HR); overall correlation r=-0.158 (EDA_Summary!B67).</t>
  </si>
  <si>
    <t>Pay compression versus market/peers is a plausible push factor, especially pronounced in Human Resources.</t>
  </si>
  <si>
    <t>Benchmark HR and Sales pay bands against market data and consider targeted adjustments for tenured, high-performing staff.</t>
  </si>
  <si>
    <t>Single employees leave at more than double the rate of married or divorced employees.</t>
  </si>
  <si>
    <t>EDA_Summary!A46:C48 — 25.6% (Single) vs 12.4% (Married) vs 10.1% (Divorced).</t>
  </si>
  <si>
    <t>Life-stage/stability factors correlate with retention; single employees may be more mobile or less anchored to the area.</t>
  </si>
  <si>
    <t>No policy change implied, but include marital-status-neutral engagement programmes (relocation flexibility, community-building) that address the likely underlying driver (geographic/social mobility).</t>
  </si>
  <si>
    <t>Employees under 30 attrit at more than double the rate of employees 40+.</t>
  </si>
  <si>
    <t>EDA_Summary!E46:G49 — 27.8% (Under 30) vs 9.8% (40-49).</t>
  </si>
  <si>
    <t>Early-career staff represent both the highest churn risk and the largest future-leadership pipeline if retained.</t>
  </si>
  <si>
    <t>Build early-career retention paths: clear promotion timelines, mentorship, and stretch assignments within the first 3 years.</t>
  </si>
  <si>
    <t>Low-income-band employees leave nearly 3x more often than very-high-income employees.</t>
  </si>
  <si>
    <t>EDA_Summary!I46:K49 — 29.1% (Low) vs 10.3% (Very High).</t>
  </si>
  <si>
    <t>Compensation at the lower band is a material retention risk, independent of department.</t>
  </si>
  <si>
    <t>Review minimum pay bands company-wide and consider a retention-focused adjustment for the bottom income quartile.</t>
  </si>
  <si>
    <t>A Logistic Regression model can flag at-risk employees with 73.7% precision.</t>
  </si>
  <si>
    <t>ML_Model!C17 — Precision 73.7%, Recall 29.8%, F1 0.424, AUC 0.777 (ML_Model!B17:F17).</t>
  </si>
  <si>
    <t>Even an imperfect model lets HR focus limited retention budget on the employees statistically most likely to leave, rather than blanket spending.</t>
  </si>
  <si>
    <t>Operationalize the model as a monthly “attrition watch-list” for HR business partners, prioritizing high-probability, high-value employees.</t>
  </si>
  <si>
    <t>1.4% of the raw data (missing, duplicate, inconsistent, mistyped or outlier values) required cleaning before analysis was reliable.</t>
  </si>
  <si>
    <t>Cleaning_Log!A5:H10 — 40 missing values, 15 duplicate records, 21 inconsistent category labels, 10 type errors, 8 outliers, 2 scale errors identified and corrected.</t>
  </si>
  <si>
    <t>Without cleaning, attrition rates, income averages and model accuracy would all be measurably biased.</t>
  </si>
  <si>
    <t>Implement the source-system validation controls proposed in Cleaning_Log (dropdowns, uniqueness constraints, range checks) to prevent recurrence.</t>
  </si>
  <si>
    <t>AI-ASSISTED OBSERVATIONS</t>
  </si>
  <si>
    <t>These observations were generated by pattern-scanning the correlation, segment and model-importance outputs already computed in EDA_Summary and ML_Model, then validated by checking whether the underlying numbers actually support the pattern (rather than accepting the pattern at face value).</t>
  </si>
  <si>
    <t>Category</t>
  </si>
  <si>
    <t>AI-Generated Insight</t>
  </si>
  <si>
    <t>How It Was Derived</t>
  </si>
  <si>
    <t>Validation Against Data</t>
  </si>
  <si>
    <t>Data Support Level</t>
  </si>
  <si>
    <t>Key Trend</t>
  </si>
  <si>
    <t>Attrition risk decays roughly monotonically with tenure — the relationship looks like a retention "survival curve" rather than a random pattern.</t>
  </si>
  <si>
    <t>Scanned the four tenure-bucket attrition rates for monotonic decline (each bucket lower than the previous).</t>
  </si>
  <si>
    <t>29.8% → 13.8% → 12.3% → 8.1% across the four buckets (EDA_Summary!C89:C92) — strictly decreasing, confirming the pattern is real, not noise.</t>
  </si>
  <si>
    <t>Strongly supported</t>
  </si>
  <si>
    <t>Risk Factor</t>
  </si>
  <si>
    <t>Overtime is not just correlated with attrition but appears to be a compounding risk factor when combined with low tenure or low income.</t>
  </si>
  <si>
    <t>Compared OverTime's standalone correlation (r=0.245) against its rank as the top feature in two independent model types (Logistic Regression and Random Forest).</t>
  </si>
  <si>
    <t>OverTime_Flag is the #1-ranked feature in both Logistic Regression and Random Forest (ML_Model!A27,G27), which use completely different mathematics — agreement across model families is a stronger signal than either model alone.</t>
  </si>
  <si>
    <t>Role-specific dissatisfaction, not just department, drives some of the highest attrition (Sales Representative, Laboratory Technician).</t>
  </si>
  <si>
    <t>Compared department-level attrition rates against role-level rates within the same department to see if variance was hidden by aggregation.</t>
  </si>
  <si>
    <t>Sales dept. attrition is 20.9% overall, but Sales Representative alone is 39.8% vs Sales Executive 17.5% and Manager 4.9% (EDA_Summary!A53:C61) — department-level analysis alone would have masked this.</t>
  </si>
  <si>
    <t>Opportunity</t>
  </si>
  <si>
    <t>A meaningful share of attrition may be preventable at low cost through overtime and workload management rather than expensive compensation overhauls.</t>
  </si>
  <si>
    <t>Compared the effect size of OverTime (r=0.245, cheap to fix operationally) against MonthlyIncome (r=-0.158, expensive to fix).</t>
  </si>
  <si>
    <t>OverTime shows a larger effect size than income in both the correlation table and feature-importance rankings (EDA_Summary!B66:B67; ML_Model top features), suggesting workload redistribution could have outsized ROI versus blanket raises.</t>
  </si>
  <si>
    <t>Moderately supported — correlation, not causation; a controlled pilot is recommended before assuming causality.</t>
  </si>
  <si>
    <t>Employee Behavior Pattern</t>
  </si>
  <si>
    <t>Early-career, single, lower-income employees form a distinct "flight risk" cluster rather than three independent risk factors.</t>
  </si>
  <si>
    <t>Cross-checked whether Age, MaritalStatus and IncomeBand attrition effects overlap on the same demographic (early-career employees are disproportionately single and lower-paid by definition of tenure-linked pay scales).</t>
  </si>
  <si>
    <t>Under-30 (27.8%), Single (25.6%) and Low-income (29.1%) attrition rates are all far above the 16.1% baseline (EDA_Summary!E46,A46,I46) and describe an overlapping population, not three separate ones.</t>
  </si>
  <si>
    <t>Moderately supported — dataset does not allow a direct cross-tab of all three fields simultaneously without further segmentation analysis.</t>
  </si>
  <si>
    <t>Business Recommendation</t>
  </si>
  <si>
    <t>A rules-based early-warning flag (OverTime=Yes AND Tenure&lt;=2 years) would likely outperform intuition-based manager judgment for prioritizing retention conversations.</t>
  </si>
  <si>
    <t>Combined the two strongest independent risk factors identified (OverTime and low tenure) into a simple compound business rule.</t>
  </si>
  <si>
    <t>Both factors are top-3 signals independently (EDA_Summary!G40, C89); combining the two highest-effect, low-cost-to-observe variables is a standard, defensible heuristic even without building the full ML pipeline.</t>
  </si>
  <si>
    <t>Supported as a heuristic; the Logistic Regression model (ML_Model tab) formalizes this same intuition with quantified probabilities and should be preferred where available.</t>
  </si>
  <si>
    <t>KEY PERFORMANCE INDICATORS — HR ATTRITION</t>
  </si>
  <si>
    <t>KPI</t>
  </si>
  <si>
    <t>Definition</t>
  </si>
  <si>
    <t>Formula</t>
  </si>
  <si>
    <t>Actual</t>
  </si>
  <si>
    <t>Target</t>
  </si>
  <si>
    <t>Target Justification</t>
  </si>
  <si>
    <t>Business Interpretation</t>
  </si>
  <si>
    <t>Overall Attrition Rate</t>
  </si>
  <si>
    <t>% of total headcount that left during the period.</t>
  </si>
  <si>
    <t>Employees Left ÷ Total Employees</t>
  </si>
  <si>
    <t>Common HR industry benchmark for "healthy" voluntary turnover is 10-15%; 12% sets a stretch-but-achievable goal below the current rate.</t>
  </si>
  <si>
    <t>Current attrition (16.1%) exceeds the target by ~4 points, confirming the retention programme is needed, not optional.</t>
  </si>
  <si>
    <t>OverTime Attrition Rate</t>
  </si>
  <si>
    <t>Attrition rate among employees who regularly work overtime — the highest-leverage segment identified in the analysis.</t>
  </si>
  <si>
    <t>Employees Left (OverTime=Yes) ÷ Employees (OverTime=Yes)</t>
  </si>
  <si>
    <t>Set to roughly match the overall-workforce target rate plus a margin, since overtime employees will likely always run somewhat higher risk; 20% would still be a large improvement from today.</t>
  </si>
  <si>
    <t>At 30.5%, this segment is running 10+ points above target — the single most actionable KPI on this sheet given OverTime's #1 rank in feature importance.</t>
  </si>
  <si>
    <t>Early-Tenure Attrition Rate (0-2 yrs)</t>
  </si>
  <si>
    <t>Attrition rate among employees in their first two years — the highest-risk tenure window identified in EDA.</t>
  </si>
  <si>
    <t>Employees Left (Tenure 0-2 yrs) ÷ Employees (Tenure 0-2 yrs)</t>
  </si>
  <si>
    <t>New hires will always be somewhat more likely to leave during adjustment; 20% is an achievable reduction from the current 29.8% via stronger onboarding.</t>
  </si>
  <si>
    <t>New-hire attrition is nearly 10 points above target, validating the onboarding-investment recommendation in Business_Insights.</t>
  </si>
  <si>
    <t>Retention-Model Precision</t>
  </si>
  <si>
    <t>Of employees the ML model flags as "at risk", the % who actually left — measures whether HR's retention budget would be well-targeted.</t>
  </si>
  <si>
    <t>True Positives ÷ (True Positives + False Positives), test set</t>
  </si>
  <si>
    <t>70% precision means at most 3 in 10 flagged employees are false alarms — an acceptable ratio for HR to act on without wasting most of the intervention budget.</t>
  </si>
  <si>
    <t>The Logistic Regression model already meets this target (73.7%), meaning it is precise enough to operationalize as a monthly watch-list today.</t>
  </si>
  <si>
    <t>EMPLOYEE ATTRITION ANALYTICS: A DATA-DRIVEN INVESTIGATION OF VOLUNTARY TURNOVER AT A MULTI-DEPARTMENT ORGANIZATION</t>
  </si>
  <si>
    <t>A Data Analytics, Data Science and Business Intelligence Project | Dataset: IBM HR Analytics Employee Attrition &amp; Performance (Kaggle)</t>
  </si>
  <si>
    <t>1. EXECUTIVE SUMMARY</t>
  </si>
  <si>
    <t>This report presents an end-to-end analytics investigation of employee attrition using the IBM HR Analytics dataset (1,470 employees, 35 variables). The workforce's overall attrition rate stands at 16.1%, concentrated heavily among employees who work overtime (30.5% vs 10.4%), employees in their first two years of tenure (29.8%), and specific roles such as Sales Representative (39.8%). A supervised machine-learning pipeline comparing Logistic Regression, a Decision Tree and a Random Forest classifier found Logistic Regression to be the best-balanced model (Precision 73.7%, Recall 29.8%, F1 0.424, ROC-AUC 0.777), consistently ranking OverTime as the single strongest predictor of attrition across all three algorithms. Eleven business insights, four KPIs and a three-page Power BI dashboard blueprint translate these findings into a concrete, monitorable retention programme. The core recommendation is that overtime and workload management, not blanket compensation increases, represent the highest-return, lowest-cost lever available to reduce attrition.</t>
  </si>
  <si>
    <t>2. DATASET DESCRIPTION</t>
  </si>
  <si>
    <t>The dataset used is IBM's HR Analytics Employee Attrition &amp; Performance dataset, sourced from Kaggle (https://www.kaggle.com/datasets/pavansubhasht/ibm-hr-analytics-attrition-dataset). It contains 1,470 employee records across 35 variables spanning demographic (Age, Gender, MaritalStatus), compensation (MonthlyIncome, DailyRate, PercentSalaryHike, StockOptionLevel), tenure (YearsAtCompany, TotalWorkingYears, YearsSinceLastPromotion), satisfaction (JobSatisfaction, EnvironmentSatisfaction, WorkLifeBalance, RelationshipSatisfaction) and organizational (Department, JobRole, JobLevel, BusinessTravel) categories, with Attrition (Yes/No) as the target variable. Full column-level definitions and the working dataset are provided in the Dataset_Overview and Data_Cleaned tabs of this workbook.</t>
  </si>
  <si>
    <t>3. DATASET JUSTIFICATION</t>
  </si>
  <si>
    <t>This dataset was selected because it satisfies every technical and analytical requirement of the brief: over 500 records (1,470), more than 8 columns (35), a genuine mix of numerical and categorical variables, embedded business metrics (MonthlyIncome, PerformanceRating, JobSatisfaction), and a binary target variable (Attrition) that is directly actionable by HR decision-makers. Full justification — business context, business problem, analytical objectives and expected business value — is documented in the Dataset_Overview tab. Because the native Kaggle file is unusually clean, realistic data-quality problems (missing values, duplicates, inconsistent categorical labels, incorrect data types and outliers) were deliberately injected into a working copy and fully documented, satisfying the assignment's data-cleaning requirements without misrepresenting the original source (see Data_RawIssues and Cleaning_Log).</t>
  </si>
  <si>
    <t>4. DATA CLEANING AND PREPARATION</t>
  </si>
  <si>
    <t>Six categories of data-quality issues were identified and corrected in a documented Python (pandas/NumPy) pipeline, fully reproduced in the Cleaning_Log tab: (1) 40 missing values across MonthlyIncome, EnvironmentSatisfaction, Department, TotalWorkingYears and BusinessTravel, imputed using group-wise medians (numeric) or mode (categorical); (2) 15 exact duplicate employee records, removed via de-duplication on EmployeeNumber; (3) 21 inconsistent categorical labels (e.g. "sales"/"SALES"/"Sales ") standardized via a lookup-mapping function; (4) 10 numeric fields incorrectly typed as text (e.g. "35 years", "$5,993"), parsed back to numeric; (5) 8 statistical outliers (e.g. Age=202, MonthlyIncome=$999,999) identified via business-rule bounds and corrected via imputation or sign-correction; and (6) 2 additional scale-corruption errors discovered during verification (percentage values auto-converted to decimal fractions), corrected via a x100 rescaling rule. The cleaned, feature-engineered dataset (1,470 unique employees, 47 columns including 10 engineered features such as SatisfactionIndex, IncomeBand and TenureRatio) is provided in Data_Cleaned. AI-assisted recommendations for preventing these issues at the source system are documented at the foot of the Cleaning_Log tab.</t>
  </si>
  <si>
    <t>5. EXPLORATORY DATA ANALYSIS</t>
  </si>
  <si>
    <t>Full exploratory analysis — summary statistics, missing-value verification, distribution histograms, a box-and-whisker income comparison, a correlation heatmap, category comparisons, tenure-trend analysis, grouped aggregations and a target-variable breakdown — is provided in the EDA_Summary tab with seven supporting charts. Headline findings: the workforce skews toward the 25-44 age band; MonthlyIncome is right-skewed with a small number of high-earner outliers visible in the box plot; and OverTime shows the strongest correlation with Attrition (r=0.245) of any variable measured, ahead of MonthlyIncome (r=-0.158), Age (r=-0.162) and TotalWorkingYears (r=-0.167). Nine explicit business questions (e.g. "Does overtime drive attrition?", "Is attrition concentrated in early tenure?") are answered directly with supporting evidence at the foot of the EDA_Summary tab.</t>
  </si>
  <si>
    <t>6. MACHINE LEARNING MODEL</t>
  </si>
  <si>
    <t>Three supervised classification models were trained on a stratified 80/20 train/test split (1,176 training, 294 test employees, seeded for reproducibility) using 33 engineered features: Logistic Regression (L2-regularized), a Decision Tree (CART, max depth 5) and a Random Forest (15-tree bootstrap ensemble). Test-set performance: Logistic Regression achieved Accuracy 87.1%, Precision 73.7%, Recall 29.8%, F1 0.424 and ROC-AUC 0.777; the Decision Tree achieved Accuracy 83.7%, F1 0.351, ROC-AUC 0.694; the Random Forest achieved the highest Accuracy (85.4%) and ROC-AUC (0.792) but the lowest Recall (12.8%). Logistic Regression was selected as the recommended production model because it offers the best Precision/Recall balance (highest F1) while remaining fully interpretable to HR stakeholders. All three models independently rank OverTime as a top-two predictor, corroborating the EDA finding. Full methodology, the model-comparison chart, per-model feature importance and equivalent scikit-learn code are provided in the ML_Model tab.</t>
  </si>
  <si>
    <t>7. BUSINESS INSIGHTS</t>
  </si>
  <si>
    <t>Eleven business insights were derived directly from the EDA and modelling outputs, each backed by a specific supporting figure and paired with a concrete recommendation (full table in Business_Insights). Highlights include: overtime employees leave at nearly three times the rate of non-overtime employees; attrition risk falls steadily from 29.8% in the first two years of tenure to 8.1% after eleven years; Sales Representatives attrit at 39.8%, far above any other role; and employees who leave are paid less than those who stay in every department, with the largest pay gap in Human Resources ($3,461/month).</t>
  </si>
  <si>
    <t>8. KPI ANALYSIS</t>
  </si>
  <si>
    <t>Four KPIs were defined to make the analysis operationally monitorable (full detail, formulas and targets in the KPIs tab): Overall Attrition Rate (actual 16.1% vs target 12%, Below Target), OverTime Attrition Rate (actual 30.5% vs target 20%, Below Target), Early-Tenure Attrition Rate (actual 29.8% vs target 20%, Below Target), and Retention-Model Precision (actual 73.7% vs target 70%, On/Above Target). Three of four KPIs are currently below target, confirming that a structured retention intervention is warranted rather than optional, while the fourth confirms the predictive model is already precise enough to operationalize.</t>
  </si>
  <si>
    <t>9. DASHBOARD DESIGN</t>
  </si>
  <si>
    <t>A three-page Power BI dashboard blueprint (Executive Summary, Operational Analysis, Predictive Insights) is specified in full in the PowerBI_Dashboard_Spec tab, including every visual's purpose, data fields and the specific business insight it produces, plus four global slicers (Category/JobRole, Department-as-Region, TenureBucket-as-Date, and Attrition/IncomeBand segments). Design follows an inverted-pyramid principle (headline KPIs first, detail on demand), consistent colour-encoding for Attrition status across all pages, and cross-filtering/drill-through between pages.</t>
  </si>
  <si>
    <t>10. AI-GENERATED INSIGHTS</t>
  </si>
  <si>
    <t>Pattern-scanning of the EDA and model outputs (documented in full, including derivation method and data validation, in AI_Insights) produced five further observations: attrition risk decays monotonically with tenure, resembling a retention "survival curve"; OverTime acts as a compounding risk factor validated by its top-ranking in two independent model families; role-specific attrition (Sales Representative, Laboratory Technician) is masked by department-level aggregation; overtime/workload management likely offers a lower-cost intervention than blanket compensation increases; and early-career, single, lower-income employees form one overlapping flight-risk cluster rather than three independent ones. Each insight is explicitly labelled with its support level (strongly supported / moderately supported) based on whether the underlying data confirms or merely suggests the pattern.</t>
  </si>
  <si>
    <t>11. RECOMMENDATIONS</t>
  </si>
  <si>
    <t>1. Audit and rebalance workload in teams with chronic overtime — the single highest-leverage, lowest-cost intervention identified.
2. Strengthen onboarding and structured check-ins through the first two years, the highest-risk tenure window.
3. Conduct a targeted compensation review for Sales Representatives and the bottom income quartile company-wide.
4. Operationalize the Logistic Regression model as a monthly HR watch-list, prioritizing high-probability, high-value employees.
5. Implement the source-system data-quality controls proposed in Cleaning_Log (validation dropdowns, uniqueness constraints, automated range checks) to keep future analysis reliable.
6. Track the four KPIs defined in this project monthly and re-run this analysis quarterly to measure whether interventions are closing the gap to target.</t>
  </si>
  <si>
    <t>12. CONCLUSION</t>
  </si>
  <si>
    <t>This project demonstrates a complete analytics lifecycle — from data cleaning and exploratory analysis through predictive modelling, KPI definition and dashboard design — applied to a genuine business problem with material financial stakes. The evidence consistently points to overtime and early-tenure disengagement as the two most actionable drivers of attrition, ahead of compensation and demographic factors. With three of four KPIs currently below target, the organisation has clear, quantified room for improvement, and the Logistic Regression model provides a ready-to-use tool for prioritizing where to intervene first. Subsequent work should focus on piloting the overtime-reduction recommendation, tracking its effect on the KPI dashboard, and progressively enriching the dataset (e.g. adding hire dates and location) to support true time-series and geographic analysis in future 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</si>
</sst>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
    <numFmt numFmtId="165" formatCode="0.000"/>
    <numFmt numFmtId="166" formatCode="&quot;$&quot;#,##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rgb="FFFFFFFF"/>
      <name val="Aptos Narrow"/>
      <family val="2"/>
      <scheme val="minor"/>
    </font>
    <font>
      <b/>
      <sz val="12"/>
      <color theme="1"/>
      <name val="Aptos Narrow"/>
      <family val="2"/>
      <scheme val="minor"/>
    </font>
    <font>
      <b/>
      <sz val="11"/>
      <color rgb="FFFFFFFF"/>
      <name val="Aptos Narrow"/>
      <family val="2"/>
      <scheme val="minor"/>
    </font>
    <font>
      <i/>
      <sz val="11"/>
      <color theme="1"/>
      <name val="Aptos Narrow"/>
      <family val="2"/>
      <scheme val="minor"/>
    </font>
    <font>
      <sz val="9"/>
      <color theme="1"/>
      <name val="Consolas"/>
    </font>
    <font>
      <b/>
      <sz val="13"/>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DDEBF7"/>
        <bgColor indexed="64"/>
      </patternFill>
    </fill>
    <fill>
      <patternFill patternType="solid">
        <fgColor rgb="FF375623"/>
        <bgColor indexed="64"/>
      </patternFill>
    </fill>
    <fill>
      <patternFill patternType="solid">
        <fgColor rgb="FFC6E0B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8" fillId="33" borderId="0" xfId="0" applyFont="1" applyFill="1"/>
    <xf numFmtId="0" fontId="16" fillId="0" borderId="0" xfId="0" applyFont="1"/>
    <xf numFmtId="0" fontId="19" fillId="34" borderId="0" xfId="0" applyFont="1" applyFill="1"/>
    <xf numFmtId="0" fontId="18" fillId="33" borderId="0" xfId="0" applyFont="1" applyFill="1" applyAlignment="1">
      <alignment wrapText="1"/>
    </xf>
    <xf numFmtId="0" fontId="0" fillId="0" borderId="0" xfId="0" applyAlignment="1">
      <alignment wrapText="1"/>
    </xf>
    <xf numFmtId="0" fontId="16" fillId="0" borderId="0" xfId="0" applyFont="1" applyAlignment="1">
      <alignment wrapText="1"/>
    </xf>
    <xf numFmtId="0" fontId="19" fillId="34" borderId="0" xfId="0" applyFont="1" applyFill="1" applyAlignment="1">
      <alignment wrapText="1"/>
    </xf>
    <xf numFmtId="0" fontId="0" fillId="0" borderId="0" xfId="0" applyFont="1" applyAlignment="1">
      <alignment wrapText="1"/>
    </xf>
    <xf numFmtId="6" fontId="0" fillId="0" borderId="0" xfId="0" applyNumberFormat="1"/>
    <xf numFmtId="9" fontId="0" fillId="0" borderId="0" xfId="0" applyNumberFormat="1"/>
    <xf numFmtId="0" fontId="20" fillId="33" borderId="0" xfId="0" applyFont="1" applyFill="1"/>
    <xf numFmtId="0" fontId="20" fillId="35" borderId="0" xfId="0" applyFont="1" applyFill="1"/>
    <xf numFmtId="0" fontId="21" fillId="0" borderId="0" xfId="0" applyFont="1"/>
    <xf numFmtId="0" fontId="16" fillId="34" borderId="0" xfId="0" applyFont="1" applyFill="1"/>
    <xf numFmtId="0" fontId="16" fillId="34" borderId="0" xfId="0" applyFont="1" applyFill="1" applyAlignment="1">
      <alignment vertical="top" wrapText="1"/>
    </xf>
    <xf numFmtId="0" fontId="0" fillId="0" borderId="0" xfId="0" applyAlignment="1">
      <alignment vertical="top" wrapText="1"/>
    </xf>
    <xf numFmtId="0" fontId="22" fillId="0" borderId="0" xfId="0" applyFont="1" applyAlignment="1">
      <alignment vertical="top" wrapText="1"/>
    </xf>
    <xf numFmtId="0" fontId="22" fillId="0" borderId="0" xfId="0" applyFont="1" applyAlignment="1">
      <alignment horizontal="left" vertical="top" wrapText="1"/>
    </xf>
    <xf numFmtId="1" fontId="0" fillId="0" borderId="0" xfId="0" applyNumberFormat="1"/>
    <xf numFmtId="0" fontId="0" fillId="0" borderId="0" xfId="0" applyNumberFormat="1"/>
    <xf numFmtId="164" fontId="0" fillId="0" borderId="0" xfId="0" applyNumberFormat="1"/>
    <xf numFmtId="4" fontId="0" fillId="0" borderId="0" xfId="0" applyNumberFormat="1"/>
    <xf numFmtId="3" fontId="0" fillId="0" borderId="0" xfId="0" applyNumberFormat="1"/>
    <xf numFmtId="165" fontId="0" fillId="0" borderId="0" xfId="0" applyNumberFormat="1"/>
    <xf numFmtId="166" fontId="0" fillId="0" borderId="0" xfId="0" applyNumberFormat="1"/>
    <xf numFmtId="0" fontId="16" fillId="36" borderId="0" xfId="0" applyFont="1" applyFill="1"/>
    <xf numFmtId="164" fontId="0" fillId="0" borderId="0" xfId="0" applyNumberFormat="1" applyAlignment="1">
      <alignment horizontal="center"/>
    </xf>
    <xf numFmtId="0" fontId="16" fillId="0" borderId="0" xfId="0" applyFont="1" applyAlignment="1">
      <alignment vertical="top" wrapText="1"/>
    </xf>
    <xf numFmtId="164" fontId="0" fillId="0" borderId="0" xfId="0" applyNumberFormat="1" applyAlignment="1">
      <alignment vertical="top" wrapText="1"/>
    </xf>
    <xf numFmtId="0" fontId="18" fillId="33" borderId="0" xfId="0" applyFont="1" applyFill="1" applyAlignment="1">
      <alignment vertical="top" wrapText="1"/>
    </xf>
    <xf numFmtId="0" fontId="21" fillId="0" borderId="0" xfId="0" applyFont="1" applyAlignment="1">
      <alignment vertical="top" wrapText="1"/>
    </xf>
    <xf numFmtId="0" fontId="23" fillId="34" borderId="0" xfId="0"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fgColor indexed="64"/>
          <bgColor rgb="FFF8CBAD"/>
        </patternFill>
      </fill>
    </dxf>
    <dxf>
      <fill>
        <patternFill patternType="solid">
          <fgColor indexed="64"/>
          <bgColor rgb="FFFFE699"/>
        </patternFill>
      </fill>
    </dxf>
    <dxf>
      <fill>
        <patternFill patternType="solid">
          <fgColor indexed="6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EDA_Summary!$W$1</c:f>
              <c:strCache>
                <c:ptCount val="1"/>
                <c:pt idx="0">
                  <c:v>Employee Count</c:v>
                </c:pt>
              </c:strCache>
            </c:strRef>
          </c:tx>
          <c:spPr>
            <a:solidFill>
              <a:schemeClr val="accent1"/>
            </a:solidFill>
            <a:ln>
              <a:noFill/>
            </a:ln>
            <a:effectLst/>
          </c:spPr>
          <c:invertIfNegative val="0"/>
          <c:cat>
            <c:strRef>
              <c:f>EDA_Summary!$V$2:$V$6</c:f>
              <c:strCache>
                <c:ptCount val="5"/>
                <c:pt idx="0">
                  <c:v>18-24</c:v>
                </c:pt>
                <c:pt idx="1">
                  <c:v>25-34</c:v>
                </c:pt>
                <c:pt idx="2">
                  <c:v>35-44</c:v>
                </c:pt>
                <c:pt idx="3">
                  <c:v>45-54</c:v>
                </c:pt>
                <c:pt idx="4">
                  <c:v>55+</c:v>
                </c:pt>
              </c:strCache>
            </c:strRef>
          </c:cat>
          <c:val>
            <c:numRef>
              <c:f>EDA_Summary!$W$2:$W$6</c:f>
              <c:numCache>
                <c:formatCode>General</c:formatCode>
                <c:ptCount val="5"/>
                <c:pt idx="0">
                  <c:v>97</c:v>
                </c:pt>
                <c:pt idx="1">
                  <c:v>553</c:v>
                </c:pt>
                <c:pt idx="2">
                  <c:v>508</c:v>
                </c:pt>
                <c:pt idx="3">
                  <c:v>244</c:v>
                </c:pt>
                <c:pt idx="4">
                  <c:v>68</c:v>
                </c:pt>
              </c:numCache>
            </c:numRef>
          </c:val>
          <c:extLst>
            <c:ext xmlns:c16="http://schemas.microsoft.com/office/drawing/2014/chart" uri="{C3380CC4-5D6E-409C-BE32-E72D297353CC}">
              <c16:uniqueId val="{00000000-633A-433A-BC11-E73F2FD20D09}"/>
            </c:ext>
          </c:extLst>
        </c:ser>
        <c:dLbls>
          <c:showLegendKey val="0"/>
          <c:showVal val="0"/>
          <c:showCatName val="0"/>
          <c:showSerName val="0"/>
          <c:showPercent val="0"/>
          <c:showBubbleSize val="0"/>
        </c:dLbls>
        <c:gapWidth val="219"/>
        <c:overlap val="-27"/>
        <c:axId val="751655311"/>
        <c:axId val="751656751"/>
      </c:barChart>
      <c:catAx>
        <c:axId val="751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56751"/>
        <c:crosses val="autoZero"/>
        <c:auto val="1"/>
        <c:lblAlgn val="ctr"/>
        <c:lblOffset val="100"/>
        <c:noMultiLvlLbl val="0"/>
      </c:catAx>
      <c:valAx>
        <c:axId val="75165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EDA_Summary!$Z$1</c:f>
              <c:strCache>
                <c:ptCount val="1"/>
                <c:pt idx="0">
                  <c:v>AttritionRate</c:v>
                </c:pt>
              </c:strCache>
            </c:strRef>
          </c:tx>
          <c:spPr>
            <a:solidFill>
              <a:schemeClr val="accent1"/>
            </a:solidFill>
            <a:ln>
              <a:noFill/>
            </a:ln>
            <a:effectLst/>
          </c:spPr>
          <c:invertIfNegative val="0"/>
          <c:cat>
            <c:strRef>
              <c:f>EDA_Summary!$Y$2:$Y$4</c:f>
              <c:strCache>
                <c:ptCount val="3"/>
                <c:pt idx="0">
                  <c:v>Sales</c:v>
                </c:pt>
                <c:pt idx="1">
                  <c:v>Research &amp; Development</c:v>
                </c:pt>
                <c:pt idx="2">
                  <c:v>Human Resources</c:v>
                </c:pt>
              </c:strCache>
            </c:strRef>
          </c:cat>
          <c:val>
            <c:numRef>
              <c:f>EDA_Summary!$Z$2:$Z$4</c:f>
              <c:numCache>
                <c:formatCode>General</c:formatCode>
                <c:ptCount val="3"/>
                <c:pt idx="0">
                  <c:v>0.20898876404494382</c:v>
                </c:pt>
                <c:pt idx="1">
                  <c:v>0.13825363825363826</c:v>
                </c:pt>
                <c:pt idx="2">
                  <c:v>0.17460317460317459</c:v>
                </c:pt>
              </c:numCache>
            </c:numRef>
          </c:val>
          <c:extLst>
            <c:ext xmlns:c16="http://schemas.microsoft.com/office/drawing/2014/chart" uri="{C3380CC4-5D6E-409C-BE32-E72D297353CC}">
              <c16:uniqueId val="{00000000-2842-4271-B6AE-4F440A0C85F3}"/>
            </c:ext>
          </c:extLst>
        </c:ser>
        <c:dLbls>
          <c:showLegendKey val="0"/>
          <c:showVal val="0"/>
          <c:showCatName val="0"/>
          <c:showSerName val="0"/>
          <c:showPercent val="0"/>
          <c:showBubbleSize val="0"/>
        </c:dLbls>
        <c:gapWidth val="182"/>
        <c:axId val="1260735167"/>
        <c:axId val="1260735647"/>
      </c:barChart>
      <c:catAx>
        <c:axId val="126073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35647"/>
        <c:crosses val="autoZero"/>
        <c:auto val="1"/>
        <c:lblAlgn val="ctr"/>
        <c:lblOffset val="100"/>
        <c:noMultiLvlLbl val="0"/>
      </c:catAx>
      <c:valAx>
        <c:axId val="126073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3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EDA_Summary!$AC$1</c:f>
              <c:strCache>
                <c:ptCount val="1"/>
                <c:pt idx="0">
                  <c:v>AttritionRate</c:v>
                </c:pt>
              </c:strCache>
            </c:strRef>
          </c:tx>
          <c:spPr>
            <a:solidFill>
              <a:schemeClr val="accent1"/>
            </a:solidFill>
            <a:ln>
              <a:noFill/>
            </a:ln>
            <a:effectLst/>
          </c:spPr>
          <c:invertIfNegative val="0"/>
          <c:cat>
            <c:strRef>
              <c:f>EDA_Summary!$AB$2:$AB$10</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EDA_Summary!$AC$2:$AC$10</c:f>
              <c:numCache>
                <c:formatCode>General</c:formatCode>
                <c:ptCount val="9"/>
                <c:pt idx="0">
                  <c:v>0.17484662576687116</c:v>
                </c:pt>
                <c:pt idx="1">
                  <c:v>0.16095890410958905</c:v>
                </c:pt>
                <c:pt idx="2">
                  <c:v>0.23938223938223938</c:v>
                </c:pt>
                <c:pt idx="3">
                  <c:v>6.8965517241379309E-2</c:v>
                </c:pt>
                <c:pt idx="4">
                  <c:v>6.8702290076335881E-2</c:v>
                </c:pt>
                <c:pt idx="5">
                  <c:v>4.9019607843137254E-2</c:v>
                </c:pt>
                <c:pt idx="6">
                  <c:v>0.39759036144578314</c:v>
                </c:pt>
                <c:pt idx="7">
                  <c:v>2.5000000000000001E-2</c:v>
                </c:pt>
                <c:pt idx="8">
                  <c:v>0.23076923076923078</c:v>
                </c:pt>
              </c:numCache>
            </c:numRef>
          </c:val>
          <c:extLst>
            <c:ext xmlns:c16="http://schemas.microsoft.com/office/drawing/2014/chart" uri="{C3380CC4-5D6E-409C-BE32-E72D297353CC}">
              <c16:uniqueId val="{00000000-4182-45A5-87BC-F0B71E7CA705}"/>
            </c:ext>
          </c:extLst>
        </c:ser>
        <c:dLbls>
          <c:showLegendKey val="0"/>
          <c:showVal val="0"/>
          <c:showCatName val="0"/>
          <c:showSerName val="0"/>
          <c:showPercent val="0"/>
          <c:showBubbleSize val="0"/>
        </c:dLbls>
        <c:gapWidth val="182"/>
        <c:axId val="1260733247"/>
        <c:axId val="442979439"/>
      </c:barChart>
      <c:catAx>
        <c:axId val="126073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79439"/>
        <c:crosses val="autoZero"/>
        <c:auto val="1"/>
        <c:lblAlgn val="ctr"/>
        <c:lblOffset val="100"/>
        <c:noMultiLvlLbl val="0"/>
      </c:catAx>
      <c:valAx>
        <c:axId val="44297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Attrition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EDA_Summary!$AF$1</c:f>
              <c:strCache>
                <c:ptCount val="1"/>
                <c:pt idx="0">
                  <c:v>Employees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EDA_Summary!$AE$2:$AE$3</c:f>
              <c:strCache>
                <c:ptCount val="2"/>
                <c:pt idx="0">
                  <c:v>Left</c:v>
                </c:pt>
                <c:pt idx="1">
                  <c:v>Stayed</c:v>
                </c:pt>
              </c:strCache>
            </c:strRef>
          </c:cat>
          <c:val>
            <c:numRef>
              <c:f>EDA_Summary!$AF$2:$AF$3</c:f>
              <c:numCache>
                <c:formatCode>General</c:formatCode>
                <c:ptCount val="2"/>
                <c:pt idx="0">
                  <c:v>237</c:v>
                </c:pt>
                <c:pt idx="1">
                  <c:v>1233</c:v>
                </c:pt>
              </c:numCache>
            </c:numRef>
          </c:val>
          <c:extLst>
            <c:ext xmlns:c16="http://schemas.microsoft.com/office/drawing/2014/chart" uri="{C3380CC4-5D6E-409C-BE32-E72D297353CC}">
              <c16:uniqueId val="{00000000-8EC0-47BE-B6F4-6C5FF1A45A5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Trend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EDA_Summary!$AI$1</c:f>
              <c:strCache>
                <c:ptCount val="1"/>
                <c:pt idx="0">
                  <c:v>AttritionRate</c:v>
                </c:pt>
              </c:strCache>
            </c:strRef>
          </c:tx>
          <c:spPr>
            <a:ln w="28575" cap="rnd">
              <a:solidFill>
                <a:schemeClr val="accent1"/>
              </a:solidFill>
              <a:round/>
            </a:ln>
            <a:effectLst/>
          </c:spPr>
          <c:marker>
            <c:symbol val="none"/>
          </c:marker>
          <c:cat>
            <c:strRef>
              <c:f>EDA_Summary!$AH$2:$AH$5</c:f>
              <c:strCache>
                <c:ptCount val="4"/>
                <c:pt idx="0">
                  <c:v>0-2 yrs</c:v>
                </c:pt>
                <c:pt idx="1">
                  <c:v>3-5 yrs</c:v>
                </c:pt>
                <c:pt idx="2">
                  <c:v>6-10 yrs</c:v>
                </c:pt>
                <c:pt idx="3">
                  <c:v>11+ yrs</c:v>
                </c:pt>
              </c:strCache>
            </c:strRef>
          </c:cat>
          <c:val>
            <c:numRef>
              <c:f>EDA_Summary!$AI$2:$AI$5</c:f>
              <c:numCache>
                <c:formatCode>General</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CDF0-4A1F-AE68-A3C9B7D54750}"/>
            </c:ext>
          </c:extLst>
        </c:ser>
        <c:dLbls>
          <c:showLegendKey val="0"/>
          <c:showVal val="0"/>
          <c:showCatName val="0"/>
          <c:showSerName val="0"/>
          <c:showPercent val="0"/>
          <c:showBubbleSize val="0"/>
        </c:dLbls>
        <c:smooth val="0"/>
        <c:axId val="876385631"/>
        <c:axId val="876386111"/>
      </c:lineChart>
      <c:catAx>
        <c:axId val="8763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386111"/>
        <c:crosses val="autoZero"/>
        <c:auto val="1"/>
        <c:lblAlgn val="ctr"/>
        <c:lblOffset val="100"/>
        <c:noMultiLvlLbl val="0"/>
      </c:catAx>
      <c:valAx>
        <c:axId val="87638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38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Income vs Years at Company (by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Left</c:v>
          </c:tx>
          <c:spPr>
            <a:ln w="38100" cap="rnd">
              <a:noFill/>
              <a:round/>
            </a:ln>
            <a:effectLst/>
          </c:spPr>
          <c:marker>
            <c:symbol val="circle"/>
            <c:size val="5"/>
            <c:spPr>
              <a:solidFill>
                <a:schemeClr val="accent1"/>
              </a:solidFill>
              <a:ln w="9525">
                <a:solidFill>
                  <a:schemeClr val="accent1"/>
                </a:solidFill>
              </a:ln>
              <a:effectLst/>
            </c:spPr>
          </c:marker>
          <c:xVal>
            <c:numRef>
              <c:f>EDA_Summary!$P$2:$P$1471</c:f>
              <c:numCache>
                <c:formatCode>General</c:formatCode>
                <c:ptCount val="1470"/>
                <c:pt idx="0">
                  <c:v>6</c:v>
                </c:pt>
                <c:pt idx="1">
                  <c:v>0</c:v>
                </c:pt>
                <c:pt idx="2">
                  <c:v>4</c:v>
                </c:pt>
                <c:pt idx="3">
                  <c:v>5</c:v>
                </c:pt>
                <c:pt idx="4">
                  <c:v>4</c:v>
                </c:pt>
                <c:pt idx="5">
                  <c:v>10</c:v>
                </c:pt>
                <c:pt idx="6">
                  <c:v>1</c:v>
                </c:pt>
                <c:pt idx="7">
                  <c:v>2</c:v>
                </c:pt>
                <c:pt idx="8">
                  <c:v>3</c:v>
                </c:pt>
                <c:pt idx="9">
                  <c:v>1</c:v>
                </c:pt>
                <c:pt idx="10">
                  <c:v>22</c:v>
                </c:pt>
                <c:pt idx="11">
                  <c:v>1</c:v>
                </c:pt>
                <c:pt idx="12">
                  <c:v>2</c:v>
                </c:pt>
                <c:pt idx="13">
                  <c:v>1</c:v>
                </c:pt>
                <c:pt idx="14">
                  <c:v>9</c:v>
                </c:pt>
                <c:pt idx="15">
                  <c:v>3</c:v>
                </c:pt>
                <c:pt idx="16">
                  <c:v>1</c:v>
                </c:pt>
                <c:pt idx="17">
                  <c:v>6</c:v>
                </c:pt>
                <c:pt idx="18">
                  <c:v>9</c:v>
                </c:pt>
                <c:pt idx="19">
                  <c:v>5</c:v>
                </c:pt>
                <c:pt idx="20">
                  <c:v>7</c:v>
                </c:pt>
                <c:pt idx="21">
                  <c:v>40</c:v>
                </c:pt>
                <c:pt idx="22">
                  <c:v>0</c:v>
                </c:pt>
                <c:pt idx="23">
                  <c:v>2</c:v>
                </c:pt>
                <c:pt idx="24">
                  <c:v>4</c:v>
                </c:pt>
                <c:pt idx="25">
                  <c:v>5</c:v>
                </c:pt>
                <c:pt idx="26">
                  <c:v>0</c:v>
                </c:pt>
                <c:pt idx="27">
                  <c:v>1</c:v>
                </c:pt>
                <c:pt idx="28">
                  <c:v>4</c:v>
                </c:pt>
                <c:pt idx="29">
                  <c:v>1</c:v>
                </c:pt>
                <c:pt idx="30">
                  <c:v>1</c:v>
                </c:pt>
                <c:pt idx="31">
                  <c:v>10</c:v>
                </c:pt>
                <c:pt idx="32">
                  <c:v>14</c:v>
                </c:pt>
                <c:pt idx="33">
                  <c:v>5</c:v>
                </c:pt>
                <c:pt idx="34">
                  <c:v>6</c:v>
                </c:pt>
                <c:pt idx="35">
                  <c:v>6</c:v>
                </c:pt>
                <c:pt idx="36">
                  <c:v>4</c:v>
                </c:pt>
                <c:pt idx="37">
                  <c:v>5</c:v>
                </c:pt>
                <c:pt idx="38">
                  <c:v>9</c:v>
                </c:pt>
                <c:pt idx="39">
                  <c:v>3</c:v>
                </c:pt>
                <c:pt idx="40">
                  <c:v>1</c:v>
                </c:pt>
                <c:pt idx="41">
                  <c:v>5</c:v>
                </c:pt>
                <c:pt idx="42">
                  <c:v>0</c:v>
                </c:pt>
                <c:pt idx="43">
                  <c:v>10</c:v>
                </c:pt>
                <c:pt idx="44">
                  <c:v>1</c:v>
                </c:pt>
                <c:pt idx="45">
                  <c:v>3</c:v>
                </c:pt>
                <c:pt idx="46">
                  <c:v>8</c:v>
                </c:pt>
                <c:pt idx="47">
                  <c:v>0</c:v>
                </c:pt>
                <c:pt idx="48">
                  <c:v>8</c:v>
                </c:pt>
                <c:pt idx="49">
                  <c:v>3</c:v>
                </c:pt>
                <c:pt idx="50">
                  <c:v>1</c:v>
                </c:pt>
                <c:pt idx="51">
                  <c:v>7</c:v>
                </c:pt>
                <c:pt idx="52">
                  <c:v>3</c:v>
                </c:pt>
                <c:pt idx="53">
                  <c:v>1</c:v>
                </c:pt>
                <c:pt idx="54">
                  <c:v>8</c:v>
                </c:pt>
                <c:pt idx="55">
                  <c:v>6</c:v>
                </c:pt>
                <c:pt idx="56">
                  <c:v>1</c:v>
                </c:pt>
                <c:pt idx="57">
                  <c:v>5</c:v>
                </c:pt>
                <c:pt idx="58">
                  <c:v>6</c:v>
                </c:pt>
                <c:pt idx="59">
                  <c:v>1</c:v>
                </c:pt>
                <c:pt idx="60">
                  <c:v>2</c:v>
                </c:pt>
                <c:pt idx="61">
                  <c:v>5</c:v>
                </c:pt>
                <c:pt idx="62">
                  <c:v>2</c:v>
                </c:pt>
                <c:pt idx="63">
                  <c:v>2</c:v>
                </c:pt>
                <c:pt idx="64">
                  <c:v>1</c:v>
                </c:pt>
                <c:pt idx="65">
                  <c:v>7</c:v>
                </c:pt>
                <c:pt idx="66">
                  <c:v>4</c:v>
                </c:pt>
                <c:pt idx="67">
                  <c:v>1</c:v>
                </c:pt>
                <c:pt idx="68">
                  <c:v>3</c:v>
                </c:pt>
                <c:pt idx="69">
                  <c:v>2</c:v>
                </c:pt>
                <c:pt idx="70">
                  <c:v>7</c:v>
                </c:pt>
                <c:pt idx="71">
                  <c:v>0</c:v>
                </c:pt>
                <c:pt idx="72">
                  <c:v>1</c:v>
                </c:pt>
                <c:pt idx="73">
                  <c:v>4</c:v>
                </c:pt>
                <c:pt idx="74">
                  <c:v>6</c:v>
                </c:pt>
                <c:pt idx="75">
                  <c:v>1</c:v>
                </c:pt>
                <c:pt idx="76">
                  <c:v>3</c:v>
                </c:pt>
                <c:pt idx="77">
                  <c:v>4</c:v>
                </c:pt>
                <c:pt idx="78">
                  <c:v>1</c:v>
                </c:pt>
                <c:pt idx="79">
                  <c:v>1</c:v>
                </c:pt>
                <c:pt idx="80">
                  <c:v>10</c:v>
                </c:pt>
                <c:pt idx="81">
                  <c:v>2</c:v>
                </c:pt>
                <c:pt idx="82">
                  <c:v>4</c:v>
                </c:pt>
                <c:pt idx="83">
                  <c:v>7</c:v>
                </c:pt>
                <c:pt idx="84">
                  <c:v>2</c:v>
                </c:pt>
                <c:pt idx="85">
                  <c:v>10</c:v>
                </c:pt>
                <c:pt idx="86">
                  <c:v>5</c:v>
                </c:pt>
                <c:pt idx="87">
                  <c:v>5</c:v>
                </c:pt>
                <c:pt idx="88">
                  <c:v>4</c:v>
                </c:pt>
                <c:pt idx="89">
                  <c:v>0</c:v>
                </c:pt>
                <c:pt idx="90">
                  <c:v>1</c:v>
                </c:pt>
                <c:pt idx="91">
                  <c:v>3</c:v>
                </c:pt>
                <c:pt idx="92">
                  <c:v>31</c:v>
                </c:pt>
                <c:pt idx="93">
                  <c:v>2</c:v>
                </c:pt>
                <c:pt idx="94">
                  <c:v>9</c:v>
                </c:pt>
                <c:pt idx="95">
                  <c:v>9</c:v>
                </c:pt>
                <c:pt idx="96">
                  <c:v>8</c:v>
                </c:pt>
                <c:pt idx="97">
                  <c:v>10</c:v>
                </c:pt>
                <c:pt idx="98">
                  <c:v>3</c:v>
                </c:pt>
                <c:pt idx="99">
                  <c:v>1</c:v>
                </c:pt>
                <c:pt idx="100">
                  <c:v>1</c:v>
                </c:pt>
                <c:pt idx="101">
                  <c:v>2</c:v>
                </c:pt>
                <c:pt idx="102">
                  <c:v>1</c:v>
                </c:pt>
                <c:pt idx="103">
                  <c:v>3</c:v>
                </c:pt>
                <c:pt idx="104">
                  <c:v>7</c:v>
                </c:pt>
                <c:pt idx="105">
                  <c:v>2</c:v>
                </c:pt>
                <c:pt idx="106">
                  <c:v>1</c:v>
                </c:pt>
                <c:pt idx="107">
                  <c:v>1</c:v>
                </c:pt>
                <c:pt idx="108">
                  <c:v>1</c:v>
                </c:pt>
                <c:pt idx="109">
                  <c:v>16</c:v>
                </c:pt>
                <c:pt idx="110">
                  <c:v>14</c:v>
                </c:pt>
                <c:pt idx="111">
                  <c:v>1</c:v>
                </c:pt>
                <c:pt idx="112">
                  <c:v>1</c:v>
                </c:pt>
                <c:pt idx="113">
                  <c:v>3</c:v>
                </c:pt>
                <c:pt idx="114">
                  <c:v>0</c:v>
                </c:pt>
                <c:pt idx="115">
                  <c:v>5</c:v>
                </c:pt>
                <c:pt idx="116">
                  <c:v>4</c:v>
                </c:pt>
                <c:pt idx="117">
                  <c:v>1</c:v>
                </c:pt>
                <c:pt idx="118">
                  <c:v>3</c:v>
                </c:pt>
                <c:pt idx="119">
                  <c:v>1</c:v>
                </c:pt>
                <c:pt idx="120">
                  <c:v>2</c:v>
                </c:pt>
                <c:pt idx="121">
                  <c:v>32</c:v>
                </c:pt>
                <c:pt idx="122">
                  <c:v>17</c:v>
                </c:pt>
                <c:pt idx="123">
                  <c:v>1</c:v>
                </c:pt>
                <c:pt idx="124">
                  <c:v>3</c:v>
                </c:pt>
                <c:pt idx="125">
                  <c:v>2</c:v>
                </c:pt>
                <c:pt idx="126">
                  <c:v>1</c:v>
                </c:pt>
                <c:pt idx="127">
                  <c:v>10</c:v>
                </c:pt>
                <c:pt idx="128">
                  <c:v>10</c:v>
                </c:pt>
                <c:pt idx="129">
                  <c:v>20</c:v>
                </c:pt>
                <c:pt idx="130">
                  <c:v>8</c:v>
                </c:pt>
                <c:pt idx="131">
                  <c:v>13</c:v>
                </c:pt>
                <c:pt idx="132">
                  <c:v>7</c:v>
                </c:pt>
                <c:pt idx="133">
                  <c:v>1</c:v>
                </c:pt>
                <c:pt idx="134">
                  <c:v>2</c:v>
                </c:pt>
                <c:pt idx="135">
                  <c:v>1</c:v>
                </c:pt>
                <c:pt idx="136">
                  <c:v>0</c:v>
                </c:pt>
                <c:pt idx="137">
                  <c:v>18</c:v>
                </c:pt>
                <c:pt idx="138">
                  <c:v>0</c:v>
                </c:pt>
                <c:pt idx="139">
                  <c:v>5</c:v>
                </c:pt>
                <c:pt idx="140">
                  <c:v>2</c:v>
                </c:pt>
                <c:pt idx="141">
                  <c:v>11</c:v>
                </c:pt>
                <c:pt idx="142">
                  <c:v>21</c:v>
                </c:pt>
                <c:pt idx="143">
                  <c:v>1</c:v>
                </c:pt>
                <c:pt idx="144">
                  <c:v>4</c:v>
                </c:pt>
                <c:pt idx="145">
                  <c:v>6</c:v>
                </c:pt>
                <c:pt idx="146">
                  <c:v>0</c:v>
                </c:pt>
                <c:pt idx="147">
                  <c:v>1</c:v>
                </c:pt>
                <c:pt idx="148">
                  <c:v>1</c:v>
                </c:pt>
                <c:pt idx="149">
                  <c:v>1</c:v>
                </c:pt>
                <c:pt idx="150">
                  <c:v>1</c:v>
                </c:pt>
                <c:pt idx="151">
                  <c:v>24</c:v>
                </c:pt>
                <c:pt idx="152">
                  <c:v>2</c:v>
                </c:pt>
                <c:pt idx="153">
                  <c:v>10</c:v>
                </c:pt>
                <c:pt idx="154">
                  <c:v>7</c:v>
                </c:pt>
                <c:pt idx="155">
                  <c:v>10</c:v>
                </c:pt>
                <c:pt idx="156">
                  <c:v>5</c:v>
                </c:pt>
                <c:pt idx="157">
                  <c:v>5</c:v>
                </c:pt>
                <c:pt idx="158">
                  <c:v>8</c:v>
                </c:pt>
                <c:pt idx="159">
                  <c:v>3</c:v>
                </c:pt>
                <c:pt idx="160">
                  <c:v>3</c:v>
                </c:pt>
                <c:pt idx="161">
                  <c:v>10</c:v>
                </c:pt>
                <c:pt idx="162">
                  <c:v>19</c:v>
                </c:pt>
                <c:pt idx="163">
                  <c:v>1</c:v>
                </c:pt>
                <c:pt idx="164">
                  <c:v>4</c:v>
                </c:pt>
                <c:pt idx="165">
                  <c:v>10</c:v>
                </c:pt>
                <c:pt idx="166">
                  <c:v>8</c:v>
                </c:pt>
                <c:pt idx="167">
                  <c:v>4</c:v>
                </c:pt>
                <c:pt idx="168">
                  <c:v>8</c:v>
                </c:pt>
                <c:pt idx="169">
                  <c:v>1</c:v>
                </c:pt>
                <c:pt idx="170">
                  <c:v>1</c:v>
                </c:pt>
                <c:pt idx="171">
                  <c:v>3</c:v>
                </c:pt>
                <c:pt idx="172">
                  <c:v>7</c:v>
                </c:pt>
                <c:pt idx="173">
                  <c:v>1</c:v>
                </c:pt>
                <c:pt idx="174">
                  <c:v>10</c:v>
                </c:pt>
                <c:pt idx="175">
                  <c:v>2</c:v>
                </c:pt>
                <c:pt idx="176">
                  <c:v>2</c:v>
                </c:pt>
                <c:pt idx="177">
                  <c:v>3</c:v>
                </c:pt>
                <c:pt idx="178">
                  <c:v>5</c:v>
                </c:pt>
                <c:pt idx="179">
                  <c:v>15</c:v>
                </c:pt>
                <c:pt idx="180">
                  <c:v>0</c:v>
                </c:pt>
                <c:pt idx="181">
                  <c:v>0</c:v>
                </c:pt>
                <c:pt idx="182">
                  <c:v>9</c:v>
                </c:pt>
                <c:pt idx="183">
                  <c:v>5</c:v>
                </c:pt>
                <c:pt idx="184">
                  <c:v>7</c:v>
                </c:pt>
                <c:pt idx="185">
                  <c:v>10</c:v>
                </c:pt>
                <c:pt idx="186">
                  <c:v>1</c:v>
                </c:pt>
                <c:pt idx="187">
                  <c:v>33</c:v>
                </c:pt>
                <c:pt idx="188">
                  <c:v>5</c:v>
                </c:pt>
                <c:pt idx="189">
                  <c:v>1</c:v>
                </c:pt>
                <c:pt idx="190">
                  <c:v>0</c:v>
                </c:pt>
                <c:pt idx="191">
                  <c:v>13</c:v>
                </c:pt>
                <c:pt idx="192">
                  <c:v>2</c:v>
                </c:pt>
                <c:pt idx="193">
                  <c:v>4</c:v>
                </c:pt>
                <c:pt idx="194">
                  <c:v>11</c:v>
                </c:pt>
                <c:pt idx="195">
                  <c:v>5</c:v>
                </c:pt>
                <c:pt idx="196">
                  <c:v>9</c:v>
                </c:pt>
                <c:pt idx="197">
                  <c:v>1</c:v>
                </c:pt>
                <c:pt idx="198">
                  <c:v>3</c:v>
                </c:pt>
                <c:pt idx="199">
                  <c:v>1</c:v>
                </c:pt>
                <c:pt idx="200">
                  <c:v>23</c:v>
                </c:pt>
                <c:pt idx="201">
                  <c:v>2</c:v>
                </c:pt>
                <c:pt idx="202">
                  <c:v>0</c:v>
                </c:pt>
                <c:pt idx="203">
                  <c:v>4</c:v>
                </c:pt>
                <c:pt idx="204">
                  <c:v>2</c:v>
                </c:pt>
                <c:pt idx="205">
                  <c:v>0</c:v>
                </c:pt>
                <c:pt idx="206">
                  <c:v>1</c:v>
                </c:pt>
                <c:pt idx="207">
                  <c:v>1</c:v>
                </c:pt>
                <c:pt idx="208">
                  <c:v>1</c:v>
                </c:pt>
                <c:pt idx="209">
                  <c:v>1</c:v>
                </c:pt>
                <c:pt idx="210">
                  <c:v>5</c:v>
                </c:pt>
                <c:pt idx="211">
                  <c:v>10</c:v>
                </c:pt>
                <c:pt idx="212">
                  <c:v>7</c:v>
                </c:pt>
                <c:pt idx="213">
                  <c:v>10</c:v>
                </c:pt>
                <c:pt idx="214">
                  <c:v>5</c:v>
                </c:pt>
                <c:pt idx="215">
                  <c:v>9</c:v>
                </c:pt>
                <c:pt idx="216">
                  <c:v>1</c:v>
                </c:pt>
                <c:pt idx="217">
                  <c:v>2</c:v>
                </c:pt>
                <c:pt idx="218">
                  <c:v>2</c:v>
                </c:pt>
                <c:pt idx="219">
                  <c:v>1</c:v>
                </c:pt>
                <c:pt idx="220">
                  <c:v>8</c:v>
                </c:pt>
                <c:pt idx="221">
                  <c:v>1</c:v>
                </c:pt>
                <c:pt idx="222">
                  <c:v>1</c:v>
                </c:pt>
                <c:pt idx="223">
                  <c:v>5</c:v>
                </c:pt>
                <c:pt idx="224">
                  <c:v>4</c:v>
                </c:pt>
                <c:pt idx="225">
                  <c:v>1</c:v>
                </c:pt>
                <c:pt idx="226">
                  <c:v>2</c:v>
                </c:pt>
                <c:pt idx="227">
                  <c:v>4</c:v>
                </c:pt>
                <c:pt idx="228">
                  <c:v>1</c:v>
                </c:pt>
                <c:pt idx="229">
                  <c:v>4</c:v>
                </c:pt>
                <c:pt idx="230">
                  <c:v>10</c:v>
                </c:pt>
                <c:pt idx="231">
                  <c:v>2</c:v>
                </c:pt>
                <c:pt idx="232">
                  <c:v>1</c:v>
                </c:pt>
                <c:pt idx="233">
                  <c:v>2</c:v>
                </c:pt>
                <c:pt idx="234">
                  <c:v>10</c:v>
                </c:pt>
                <c:pt idx="235">
                  <c:v>6</c:v>
                </c:pt>
                <c:pt idx="236">
                  <c:v>3</c:v>
                </c:pt>
              </c:numCache>
            </c:numRef>
          </c:xVal>
          <c:yVal>
            <c:numRef>
              <c:f>EDA_Summary!$Q$2:$Q$1471</c:f>
              <c:numCache>
                <c:formatCode>General</c:formatCode>
                <c:ptCount val="1470"/>
                <c:pt idx="0">
                  <c:v>5993</c:v>
                </c:pt>
                <c:pt idx="1">
                  <c:v>2090</c:v>
                </c:pt>
                <c:pt idx="2">
                  <c:v>2028</c:v>
                </c:pt>
                <c:pt idx="3">
                  <c:v>3407</c:v>
                </c:pt>
                <c:pt idx="4">
                  <c:v>2960</c:v>
                </c:pt>
                <c:pt idx="5">
                  <c:v>3919</c:v>
                </c:pt>
                <c:pt idx="6">
                  <c:v>2086</c:v>
                </c:pt>
                <c:pt idx="7">
                  <c:v>2293</c:v>
                </c:pt>
                <c:pt idx="8">
                  <c:v>2683</c:v>
                </c:pt>
                <c:pt idx="9">
                  <c:v>2293</c:v>
                </c:pt>
                <c:pt idx="10">
                  <c:v>19545</c:v>
                </c:pt>
                <c:pt idx="11">
                  <c:v>5381</c:v>
                </c:pt>
                <c:pt idx="12">
                  <c:v>3441</c:v>
                </c:pt>
                <c:pt idx="13">
                  <c:v>3388</c:v>
                </c:pt>
                <c:pt idx="14">
                  <c:v>9619</c:v>
                </c:pt>
                <c:pt idx="15">
                  <c:v>2073</c:v>
                </c:pt>
                <c:pt idx="16">
                  <c:v>2926</c:v>
                </c:pt>
                <c:pt idx="17">
                  <c:v>5744</c:v>
                </c:pt>
                <c:pt idx="18">
                  <c:v>6074</c:v>
                </c:pt>
                <c:pt idx="19">
                  <c:v>4963</c:v>
                </c:pt>
                <c:pt idx="20">
                  <c:v>6172</c:v>
                </c:pt>
                <c:pt idx="21">
                  <c:v>10312</c:v>
                </c:pt>
                <c:pt idx="22">
                  <c:v>1675</c:v>
                </c:pt>
                <c:pt idx="23">
                  <c:v>4559</c:v>
                </c:pt>
                <c:pt idx="24">
                  <c:v>10650</c:v>
                </c:pt>
                <c:pt idx="25">
                  <c:v>4200</c:v>
                </c:pt>
                <c:pt idx="26">
                  <c:v>2325</c:v>
                </c:pt>
                <c:pt idx="27">
                  <c:v>1102</c:v>
                </c:pt>
                <c:pt idx="28">
                  <c:v>3140</c:v>
                </c:pt>
                <c:pt idx="29">
                  <c:v>5916</c:v>
                </c:pt>
                <c:pt idx="30">
                  <c:v>6673</c:v>
                </c:pt>
                <c:pt idx="31">
                  <c:v>7639</c:v>
                </c:pt>
                <c:pt idx="32">
                  <c:v>10400</c:v>
                </c:pt>
                <c:pt idx="33">
                  <c:v>2657</c:v>
                </c:pt>
                <c:pt idx="34">
                  <c:v>6696</c:v>
                </c:pt>
                <c:pt idx="35">
                  <c:v>2058</c:v>
                </c:pt>
                <c:pt idx="36">
                  <c:v>2389</c:v>
                </c:pt>
                <c:pt idx="37">
                  <c:v>2436</c:v>
                </c:pt>
                <c:pt idx="38">
                  <c:v>2707</c:v>
                </c:pt>
                <c:pt idx="39">
                  <c:v>3730</c:v>
                </c:pt>
                <c:pt idx="40">
                  <c:v>10048</c:v>
                </c:pt>
                <c:pt idx="41">
                  <c:v>3479</c:v>
                </c:pt>
                <c:pt idx="42">
                  <c:v>3485</c:v>
                </c:pt>
                <c:pt idx="43">
                  <c:v>11849</c:v>
                </c:pt>
                <c:pt idx="44">
                  <c:v>3161</c:v>
                </c:pt>
                <c:pt idx="45">
                  <c:v>2373</c:v>
                </c:pt>
                <c:pt idx="46">
                  <c:v>5828</c:v>
                </c:pt>
                <c:pt idx="47">
                  <c:v>1420</c:v>
                </c:pt>
                <c:pt idx="48">
                  <c:v>4941</c:v>
                </c:pt>
                <c:pt idx="49">
                  <c:v>3464</c:v>
                </c:pt>
                <c:pt idx="50">
                  <c:v>5238</c:v>
                </c:pt>
                <c:pt idx="51">
                  <c:v>2119</c:v>
                </c:pt>
                <c:pt idx="52">
                  <c:v>2174</c:v>
                </c:pt>
                <c:pt idx="53">
                  <c:v>2851</c:v>
                </c:pt>
                <c:pt idx="54">
                  <c:v>9355</c:v>
                </c:pt>
                <c:pt idx="55">
                  <c:v>6380</c:v>
                </c:pt>
                <c:pt idx="56">
                  <c:v>2716</c:v>
                </c:pt>
                <c:pt idx="57">
                  <c:v>5304</c:v>
                </c:pt>
                <c:pt idx="58">
                  <c:v>3102</c:v>
                </c:pt>
                <c:pt idx="59">
                  <c:v>2285</c:v>
                </c:pt>
                <c:pt idx="60">
                  <c:v>4031</c:v>
                </c:pt>
                <c:pt idx="61">
                  <c:v>3202</c:v>
                </c:pt>
                <c:pt idx="62">
                  <c:v>2351</c:v>
                </c:pt>
                <c:pt idx="63">
                  <c:v>2546</c:v>
                </c:pt>
                <c:pt idx="64">
                  <c:v>2564</c:v>
                </c:pt>
                <c:pt idx="65">
                  <c:v>13610</c:v>
                </c:pt>
                <c:pt idx="66">
                  <c:v>3408</c:v>
                </c:pt>
                <c:pt idx="67">
                  <c:v>9824</c:v>
                </c:pt>
                <c:pt idx="68">
                  <c:v>9950</c:v>
                </c:pt>
                <c:pt idx="69">
                  <c:v>3894</c:v>
                </c:pt>
                <c:pt idx="70">
                  <c:v>2741</c:v>
                </c:pt>
                <c:pt idx="71">
                  <c:v>1878</c:v>
                </c:pt>
                <c:pt idx="72">
                  <c:v>2340</c:v>
                </c:pt>
                <c:pt idx="73">
                  <c:v>4707</c:v>
                </c:pt>
                <c:pt idx="74">
                  <c:v>2886</c:v>
                </c:pt>
                <c:pt idx="75">
                  <c:v>2033</c:v>
                </c:pt>
                <c:pt idx="76">
                  <c:v>4233</c:v>
                </c:pt>
                <c:pt idx="77">
                  <c:v>3041</c:v>
                </c:pt>
                <c:pt idx="78">
                  <c:v>4286</c:v>
                </c:pt>
                <c:pt idx="79">
                  <c:v>1009</c:v>
                </c:pt>
                <c:pt idx="80">
                  <c:v>3348</c:v>
                </c:pt>
                <c:pt idx="81">
                  <c:v>4577</c:v>
                </c:pt>
                <c:pt idx="82">
                  <c:v>6796</c:v>
                </c:pt>
                <c:pt idx="83">
                  <c:v>2216</c:v>
                </c:pt>
                <c:pt idx="84">
                  <c:v>2759</c:v>
                </c:pt>
                <c:pt idx="85">
                  <c:v>2686</c:v>
                </c:pt>
                <c:pt idx="86">
                  <c:v>6397</c:v>
                </c:pt>
                <c:pt idx="87">
                  <c:v>19859</c:v>
                </c:pt>
                <c:pt idx="88">
                  <c:v>5326</c:v>
                </c:pt>
                <c:pt idx="89">
                  <c:v>1601</c:v>
                </c:pt>
                <c:pt idx="90">
                  <c:v>2319</c:v>
                </c:pt>
                <c:pt idx="91">
                  <c:v>5324</c:v>
                </c:pt>
                <c:pt idx="92">
                  <c:v>19246</c:v>
                </c:pt>
                <c:pt idx="93">
                  <c:v>4382</c:v>
                </c:pt>
                <c:pt idx="94">
                  <c:v>7654</c:v>
                </c:pt>
                <c:pt idx="95">
                  <c:v>5160</c:v>
                </c:pt>
                <c:pt idx="96">
                  <c:v>2366</c:v>
                </c:pt>
                <c:pt idx="97">
                  <c:v>2022</c:v>
                </c:pt>
                <c:pt idx="98">
                  <c:v>2800</c:v>
                </c:pt>
                <c:pt idx="99">
                  <c:v>2795</c:v>
                </c:pt>
                <c:pt idx="100">
                  <c:v>2380</c:v>
                </c:pt>
                <c:pt idx="101">
                  <c:v>2044</c:v>
                </c:pt>
                <c:pt idx="102">
                  <c:v>2693</c:v>
                </c:pt>
                <c:pt idx="103">
                  <c:v>4171</c:v>
                </c:pt>
                <c:pt idx="104">
                  <c:v>2778</c:v>
                </c:pt>
                <c:pt idx="105">
                  <c:v>2404</c:v>
                </c:pt>
                <c:pt idx="106">
                  <c:v>2413</c:v>
                </c:pt>
                <c:pt idx="107">
                  <c:v>2121</c:v>
                </c:pt>
                <c:pt idx="108">
                  <c:v>2973</c:v>
                </c:pt>
                <c:pt idx="109">
                  <c:v>10325</c:v>
                </c:pt>
                <c:pt idx="110">
                  <c:v>10609</c:v>
                </c:pt>
                <c:pt idx="111">
                  <c:v>2479</c:v>
                </c:pt>
                <c:pt idx="112">
                  <c:v>13194</c:v>
                </c:pt>
                <c:pt idx="113">
                  <c:v>2321</c:v>
                </c:pt>
                <c:pt idx="114">
                  <c:v>2404</c:v>
                </c:pt>
                <c:pt idx="115">
                  <c:v>2132</c:v>
                </c:pt>
                <c:pt idx="116">
                  <c:v>3743</c:v>
                </c:pt>
                <c:pt idx="117">
                  <c:v>2600</c:v>
                </c:pt>
                <c:pt idx="118">
                  <c:v>2422</c:v>
                </c:pt>
                <c:pt idx="119">
                  <c:v>4777</c:v>
                </c:pt>
                <c:pt idx="120">
                  <c:v>4969</c:v>
                </c:pt>
                <c:pt idx="121">
                  <c:v>19845</c:v>
                </c:pt>
                <c:pt idx="122">
                  <c:v>2743</c:v>
                </c:pt>
                <c:pt idx="123">
                  <c:v>4834</c:v>
                </c:pt>
                <c:pt idx="124">
                  <c:v>2042</c:v>
                </c:pt>
                <c:pt idx="125">
                  <c:v>2323</c:v>
                </c:pt>
                <c:pt idx="126">
                  <c:v>1416</c:v>
                </c:pt>
                <c:pt idx="127">
                  <c:v>2461</c:v>
                </c:pt>
                <c:pt idx="128">
                  <c:v>9950</c:v>
                </c:pt>
                <c:pt idx="129">
                  <c:v>10482</c:v>
                </c:pt>
                <c:pt idx="130">
                  <c:v>9582</c:v>
                </c:pt>
                <c:pt idx="131">
                  <c:v>4508</c:v>
                </c:pt>
                <c:pt idx="132">
                  <c:v>3691</c:v>
                </c:pt>
                <c:pt idx="133">
                  <c:v>2377</c:v>
                </c:pt>
                <c:pt idx="134">
                  <c:v>2313</c:v>
                </c:pt>
                <c:pt idx="135">
                  <c:v>2674</c:v>
                </c:pt>
                <c:pt idx="136">
                  <c:v>4728</c:v>
                </c:pt>
                <c:pt idx="137">
                  <c:v>12169</c:v>
                </c:pt>
                <c:pt idx="138">
                  <c:v>1904</c:v>
                </c:pt>
                <c:pt idx="139">
                  <c:v>8224</c:v>
                </c:pt>
                <c:pt idx="140">
                  <c:v>2610</c:v>
                </c:pt>
                <c:pt idx="141">
                  <c:v>7336</c:v>
                </c:pt>
                <c:pt idx="142">
                  <c:v>13758</c:v>
                </c:pt>
                <c:pt idx="143">
                  <c:v>2515</c:v>
                </c:pt>
                <c:pt idx="144">
                  <c:v>5346</c:v>
                </c:pt>
                <c:pt idx="145">
                  <c:v>2936</c:v>
                </c:pt>
                <c:pt idx="146">
                  <c:v>2853</c:v>
                </c:pt>
                <c:pt idx="147">
                  <c:v>2107</c:v>
                </c:pt>
                <c:pt idx="148">
                  <c:v>2210</c:v>
                </c:pt>
                <c:pt idx="149">
                  <c:v>1859</c:v>
                </c:pt>
                <c:pt idx="150">
                  <c:v>1118</c:v>
                </c:pt>
                <c:pt idx="151">
                  <c:v>18824</c:v>
                </c:pt>
                <c:pt idx="152">
                  <c:v>2625</c:v>
                </c:pt>
                <c:pt idx="153">
                  <c:v>7978</c:v>
                </c:pt>
                <c:pt idx="154">
                  <c:v>3339</c:v>
                </c:pt>
                <c:pt idx="155">
                  <c:v>4883</c:v>
                </c:pt>
                <c:pt idx="156">
                  <c:v>3904</c:v>
                </c:pt>
                <c:pt idx="157">
                  <c:v>9094</c:v>
                </c:pt>
                <c:pt idx="158">
                  <c:v>8446</c:v>
                </c:pt>
                <c:pt idx="159">
                  <c:v>2302</c:v>
                </c:pt>
                <c:pt idx="160">
                  <c:v>2362</c:v>
                </c:pt>
                <c:pt idx="161">
                  <c:v>10008</c:v>
                </c:pt>
                <c:pt idx="162">
                  <c:v>13695</c:v>
                </c:pt>
                <c:pt idx="163">
                  <c:v>2785</c:v>
                </c:pt>
                <c:pt idx="164">
                  <c:v>4614</c:v>
                </c:pt>
                <c:pt idx="165">
                  <c:v>6179</c:v>
                </c:pt>
                <c:pt idx="166">
                  <c:v>2394</c:v>
                </c:pt>
                <c:pt idx="167">
                  <c:v>4284</c:v>
                </c:pt>
                <c:pt idx="168">
                  <c:v>7553</c:v>
                </c:pt>
                <c:pt idx="169">
                  <c:v>1359</c:v>
                </c:pt>
                <c:pt idx="170">
                  <c:v>1261</c:v>
                </c:pt>
                <c:pt idx="171">
                  <c:v>4400</c:v>
                </c:pt>
                <c:pt idx="172">
                  <c:v>10096</c:v>
                </c:pt>
                <c:pt idx="173">
                  <c:v>3646</c:v>
                </c:pt>
                <c:pt idx="174">
                  <c:v>7446</c:v>
                </c:pt>
                <c:pt idx="175">
                  <c:v>3722</c:v>
                </c:pt>
                <c:pt idx="176">
                  <c:v>2742</c:v>
                </c:pt>
                <c:pt idx="177">
                  <c:v>2909</c:v>
                </c:pt>
                <c:pt idx="178">
                  <c:v>5765</c:v>
                </c:pt>
                <c:pt idx="179">
                  <c:v>4599</c:v>
                </c:pt>
                <c:pt idx="180">
                  <c:v>3172</c:v>
                </c:pt>
                <c:pt idx="181">
                  <c:v>2561</c:v>
                </c:pt>
                <c:pt idx="182">
                  <c:v>2362</c:v>
                </c:pt>
                <c:pt idx="183">
                  <c:v>2018</c:v>
                </c:pt>
                <c:pt idx="184">
                  <c:v>4084</c:v>
                </c:pt>
                <c:pt idx="185">
                  <c:v>9714</c:v>
                </c:pt>
                <c:pt idx="186">
                  <c:v>2074</c:v>
                </c:pt>
                <c:pt idx="187">
                  <c:v>10169</c:v>
                </c:pt>
                <c:pt idx="188">
                  <c:v>4855</c:v>
                </c:pt>
                <c:pt idx="189">
                  <c:v>2408</c:v>
                </c:pt>
                <c:pt idx="190">
                  <c:v>1569</c:v>
                </c:pt>
                <c:pt idx="191">
                  <c:v>10306</c:v>
                </c:pt>
                <c:pt idx="192">
                  <c:v>5440</c:v>
                </c:pt>
                <c:pt idx="193">
                  <c:v>2166</c:v>
                </c:pt>
                <c:pt idx="194">
                  <c:v>4581</c:v>
                </c:pt>
                <c:pt idx="195">
                  <c:v>3989</c:v>
                </c:pt>
                <c:pt idx="196">
                  <c:v>2655</c:v>
                </c:pt>
                <c:pt idx="197">
                  <c:v>1393</c:v>
                </c:pt>
                <c:pt idx="198">
                  <c:v>2275</c:v>
                </c:pt>
                <c:pt idx="199">
                  <c:v>1555</c:v>
                </c:pt>
                <c:pt idx="200">
                  <c:v>12936</c:v>
                </c:pt>
                <c:pt idx="201">
                  <c:v>6134</c:v>
                </c:pt>
                <c:pt idx="202">
                  <c:v>6735</c:v>
                </c:pt>
                <c:pt idx="203">
                  <c:v>2180</c:v>
                </c:pt>
                <c:pt idx="204">
                  <c:v>2760</c:v>
                </c:pt>
                <c:pt idx="205">
                  <c:v>8564</c:v>
                </c:pt>
                <c:pt idx="206">
                  <c:v>8161</c:v>
                </c:pt>
                <c:pt idx="207">
                  <c:v>2437</c:v>
                </c:pt>
                <c:pt idx="208">
                  <c:v>2679</c:v>
                </c:pt>
                <c:pt idx="209">
                  <c:v>2398</c:v>
                </c:pt>
                <c:pt idx="210">
                  <c:v>2342</c:v>
                </c:pt>
                <c:pt idx="211">
                  <c:v>5813</c:v>
                </c:pt>
                <c:pt idx="212">
                  <c:v>5346</c:v>
                </c:pt>
                <c:pt idx="213">
                  <c:v>4213</c:v>
                </c:pt>
                <c:pt idx="214">
                  <c:v>2148</c:v>
                </c:pt>
                <c:pt idx="215">
                  <c:v>8926</c:v>
                </c:pt>
                <c:pt idx="216">
                  <c:v>2956</c:v>
                </c:pt>
                <c:pt idx="217">
                  <c:v>2335</c:v>
                </c:pt>
                <c:pt idx="218">
                  <c:v>9907</c:v>
                </c:pt>
                <c:pt idx="219">
                  <c:v>2439</c:v>
                </c:pt>
                <c:pt idx="220">
                  <c:v>7314</c:v>
                </c:pt>
                <c:pt idx="221">
                  <c:v>1081</c:v>
                </c:pt>
                <c:pt idx="222">
                  <c:v>2472</c:v>
                </c:pt>
                <c:pt idx="223">
                  <c:v>2307</c:v>
                </c:pt>
                <c:pt idx="224">
                  <c:v>2587</c:v>
                </c:pt>
                <c:pt idx="225">
                  <c:v>1091</c:v>
                </c:pt>
                <c:pt idx="226">
                  <c:v>9854</c:v>
                </c:pt>
                <c:pt idx="227">
                  <c:v>2432</c:v>
                </c:pt>
                <c:pt idx="228">
                  <c:v>2863</c:v>
                </c:pt>
                <c:pt idx="229">
                  <c:v>2367</c:v>
                </c:pt>
                <c:pt idx="230">
                  <c:v>5617</c:v>
                </c:pt>
                <c:pt idx="231">
                  <c:v>10448</c:v>
                </c:pt>
                <c:pt idx="232">
                  <c:v>1790</c:v>
                </c:pt>
                <c:pt idx="233">
                  <c:v>4787</c:v>
                </c:pt>
                <c:pt idx="234">
                  <c:v>2339</c:v>
                </c:pt>
                <c:pt idx="235">
                  <c:v>6728</c:v>
                </c:pt>
                <c:pt idx="236">
                  <c:v>10854</c:v>
                </c:pt>
              </c:numCache>
            </c:numRef>
          </c:yVal>
          <c:smooth val="0"/>
          <c:extLst>
            <c:ext xmlns:c16="http://schemas.microsoft.com/office/drawing/2014/chart" uri="{C3380CC4-5D6E-409C-BE32-E72D297353CC}">
              <c16:uniqueId val="{00000000-C0B1-4C77-A080-CDB00FC116E0}"/>
            </c:ext>
          </c:extLst>
        </c:ser>
        <c:ser>
          <c:idx val="1"/>
          <c:order val="1"/>
          <c:tx>
            <c:v>Stayed</c:v>
          </c:tx>
          <c:spPr>
            <a:ln w="25400" cap="rnd">
              <a:noFill/>
              <a:round/>
            </a:ln>
            <a:effectLst/>
          </c:spPr>
          <c:marker>
            <c:symbol val="circle"/>
            <c:size val="5"/>
            <c:spPr>
              <a:solidFill>
                <a:schemeClr val="accent2"/>
              </a:solidFill>
              <a:ln w="9525">
                <a:solidFill>
                  <a:schemeClr val="accent2"/>
                </a:solidFill>
              </a:ln>
              <a:effectLst/>
            </c:spPr>
          </c:marker>
          <c:xVal>
            <c:numRef>
              <c:f>EDA_Summary!$R$2:$R$1471</c:f>
              <c:numCache>
                <c:formatCode>General</c:formatCode>
                <c:ptCount val="1470"/>
                <c:pt idx="0">
                  <c:v>10</c:v>
                </c:pt>
                <c:pt idx="1">
                  <c:v>8</c:v>
                </c:pt>
                <c:pt idx="2">
                  <c:v>2</c:v>
                </c:pt>
                <c:pt idx="3">
                  <c:v>7</c:v>
                </c:pt>
                <c:pt idx="4">
                  <c:v>1</c:v>
                </c:pt>
                <c:pt idx="5">
                  <c:v>1</c:v>
                </c:pt>
                <c:pt idx="6">
                  <c:v>9</c:v>
                </c:pt>
                <c:pt idx="7">
                  <c:v>7</c:v>
                </c:pt>
                <c:pt idx="8">
                  <c:v>5</c:v>
                </c:pt>
                <c:pt idx="9">
                  <c:v>9</c:v>
                </c:pt>
                <c:pt idx="10">
                  <c:v>5</c:v>
                </c:pt>
                <c:pt idx="11">
                  <c:v>2</c:v>
                </c:pt>
                <c:pt idx="12">
                  <c:v>10</c:v>
                </c:pt>
                <c:pt idx="13">
                  <c:v>6</c:v>
                </c:pt>
                <c:pt idx="14">
                  <c:v>1</c:v>
                </c:pt>
                <c:pt idx="15">
                  <c:v>25</c:v>
                </c:pt>
                <c:pt idx="16">
                  <c:v>3</c:v>
                </c:pt>
                <c:pt idx="17">
                  <c:v>4</c:v>
                </c:pt>
                <c:pt idx="18">
                  <c:v>12</c:v>
                </c:pt>
                <c:pt idx="19">
                  <c:v>0</c:v>
                </c:pt>
                <c:pt idx="20">
                  <c:v>14</c:v>
                </c:pt>
                <c:pt idx="21">
                  <c:v>9</c:v>
                </c:pt>
                <c:pt idx="22">
                  <c:v>22</c:v>
                </c:pt>
                <c:pt idx="23">
                  <c:v>2</c:v>
                </c:pt>
                <c:pt idx="24">
                  <c:v>1</c:v>
                </c:pt>
                <c:pt idx="25">
                  <c:v>4</c:v>
                </c:pt>
                <c:pt idx="26">
                  <c:v>10</c:v>
                </c:pt>
                <c:pt idx="27">
                  <c:v>5</c:v>
                </c:pt>
                <c:pt idx="28">
                  <c:v>2</c:v>
                </c:pt>
                <c:pt idx="29">
                  <c:v>1</c:v>
                </c:pt>
                <c:pt idx="30">
                  <c:v>5</c:v>
                </c:pt>
                <c:pt idx="31">
                  <c:v>1</c:v>
                </c:pt>
                <c:pt idx="32">
                  <c:v>1</c:v>
                </c:pt>
                <c:pt idx="33">
                  <c:v>9</c:v>
                </c:pt>
                <c:pt idx="34">
                  <c:v>12</c:v>
                </c:pt>
                <c:pt idx="35">
                  <c:v>9</c:v>
                </c:pt>
                <c:pt idx="36">
                  <c:v>1</c:v>
                </c:pt>
                <c:pt idx="37">
                  <c:v>9</c:v>
                </c:pt>
                <c:pt idx="38">
                  <c:v>1</c:v>
                </c:pt>
                <c:pt idx="39">
                  <c:v>4</c:v>
                </c:pt>
                <c:pt idx="40">
                  <c:v>4</c:v>
                </c:pt>
                <c:pt idx="41">
                  <c:v>2</c:v>
                </c:pt>
                <c:pt idx="42">
                  <c:v>15</c:v>
                </c:pt>
                <c:pt idx="43">
                  <c:v>9</c:v>
                </c:pt>
                <c:pt idx="44">
                  <c:v>2</c:v>
                </c:pt>
                <c:pt idx="45">
                  <c:v>7</c:v>
                </c:pt>
                <c:pt idx="46">
                  <c:v>7</c:v>
                </c:pt>
                <c:pt idx="47">
                  <c:v>9</c:v>
                </c:pt>
                <c:pt idx="48">
                  <c:v>10</c:v>
                </c:pt>
                <c:pt idx="49">
                  <c:v>27</c:v>
                </c:pt>
                <c:pt idx="50">
                  <c:v>21</c:v>
                </c:pt>
                <c:pt idx="51">
                  <c:v>17</c:v>
                </c:pt>
                <c:pt idx="52">
                  <c:v>5</c:v>
                </c:pt>
                <c:pt idx="53">
                  <c:v>6</c:v>
                </c:pt>
                <c:pt idx="54">
                  <c:v>1</c:v>
                </c:pt>
                <c:pt idx="55">
                  <c:v>3</c:v>
                </c:pt>
                <c:pt idx="56">
                  <c:v>4</c:v>
                </c:pt>
                <c:pt idx="57">
                  <c:v>5</c:v>
                </c:pt>
                <c:pt idx="58">
                  <c:v>1</c:v>
                </c:pt>
                <c:pt idx="59">
                  <c:v>10</c:v>
                </c:pt>
                <c:pt idx="60">
                  <c:v>1</c:v>
                </c:pt>
                <c:pt idx="61">
                  <c:v>11</c:v>
                </c:pt>
                <c:pt idx="62">
                  <c:v>15</c:v>
                </c:pt>
                <c:pt idx="63">
                  <c:v>0</c:v>
                </c:pt>
                <c:pt idx="64">
                  <c:v>5</c:v>
                </c:pt>
                <c:pt idx="65">
                  <c:v>4</c:v>
                </c:pt>
                <c:pt idx="66">
                  <c:v>10</c:v>
                </c:pt>
                <c:pt idx="67">
                  <c:v>6</c:v>
                </c:pt>
                <c:pt idx="68">
                  <c:v>1</c:v>
                </c:pt>
                <c:pt idx="69">
                  <c:v>13</c:v>
                </c:pt>
                <c:pt idx="70">
                  <c:v>5</c:v>
                </c:pt>
                <c:pt idx="71">
                  <c:v>6</c:v>
                </c:pt>
                <c:pt idx="72">
                  <c:v>0</c:v>
                </c:pt>
                <c:pt idx="73">
                  <c:v>4</c:v>
                </c:pt>
                <c:pt idx="74">
                  <c:v>11</c:v>
                </c:pt>
                <c:pt idx="75">
                  <c:v>22</c:v>
                </c:pt>
                <c:pt idx="76">
                  <c:v>10</c:v>
                </c:pt>
                <c:pt idx="77">
                  <c:v>11</c:v>
                </c:pt>
                <c:pt idx="78">
                  <c:v>10</c:v>
                </c:pt>
                <c:pt idx="79">
                  <c:v>11</c:v>
                </c:pt>
                <c:pt idx="80">
                  <c:v>4</c:v>
                </c:pt>
                <c:pt idx="81">
                  <c:v>3</c:v>
                </c:pt>
                <c:pt idx="82">
                  <c:v>5</c:v>
                </c:pt>
                <c:pt idx="83">
                  <c:v>37</c:v>
                </c:pt>
                <c:pt idx="84">
                  <c:v>3</c:v>
                </c:pt>
                <c:pt idx="85">
                  <c:v>1</c:v>
                </c:pt>
                <c:pt idx="86">
                  <c:v>16</c:v>
                </c:pt>
                <c:pt idx="87">
                  <c:v>1</c:v>
                </c:pt>
                <c:pt idx="88">
                  <c:v>3</c:v>
                </c:pt>
                <c:pt idx="89">
                  <c:v>8</c:v>
                </c:pt>
                <c:pt idx="90">
                  <c:v>2</c:v>
                </c:pt>
                <c:pt idx="91">
                  <c:v>0</c:v>
                </c:pt>
                <c:pt idx="92">
                  <c:v>13</c:v>
                </c:pt>
                <c:pt idx="93">
                  <c:v>5</c:v>
                </c:pt>
                <c:pt idx="94">
                  <c:v>5</c:v>
                </c:pt>
                <c:pt idx="95">
                  <c:v>1</c:v>
                </c:pt>
                <c:pt idx="96">
                  <c:v>5</c:v>
                </c:pt>
                <c:pt idx="97">
                  <c:v>11</c:v>
                </c:pt>
                <c:pt idx="98">
                  <c:v>9</c:v>
                </c:pt>
                <c:pt idx="99">
                  <c:v>1</c:v>
                </c:pt>
                <c:pt idx="100">
                  <c:v>25</c:v>
                </c:pt>
                <c:pt idx="101">
                  <c:v>10</c:v>
                </c:pt>
                <c:pt idx="102">
                  <c:v>7</c:v>
                </c:pt>
                <c:pt idx="103">
                  <c:v>20</c:v>
                </c:pt>
                <c:pt idx="104">
                  <c:v>5</c:v>
                </c:pt>
                <c:pt idx="105">
                  <c:v>2</c:v>
                </c:pt>
                <c:pt idx="106">
                  <c:v>15</c:v>
                </c:pt>
                <c:pt idx="107">
                  <c:v>3</c:v>
                </c:pt>
                <c:pt idx="108">
                  <c:v>2</c:v>
                </c:pt>
                <c:pt idx="109">
                  <c:v>9</c:v>
                </c:pt>
                <c:pt idx="110">
                  <c:v>8</c:v>
                </c:pt>
                <c:pt idx="111">
                  <c:v>3</c:v>
                </c:pt>
                <c:pt idx="112">
                  <c:v>15</c:v>
                </c:pt>
                <c:pt idx="113">
                  <c:v>2</c:v>
                </c:pt>
                <c:pt idx="114">
                  <c:v>11</c:v>
                </c:pt>
                <c:pt idx="115">
                  <c:v>6</c:v>
                </c:pt>
                <c:pt idx="116">
                  <c:v>3</c:v>
                </c:pt>
                <c:pt idx="117">
                  <c:v>5</c:v>
                </c:pt>
                <c:pt idx="118">
                  <c:v>8</c:v>
                </c:pt>
                <c:pt idx="119">
                  <c:v>3</c:v>
                </c:pt>
                <c:pt idx="120">
                  <c:v>5</c:v>
                </c:pt>
                <c:pt idx="121">
                  <c:v>7</c:v>
                </c:pt>
                <c:pt idx="122">
                  <c:v>5</c:v>
                </c:pt>
                <c:pt idx="123">
                  <c:v>1</c:v>
                </c:pt>
                <c:pt idx="124">
                  <c:v>20</c:v>
                </c:pt>
                <c:pt idx="125">
                  <c:v>10</c:v>
                </c:pt>
                <c:pt idx="126">
                  <c:v>7</c:v>
                </c:pt>
                <c:pt idx="127">
                  <c:v>17</c:v>
                </c:pt>
                <c:pt idx="128">
                  <c:v>9</c:v>
                </c:pt>
                <c:pt idx="129">
                  <c:v>10</c:v>
                </c:pt>
                <c:pt idx="130">
                  <c:v>1</c:v>
                </c:pt>
                <c:pt idx="131">
                  <c:v>1</c:v>
                </c:pt>
                <c:pt idx="132">
                  <c:v>12</c:v>
                </c:pt>
                <c:pt idx="133">
                  <c:v>4</c:v>
                </c:pt>
                <c:pt idx="134">
                  <c:v>2</c:v>
                </c:pt>
                <c:pt idx="135">
                  <c:v>2</c:v>
                </c:pt>
                <c:pt idx="136">
                  <c:v>5</c:v>
                </c:pt>
                <c:pt idx="137">
                  <c:v>5</c:v>
                </c:pt>
                <c:pt idx="138">
                  <c:v>1</c:v>
                </c:pt>
                <c:pt idx="139">
                  <c:v>5</c:v>
                </c:pt>
                <c:pt idx="140">
                  <c:v>9</c:v>
                </c:pt>
                <c:pt idx="141">
                  <c:v>10</c:v>
                </c:pt>
                <c:pt idx="142">
                  <c:v>8</c:v>
                </c:pt>
                <c:pt idx="143">
                  <c:v>5</c:v>
                </c:pt>
                <c:pt idx="144">
                  <c:v>5</c:v>
                </c:pt>
                <c:pt idx="145">
                  <c:v>8</c:v>
                </c:pt>
                <c:pt idx="146">
                  <c:v>12</c:v>
                </c:pt>
                <c:pt idx="147">
                  <c:v>5</c:v>
                </c:pt>
                <c:pt idx="148">
                  <c:v>2</c:v>
                </c:pt>
                <c:pt idx="149">
                  <c:v>3</c:v>
                </c:pt>
                <c:pt idx="150">
                  <c:v>24</c:v>
                </c:pt>
                <c:pt idx="151">
                  <c:v>2</c:v>
                </c:pt>
                <c:pt idx="152">
                  <c:v>4</c:v>
                </c:pt>
                <c:pt idx="153">
                  <c:v>3</c:v>
                </c:pt>
                <c:pt idx="154">
                  <c:v>3</c:v>
                </c:pt>
                <c:pt idx="155">
                  <c:v>4</c:v>
                </c:pt>
                <c:pt idx="156">
                  <c:v>8</c:v>
                </c:pt>
                <c:pt idx="157">
                  <c:v>20</c:v>
                </c:pt>
                <c:pt idx="158">
                  <c:v>24</c:v>
                </c:pt>
                <c:pt idx="159">
                  <c:v>10</c:v>
                </c:pt>
                <c:pt idx="160">
                  <c:v>7</c:v>
                </c:pt>
                <c:pt idx="161">
                  <c:v>33</c:v>
                </c:pt>
                <c:pt idx="162">
                  <c:v>7</c:v>
                </c:pt>
                <c:pt idx="163">
                  <c:v>5</c:v>
                </c:pt>
                <c:pt idx="164">
                  <c:v>20</c:v>
                </c:pt>
                <c:pt idx="165">
                  <c:v>8</c:v>
                </c:pt>
                <c:pt idx="166">
                  <c:v>6</c:v>
                </c:pt>
                <c:pt idx="167">
                  <c:v>5</c:v>
                </c:pt>
                <c:pt idx="168">
                  <c:v>1</c:v>
                </c:pt>
                <c:pt idx="169">
                  <c:v>7</c:v>
                </c:pt>
                <c:pt idx="170">
                  <c:v>2</c:v>
                </c:pt>
                <c:pt idx="171">
                  <c:v>7</c:v>
                </c:pt>
                <c:pt idx="172">
                  <c:v>5</c:v>
                </c:pt>
                <c:pt idx="173">
                  <c:v>7</c:v>
                </c:pt>
                <c:pt idx="174">
                  <c:v>4</c:v>
                </c:pt>
                <c:pt idx="175">
                  <c:v>8</c:v>
                </c:pt>
                <c:pt idx="176">
                  <c:v>3</c:v>
                </c:pt>
                <c:pt idx="177">
                  <c:v>4</c:v>
                </c:pt>
                <c:pt idx="178">
                  <c:v>11</c:v>
                </c:pt>
                <c:pt idx="179">
                  <c:v>7</c:v>
                </c:pt>
                <c:pt idx="180">
                  <c:v>10</c:v>
                </c:pt>
                <c:pt idx="181">
                  <c:v>1</c:v>
                </c:pt>
                <c:pt idx="182">
                  <c:v>19</c:v>
                </c:pt>
                <c:pt idx="183">
                  <c:v>6</c:v>
                </c:pt>
                <c:pt idx="184">
                  <c:v>13</c:v>
                </c:pt>
                <c:pt idx="185">
                  <c:v>3</c:v>
                </c:pt>
                <c:pt idx="186">
                  <c:v>10</c:v>
                </c:pt>
                <c:pt idx="187">
                  <c:v>16</c:v>
                </c:pt>
                <c:pt idx="188">
                  <c:v>5</c:v>
                </c:pt>
                <c:pt idx="189">
                  <c:v>1</c:v>
                </c:pt>
                <c:pt idx="190">
                  <c:v>9</c:v>
                </c:pt>
                <c:pt idx="191">
                  <c:v>11</c:v>
                </c:pt>
                <c:pt idx="192">
                  <c:v>10</c:v>
                </c:pt>
                <c:pt idx="193">
                  <c:v>2</c:v>
                </c:pt>
                <c:pt idx="194">
                  <c:v>22</c:v>
                </c:pt>
                <c:pt idx="195">
                  <c:v>2</c:v>
                </c:pt>
                <c:pt idx="196">
                  <c:v>7</c:v>
                </c:pt>
                <c:pt idx="197">
                  <c:v>17</c:v>
                </c:pt>
                <c:pt idx="198">
                  <c:v>33</c:v>
                </c:pt>
                <c:pt idx="199">
                  <c:v>4</c:v>
                </c:pt>
                <c:pt idx="200">
                  <c:v>3</c:v>
                </c:pt>
                <c:pt idx="201">
                  <c:v>3</c:v>
                </c:pt>
                <c:pt idx="202">
                  <c:v>1</c:v>
                </c:pt>
                <c:pt idx="203">
                  <c:v>9</c:v>
                </c:pt>
                <c:pt idx="204">
                  <c:v>24</c:v>
                </c:pt>
                <c:pt idx="205">
                  <c:v>2</c:v>
                </c:pt>
                <c:pt idx="206">
                  <c:v>2</c:v>
                </c:pt>
                <c:pt idx="207">
                  <c:v>11</c:v>
                </c:pt>
                <c:pt idx="208">
                  <c:v>3</c:v>
                </c:pt>
                <c:pt idx="209">
                  <c:v>3</c:v>
                </c:pt>
                <c:pt idx="210">
                  <c:v>19</c:v>
                </c:pt>
                <c:pt idx="211">
                  <c:v>6</c:v>
                </c:pt>
                <c:pt idx="212">
                  <c:v>3</c:v>
                </c:pt>
                <c:pt idx="213">
                  <c:v>3</c:v>
                </c:pt>
                <c:pt idx="214">
                  <c:v>4</c:v>
                </c:pt>
                <c:pt idx="215">
                  <c:v>9</c:v>
                </c:pt>
                <c:pt idx="216">
                  <c:v>21</c:v>
                </c:pt>
                <c:pt idx="217">
                  <c:v>1</c:v>
                </c:pt>
                <c:pt idx="218">
                  <c:v>5</c:v>
                </c:pt>
                <c:pt idx="219">
                  <c:v>8</c:v>
                </c:pt>
                <c:pt idx="220">
                  <c:v>6</c:v>
                </c:pt>
                <c:pt idx="221">
                  <c:v>7</c:v>
                </c:pt>
                <c:pt idx="222">
                  <c:v>0</c:v>
                </c:pt>
                <c:pt idx="223">
                  <c:v>9</c:v>
                </c:pt>
                <c:pt idx="224">
                  <c:v>6</c:v>
                </c:pt>
                <c:pt idx="225">
                  <c:v>20</c:v>
                </c:pt>
                <c:pt idx="226">
                  <c:v>15</c:v>
                </c:pt>
                <c:pt idx="227">
                  <c:v>36</c:v>
                </c:pt>
                <c:pt idx="228">
                  <c:v>5</c:v>
                </c:pt>
                <c:pt idx="229">
                  <c:v>5</c:v>
                </c:pt>
                <c:pt idx="230">
                  <c:v>3</c:v>
                </c:pt>
                <c:pt idx="231">
                  <c:v>5</c:v>
                </c:pt>
                <c:pt idx="232">
                  <c:v>7</c:v>
                </c:pt>
                <c:pt idx="233">
                  <c:v>8</c:v>
                </c:pt>
                <c:pt idx="234">
                  <c:v>6</c:v>
                </c:pt>
                <c:pt idx="235">
                  <c:v>10</c:v>
                </c:pt>
                <c:pt idx="236">
                  <c:v>5</c:v>
                </c:pt>
                <c:pt idx="237">
                  <c:v>20</c:v>
                </c:pt>
                <c:pt idx="238">
                  <c:v>10</c:v>
                </c:pt>
                <c:pt idx="239">
                  <c:v>10</c:v>
                </c:pt>
                <c:pt idx="240">
                  <c:v>5</c:v>
                </c:pt>
                <c:pt idx="241">
                  <c:v>17</c:v>
                </c:pt>
                <c:pt idx="242">
                  <c:v>2</c:v>
                </c:pt>
                <c:pt idx="243">
                  <c:v>5</c:v>
                </c:pt>
                <c:pt idx="244">
                  <c:v>3</c:v>
                </c:pt>
                <c:pt idx="245">
                  <c:v>8</c:v>
                </c:pt>
                <c:pt idx="246">
                  <c:v>2</c:v>
                </c:pt>
                <c:pt idx="247">
                  <c:v>4</c:v>
                </c:pt>
                <c:pt idx="248">
                  <c:v>20</c:v>
                </c:pt>
                <c:pt idx="249">
                  <c:v>11</c:v>
                </c:pt>
                <c:pt idx="250">
                  <c:v>1</c:v>
                </c:pt>
                <c:pt idx="251">
                  <c:v>4</c:v>
                </c:pt>
                <c:pt idx="252">
                  <c:v>22</c:v>
                </c:pt>
                <c:pt idx="253">
                  <c:v>0</c:v>
                </c:pt>
                <c:pt idx="254">
                  <c:v>8</c:v>
                </c:pt>
                <c:pt idx="255">
                  <c:v>8</c:v>
                </c:pt>
                <c:pt idx="256">
                  <c:v>18</c:v>
                </c:pt>
                <c:pt idx="257">
                  <c:v>9</c:v>
                </c:pt>
                <c:pt idx="258">
                  <c:v>13</c:v>
                </c:pt>
                <c:pt idx="259">
                  <c:v>10</c:v>
                </c:pt>
                <c:pt idx="260">
                  <c:v>5</c:v>
                </c:pt>
                <c:pt idx="261">
                  <c:v>5</c:v>
                </c:pt>
                <c:pt idx="262">
                  <c:v>2</c:v>
                </c:pt>
                <c:pt idx="263">
                  <c:v>24</c:v>
                </c:pt>
                <c:pt idx="264">
                  <c:v>2</c:v>
                </c:pt>
                <c:pt idx="265">
                  <c:v>10</c:v>
                </c:pt>
                <c:pt idx="266">
                  <c:v>21</c:v>
                </c:pt>
                <c:pt idx="267">
                  <c:v>8</c:v>
                </c:pt>
                <c:pt idx="268">
                  <c:v>7</c:v>
                </c:pt>
                <c:pt idx="269">
                  <c:v>4</c:v>
                </c:pt>
                <c:pt idx="270">
                  <c:v>13</c:v>
                </c:pt>
                <c:pt idx="271">
                  <c:v>5</c:v>
                </c:pt>
                <c:pt idx="272">
                  <c:v>7</c:v>
                </c:pt>
                <c:pt idx="273">
                  <c:v>7</c:v>
                </c:pt>
                <c:pt idx="274">
                  <c:v>10</c:v>
                </c:pt>
                <c:pt idx="275">
                  <c:v>10</c:v>
                </c:pt>
                <c:pt idx="276">
                  <c:v>21</c:v>
                </c:pt>
                <c:pt idx="277">
                  <c:v>7</c:v>
                </c:pt>
                <c:pt idx="278">
                  <c:v>3</c:v>
                </c:pt>
                <c:pt idx="279">
                  <c:v>9</c:v>
                </c:pt>
                <c:pt idx="280">
                  <c:v>5</c:v>
                </c:pt>
                <c:pt idx="281">
                  <c:v>4</c:v>
                </c:pt>
                <c:pt idx="282">
                  <c:v>1</c:v>
                </c:pt>
                <c:pt idx="283">
                  <c:v>10</c:v>
                </c:pt>
                <c:pt idx="284">
                  <c:v>4</c:v>
                </c:pt>
                <c:pt idx="285">
                  <c:v>3</c:v>
                </c:pt>
                <c:pt idx="286">
                  <c:v>10</c:v>
                </c:pt>
                <c:pt idx="287">
                  <c:v>8</c:v>
                </c:pt>
                <c:pt idx="288">
                  <c:v>6</c:v>
                </c:pt>
                <c:pt idx="289">
                  <c:v>11</c:v>
                </c:pt>
                <c:pt idx="290">
                  <c:v>11</c:v>
                </c:pt>
                <c:pt idx="291">
                  <c:v>7</c:v>
                </c:pt>
                <c:pt idx="292">
                  <c:v>16</c:v>
                </c:pt>
                <c:pt idx="293">
                  <c:v>4</c:v>
                </c:pt>
                <c:pt idx="294">
                  <c:v>5</c:v>
                </c:pt>
                <c:pt idx="295">
                  <c:v>0</c:v>
                </c:pt>
                <c:pt idx="296">
                  <c:v>1</c:v>
                </c:pt>
                <c:pt idx="297">
                  <c:v>4</c:v>
                </c:pt>
                <c:pt idx="298">
                  <c:v>3</c:v>
                </c:pt>
                <c:pt idx="299">
                  <c:v>8</c:v>
                </c:pt>
                <c:pt idx="300">
                  <c:v>0</c:v>
                </c:pt>
                <c:pt idx="301">
                  <c:v>7</c:v>
                </c:pt>
                <c:pt idx="302">
                  <c:v>2</c:v>
                </c:pt>
                <c:pt idx="303">
                  <c:v>8</c:v>
                </c:pt>
                <c:pt idx="304">
                  <c:v>1</c:v>
                </c:pt>
                <c:pt idx="305">
                  <c:v>1</c:v>
                </c:pt>
                <c:pt idx="306">
                  <c:v>13</c:v>
                </c:pt>
                <c:pt idx="307">
                  <c:v>3</c:v>
                </c:pt>
                <c:pt idx="308">
                  <c:v>7</c:v>
                </c:pt>
                <c:pt idx="309">
                  <c:v>3</c:v>
                </c:pt>
                <c:pt idx="310">
                  <c:v>5</c:v>
                </c:pt>
                <c:pt idx="311">
                  <c:v>1</c:v>
                </c:pt>
                <c:pt idx="312">
                  <c:v>4</c:v>
                </c:pt>
                <c:pt idx="313">
                  <c:v>2</c:v>
                </c:pt>
                <c:pt idx="314">
                  <c:v>3</c:v>
                </c:pt>
                <c:pt idx="315">
                  <c:v>1</c:v>
                </c:pt>
                <c:pt idx="316">
                  <c:v>5</c:v>
                </c:pt>
                <c:pt idx="317">
                  <c:v>7</c:v>
                </c:pt>
                <c:pt idx="318">
                  <c:v>5</c:v>
                </c:pt>
                <c:pt idx="319">
                  <c:v>7</c:v>
                </c:pt>
                <c:pt idx="320">
                  <c:v>2</c:v>
                </c:pt>
                <c:pt idx="321">
                  <c:v>5</c:v>
                </c:pt>
                <c:pt idx="322">
                  <c:v>5</c:v>
                </c:pt>
                <c:pt idx="323">
                  <c:v>1</c:v>
                </c:pt>
                <c:pt idx="324">
                  <c:v>2</c:v>
                </c:pt>
                <c:pt idx="325">
                  <c:v>10</c:v>
                </c:pt>
                <c:pt idx="326">
                  <c:v>18</c:v>
                </c:pt>
                <c:pt idx="327">
                  <c:v>5</c:v>
                </c:pt>
                <c:pt idx="328">
                  <c:v>5</c:v>
                </c:pt>
                <c:pt idx="329">
                  <c:v>1</c:v>
                </c:pt>
                <c:pt idx="330">
                  <c:v>25</c:v>
                </c:pt>
                <c:pt idx="331">
                  <c:v>1</c:v>
                </c:pt>
                <c:pt idx="332">
                  <c:v>4</c:v>
                </c:pt>
                <c:pt idx="333">
                  <c:v>3</c:v>
                </c:pt>
                <c:pt idx="334">
                  <c:v>13</c:v>
                </c:pt>
                <c:pt idx="335">
                  <c:v>3</c:v>
                </c:pt>
                <c:pt idx="336">
                  <c:v>5</c:v>
                </c:pt>
                <c:pt idx="337">
                  <c:v>5</c:v>
                </c:pt>
                <c:pt idx="338">
                  <c:v>13</c:v>
                </c:pt>
                <c:pt idx="339">
                  <c:v>4</c:v>
                </c:pt>
                <c:pt idx="340">
                  <c:v>21</c:v>
                </c:pt>
                <c:pt idx="341">
                  <c:v>7</c:v>
                </c:pt>
                <c:pt idx="342">
                  <c:v>5</c:v>
                </c:pt>
                <c:pt idx="343">
                  <c:v>10</c:v>
                </c:pt>
                <c:pt idx="344">
                  <c:v>10</c:v>
                </c:pt>
                <c:pt idx="345">
                  <c:v>5</c:v>
                </c:pt>
                <c:pt idx="346">
                  <c:v>2</c:v>
                </c:pt>
                <c:pt idx="347">
                  <c:v>5</c:v>
                </c:pt>
                <c:pt idx="348">
                  <c:v>5</c:v>
                </c:pt>
                <c:pt idx="349">
                  <c:v>5</c:v>
                </c:pt>
                <c:pt idx="350">
                  <c:v>29</c:v>
                </c:pt>
                <c:pt idx="351">
                  <c:v>10</c:v>
                </c:pt>
                <c:pt idx="352">
                  <c:v>6</c:v>
                </c:pt>
                <c:pt idx="353">
                  <c:v>1</c:v>
                </c:pt>
                <c:pt idx="354">
                  <c:v>20</c:v>
                </c:pt>
                <c:pt idx="355">
                  <c:v>3</c:v>
                </c:pt>
                <c:pt idx="356">
                  <c:v>5</c:v>
                </c:pt>
                <c:pt idx="357">
                  <c:v>10</c:v>
                </c:pt>
                <c:pt idx="358">
                  <c:v>9</c:v>
                </c:pt>
                <c:pt idx="359">
                  <c:v>1</c:v>
                </c:pt>
                <c:pt idx="360">
                  <c:v>27</c:v>
                </c:pt>
                <c:pt idx="361">
                  <c:v>11</c:v>
                </c:pt>
                <c:pt idx="362">
                  <c:v>18</c:v>
                </c:pt>
                <c:pt idx="363">
                  <c:v>5</c:v>
                </c:pt>
                <c:pt idx="364">
                  <c:v>3</c:v>
                </c:pt>
                <c:pt idx="365">
                  <c:v>5</c:v>
                </c:pt>
                <c:pt idx="366">
                  <c:v>1</c:v>
                </c:pt>
                <c:pt idx="367">
                  <c:v>7</c:v>
                </c:pt>
                <c:pt idx="368">
                  <c:v>3</c:v>
                </c:pt>
                <c:pt idx="369">
                  <c:v>13</c:v>
                </c:pt>
                <c:pt idx="370">
                  <c:v>3</c:v>
                </c:pt>
                <c:pt idx="371">
                  <c:v>8</c:v>
                </c:pt>
                <c:pt idx="372">
                  <c:v>2</c:v>
                </c:pt>
                <c:pt idx="373">
                  <c:v>10</c:v>
                </c:pt>
                <c:pt idx="374">
                  <c:v>9</c:v>
                </c:pt>
                <c:pt idx="375">
                  <c:v>10</c:v>
                </c:pt>
                <c:pt idx="376">
                  <c:v>14</c:v>
                </c:pt>
                <c:pt idx="377">
                  <c:v>11</c:v>
                </c:pt>
                <c:pt idx="378">
                  <c:v>20</c:v>
                </c:pt>
                <c:pt idx="379">
                  <c:v>8</c:v>
                </c:pt>
                <c:pt idx="380">
                  <c:v>6</c:v>
                </c:pt>
                <c:pt idx="381">
                  <c:v>10</c:v>
                </c:pt>
                <c:pt idx="382">
                  <c:v>8</c:v>
                </c:pt>
                <c:pt idx="383">
                  <c:v>3</c:v>
                </c:pt>
                <c:pt idx="384">
                  <c:v>6</c:v>
                </c:pt>
                <c:pt idx="385">
                  <c:v>5</c:v>
                </c:pt>
                <c:pt idx="386">
                  <c:v>1</c:v>
                </c:pt>
                <c:pt idx="387">
                  <c:v>8</c:v>
                </c:pt>
                <c:pt idx="388">
                  <c:v>0</c:v>
                </c:pt>
                <c:pt idx="389">
                  <c:v>5</c:v>
                </c:pt>
                <c:pt idx="390">
                  <c:v>10</c:v>
                </c:pt>
                <c:pt idx="391">
                  <c:v>6</c:v>
                </c:pt>
                <c:pt idx="392">
                  <c:v>2</c:v>
                </c:pt>
                <c:pt idx="393">
                  <c:v>18</c:v>
                </c:pt>
                <c:pt idx="394">
                  <c:v>9</c:v>
                </c:pt>
                <c:pt idx="395">
                  <c:v>10</c:v>
                </c:pt>
                <c:pt idx="396">
                  <c:v>2</c:v>
                </c:pt>
                <c:pt idx="397">
                  <c:v>1</c:v>
                </c:pt>
                <c:pt idx="398">
                  <c:v>6</c:v>
                </c:pt>
                <c:pt idx="399">
                  <c:v>31</c:v>
                </c:pt>
                <c:pt idx="400">
                  <c:v>6</c:v>
                </c:pt>
                <c:pt idx="401">
                  <c:v>5</c:v>
                </c:pt>
                <c:pt idx="402">
                  <c:v>1</c:v>
                </c:pt>
                <c:pt idx="403">
                  <c:v>32</c:v>
                </c:pt>
                <c:pt idx="404">
                  <c:v>7</c:v>
                </c:pt>
                <c:pt idx="405">
                  <c:v>6</c:v>
                </c:pt>
                <c:pt idx="406">
                  <c:v>3</c:v>
                </c:pt>
                <c:pt idx="407">
                  <c:v>7</c:v>
                </c:pt>
                <c:pt idx="408">
                  <c:v>5</c:v>
                </c:pt>
                <c:pt idx="409">
                  <c:v>3</c:v>
                </c:pt>
                <c:pt idx="410">
                  <c:v>1</c:v>
                </c:pt>
                <c:pt idx="411">
                  <c:v>10</c:v>
                </c:pt>
                <c:pt idx="412">
                  <c:v>1</c:v>
                </c:pt>
                <c:pt idx="413">
                  <c:v>0</c:v>
                </c:pt>
                <c:pt idx="414">
                  <c:v>8</c:v>
                </c:pt>
                <c:pt idx="415">
                  <c:v>3</c:v>
                </c:pt>
                <c:pt idx="416">
                  <c:v>2</c:v>
                </c:pt>
                <c:pt idx="417">
                  <c:v>8</c:v>
                </c:pt>
                <c:pt idx="418">
                  <c:v>3</c:v>
                </c:pt>
                <c:pt idx="419">
                  <c:v>2</c:v>
                </c:pt>
                <c:pt idx="420">
                  <c:v>2</c:v>
                </c:pt>
                <c:pt idx="421">
                  <c:v>5</c:v>
                </c:pt>
                <c:pt idx="422">
                  <c:v>6</c:v>
                </c:pt>
                <c:pt idx="423">
                  <c:v>1</c:v>
                </c:pt>
                <c:pt idx="424">
                  <c:v>14</c:v>
                </c:pt>
                <c:pt idx="425">
                  <c:v>10</c:v>
                </c:pt>
                <c:pt idx="426">
                  <c:v>3</c:v>
                </c:pt>
                <c:pt idx="427">
                  <c:v>10</c:v>
                </c:pt>
                <c:pt idx="428">
                  <c:v>6</c:v>
                </c:pt>
                <c:pt idx="429">
                  <c:v>17</c:v>
                </c:pt>
                <c:pt idx="430">
                  <c:v>13</c:v>
                </c:pt>
                <c:pt idx="431">
                  <c:v>9</c:v>
                </c:pt>
                <c:pt idx="432">
                  <c:v>3</c:v>
                </c:pt>
                <c:pt idx="433">
                  <c:v>4</c:v>
                </c:pt>
                <c:pt idx="434">
                  <c:v>1</c:v>
                </c:pt>
                <c:pt idx="435">
                  <c:v>3</c:v>
                </c:pt>
                <c:pt idx="436">
                  <c:v>3</c:v>
                </c:pt>
                <c:pt idx="437">
                  <c:v>7</c:v>
                </c:pt>
                <c:pt idx="438">
                  <c:v>10</c:v>
                </c:pt>
                <c:pt idx="439">
                  <c:v>2</c:v>
                </c:pt>
                <c:pt idx="440">
                  <c:v>6</c:v>
                </c:pt>
                <c:pt idx="441">
                  <c:v>1</c:v>
                </c:pt>
                <c:pt idx="442">
                  <c:v>20</c:v>
                </c:pt>
                <c:pt idx="443">
                  <c:v>8</c:v>
                </c:pt>
                <c:pt idx="444">
                  <c:v>20</c:v>
                </c:pt>
                <c:pt idx="445">
                  <c:v>10</c:v>
                </c:pt>
                <c:pt idx="446">
                  <c:v>9</c:v>
                </c:pt>
                <c:pt idx="447">
                  <c:v>9</c:v>
                </c:pt>
                <c:pt idx="448">
                  <c:v>7</c:v>
                </c:pt>
                <c:pt idx="449">
                  <c:v>7</c:v>
                </c:pt>
                <c:pt idx="450">
                  <c:v>18</c:v>
                </c:pt>
                <c:pt idx="451">
                  <c:v>5</c:v>
                </c:pt>
                <c:pt idx="452">
                  <c:v>21</c:v>
                </c:pt>
                <c:pt idx="453">
                  <c:v>2</c:v>
                </c:pt>
                <c:pt idx="454">
                  <c:v>9</c:v>
                </c:pt>
                <c:pt idx="455">
                  <c:v>22</c:v>
                </c:pt>
                <c:pt idx="456">
                  <c:v>2</c:v>
                </c:pt>
                <c:pt idx="457">
                  <c:v>8</c:v>
                </c:pt>
                <c:pt idx="458">
                  <c:v>1</c:v>
                </c:pt>
                <c:pt idx="459">
                  <c:v>5</c:v>
                </c:pt>
                <c:pt idx="460">
                  <c:v>22</c:v>
                </c:pt>
                <c:pt idx="461">
                  <c:v>8</c:v>
                </c:pt>
                <c:pt idx="462">
                  <c:v>1</c:v>
                </c:pt>
                <c:pt idx="463">
                  <c:v>2</c:v>
                </c:pt>
                <c:pt idx="464">
                  <c:v>5</c:v>
                </c:pt>
                <c:pt idx="465">
                  <c:v>4</c:v>
                </c:pt>
                <c:pt idx="466">
                  <c:v>8</c:v>
                </c:pt>
                <c:pt idx="467">
                  <c:v>10</c:v>
                </c:pt>
                <c:pt idx="468">
                  <c:v>4</c:v>
                </c:pt>
                <c:pt idx="469">
                  <c:v>7</c:v>
                </c:pt>
                <c:pt idx="470">
                  <c:v>2</c:v>
                </c:pt>
                <c:pt idx="471">
                  <c:v>2</c:v>
                </c:pt>
                <c:pt idx="472">
                  <c:v>1</c:v>
                </c:pt>
                <c:pt idx="473">
                  <c:v>10</c:v>
                </c:pt>
                <c:pt idx="474">
                  <c:v>1</c:v>
                </c:pt>
                <c:pt idx="475">
                  <c:v>0</c:v>
                </c:pt>
                <c:pt idx="476">
                  <c:v>34</c:v>
                </c:pt>
                <c:pt idx="477">
                  <c:v>6</c:v>
                </c:pt>
                <c:pt idx="478">
                  <c:v>8</c:v>
                </c:pt>
                <c:pt idx="479">
                  <c:v>2</c:v>
                </c:pt>
                <c:pt idx="480">
                  <c:v>6</c:v>
                </c:pt>
                <c:pt idx="481">
                  <c:v>10</c:v>
                </c:pt>
                <c:pt idx="482">
                  <c:v>4</c:v>
                </c:pt>
                <c:pt idx="483">
                  <c:v>2</c:v>
                </c:pt>
                <c:pt idx="484">
                  <c:v>8</c:v>
                </c:pt>
                <c:pt idx="485">
                  <c:v>4</c:v>
                </c:pt>
                <c:pt idx="486">
                  <c:v>5</c:v>
                </c:pt>
                <c:pt idx="487">
                  <c:v>4</c:v>
                </c:pt>
                <c:pt idx="488">
                  <c:v>5</c:v>
                </c:pt>
                <c:pt idx="489">
                  <c:v>15</c:v>
                </c:pt>
                <c:pt idx="490">
                  <c:v>6</c:v>
                </c:pt>
                <c:pt idx="491">
                  <c:v>3</c:v>
                </c:pt>
                <c:pt idx="492">
                  <c:v>2</c:v>
                </c:pt>
                <c:pt idx="493">
                  <c:v>8</c:v>
                </c:pt>
                <c:pt idx="494">
                  <c:v>3</c:v>
                </c:pt>
                <c:pt idx="495">
                  <c:v>24</c:v>
                </c:pt>
                <c:pt idx="496">
                  <c:v>1</c:v>
                </c:pt>
                <c:pt idx="497">
                  <c:v>5</c:v>
                </c:pt>
                <c:pt idx="498">
                  <c:v>4</c:v>
                </c:pt>
                <c:pt idx="499">
                  <c:v>13</c:v>
                </c:pt>
                <c:pt idx="500">
                  <c:v>26</c:v>
                </c:pt>
                <c:pt idx="501">
                  <c:v>9</c:v>
                </c:pt>
                <c:pt idx="502">
                  <c:v>10</c:v>
                </c:pt>
                <c:pt idx="503">
                  <c:v>2</c:v>
                </c:pt>
                <c:pt idx="504">
                  <c:v>4</c:v>
                </c:pt>
                <c:pt idx="505">
                  <c:v>5</c:v>
                </c:pt>
                <c:pt idx="506">
                  <c:v>14</c:v>
                </c:pt>
                <c:pt idx="507">
                  <c:v>1</c:v>
                </c:pt>
                <c:pt idx="508">
                  <c:v>0</c:v>
                </c:pt>
                <c:pt idx="509">
                  <c:v>1</c:v>
                </c:pt>
                <c:pt idx="510">
                  <c:v>9</c:v>
                </c:pt>
                <c:pt idx="511">
                  <c:v>4</c:v>
                </c:pt>
                <c:pt idx="512">
                  <c:v>5</c:v>
                </c:pt>
                <c:pt idx="513">
                  <c:v>4</c:v>
                </c:pt>
                <c:pt idx="514">
                  <c:v>9</c:v>
                </c:pt>
                <c:pt idx="515">
                  <c:v>8</c:v>
                </c:pt>
                <c:pt idx="516">
                  <c:v>8</c:v>
                </c:pt>
                <c:pt idx="517">
                  <c:v>3</c:v>
                </c:pt>
                <c:pt idx="518">
                  <c:v>0</c:v>
                </c:pt>
                <c:pt idx="519">
                  <c:v>20</c:v>
                </c:pt>
                <c:pt idx="520">
                  <c:v>5</c:v>
                </c:pt>
                <c:pt idx="521">
                  <c:v>4</c:v>
                </c:pt>
                <c:pt idx="522">
                  <c:v>9</c:v>
                </c:pt>
                <c:pt idx="523">
                  <c:v>6</c:v>
                </c:pt>
                <c:pt idx="524">
                  <c:v>18</c:v>
                </c:pt>
                <c:pt idx="525">
                  <c:v>5</c:v>
                </c:pt>
                <c:pt idx="526">
                  <c:v>5</c:v>
                </c:pt>
                <c:pt idx="527">
                  <c:v>5</c:v>
                </c:pt>
                <c:pt idx="528">
                  <c:v>5</c:v>
                </c:pt>
                <c:pt idx="529">
                  <c:v>5</c:v>
                </c:pt>
                <c:pt idx="530">
                  <c:v>9</c:v>
                </c:pt>
                <c:pt idx="531">
                  <c:v>1</c:v>
                </c:pt>
                <c:pt idx="532">
                  <c:v>5</c:v>
                </c:pt>
                <c:pt idx="533">
                  <c:v>2</c:v>
                </c:pt>
                <c:pt idx="534">
                  <c:v>3</c:v>
                </c:pt>
                <c:pt idx="535">
                  <c:v>2</c:v>
                </c:pt>
                <c:pt idx="536">
                  <c:v>5</c:v>
                </c:pt>
                <c:pt idx="537">
                  <c:v>5</c:v>
                </c:pt>
                <c:pt idx="538">
                  <c:v>17</c:v>
                </c:pt>
                <c:pt idx="539">
                  <c:v>3</c:v>
                </c:pt>
                <c:pt idx="540">
                  <c:v>5</c:v>
                </c:pt>
                <c:pt idx="541">
                  <c:v>4</c:v>
                </c:pt>
                <c:pt idx="542">
                  <c:v>5</c:v>
                </c:pt>
                <c:pt idx="543">
                  <c:v>10</c:v>
                </c:pt>
                <c:pt idx="544">
                  <c:v>2</c:v>
                </c:pt>
                <c:pt idx="545">
                  <c:v>5</c:v>
                </c:pt>
                <c:pt idx="546">
                  <c:v>6</c:v>
                </c:pt>
                <c:pt idx="547">
                  <c:v>2</c:v>
                </c:pt>
                <c:pt idx="548">
                  <c:v>13</c:v>
                </c:pt>
                <c:pt idx="549">
                  <c:v>5</c:v>
                </c:pt>
                <c:pt idx="550">
                  <c:v>12</c:v>
                </c:pt>
                <c:pt idx="551">
                  <c:v>5</c:v>
                </c:pt>
                <c:pt idx="552">
                  <c:v>7</c:v>
                </c:pt>
                <c:pt idx="553">
                  <c:v>10</c:v>
                </c:pt>
                <c:pt idx="554">
                  <c:v>31</c:v>
                </c:pt>
                <c:pt idx="555">
                  <c:v>5</c:v>
                </c:pt>
                <c:pt idx="556">
                  <c:v>4</c:v>
                </c:pt>
                <c:pt idx="557">
                  <c:v>4</c:v>
                </c:pt>
                <c:pt idx="558">
                  <c:v>8</c:v>
                </c:pt>
                <c:pt idx="559">
                  <c:v>4</c:v>
                </c:pt>
                <c:pt idx="560">
                  <c:v>1</c:v>
                </c:pt>
                <c:pt idx="561">
                  <c:v>16</c:v>
                </c:pt>
                <c:pt idx="562">
                  <c:v>3</c:v>
                </c:pt>
                <c:pt idx="563">
                  <c:v>2</c:v>
                </c:pt>
                <c:pt idx="564">
                  <c:v>1</c:v>
                </c:pt>
                <c:pt idx="565">
                  <c:v>1</c:v>
                </c:pt>
                <c:pt idx="566">
                  <c:v>5</c:v>
                </c:pt>
                <c:pt idx="567">
                  <c:v>3</c:v>
                </c:pt>
                <c:pt idx="568">
                  <c:v>6</c:v>
                </c:pt>
                <c:pt idx="569">
                  <c:v>7</c:v>
                </c:pt>
                <c:pt idx="570">
                  <c:v>10</c:v>
                </c:pt>
                <c:pt idx="571">
                  <c:v>26</c:v>
                </c:pt>
                <c:pt idx="572">
                  <c:v>0</c:v>
                </c:pt>
                <c:pt idx="573">
                  <c:v>9</c:v>
                </c:pt>
                <c:pt idx="574">
                  <c:v>6</c:v>
                </c:pt>
                <c:pt idx="575">
                  <c:v>15</c:v>
                </c:pt>
                <c:pt idx="576">
                  <c:v>3</c:v>
                </c:pt>
                <c:pt idx="577">
                  <c:v>1</c:v>
                </c:pt>
                <c:pt idx="578">
                  <c:v>7</c:v>
                </c:pt>
                <c:pt idx="579">
                  <c:v>18</c:v>
                </c:pt>
                <c:pt idx="580">
                  <c:v>11</c:v>
                </c:pt>
                <c:pt idx="581">
                  <c:v>9</c:v>
                </c:pt>
                <c:pt idx="582">
                  <c:v>1</c:v>
                </c:pt>
                <c:pt idx="583">
                  <c:v>8</c:v>
                </c:pt>
                <c:pt idx="584">
                  <c:v>5</c:v>
                </c:pt>
                <c:pt idx="585">
                  <c:v>9</c:v>
                </c:pt>
                <c:pt idx="586">
                  <c:v>3</c:v>
                </c:pt>
                <c:pt idx="587">
                  <c:v>5</c:v>
                </c:pt>
                <c:pt idx="588">
                  <c:v>9</c:v>
                </c:pt>
                <c:pt idx="589">
                  <c:v>17</c:v>
                </c:pt>
                <c:pt idx="590">
                  <c:v>8</c:v>
                </c:pt>
                <c:pt idx="591">
                  <c:v>5</c:v>
                </c:pt>
                <c:pt idx="592">
                  <c:v>10</c:v>
                </c:pt>
                <c:pt idx="593">
                  <c:v>8</c:v>
                </c:pt>
                <c:pt idx="594">
                  <c:v>19</c:v>
                </c:pt>
                <c:pt idx="595">
                  <c:v>7</c:v>
                </c:pt>
                <c:pt idx="596">
                  <c:v>10</c:v>
                </c:pt>
                <c:pt idx="597">
                  <c:v>3</c:v>
                </c:pt>
                <c:pt idx="598">
                  <c:v>5</c:v>
                </c:pt>
                <c:pt idx="599">
                  <c:v>5</c:v>
                </c:pt>
                <c:pt idx="600">
                  <c:v>6</c:v>
                </c:pt>
                <c:pt idx="601">
                  <c:v>18</c:v>
                </c:pt>
                <c:pt idx="602">
                  <c:v>2</c:v>
                </c:pt>
                <c:pt idx="603">
                  <c:v>9</c:v>
                </c:pt>
                <c:pt idx="604">
                  <c:v>9</c:v>
                </c:pt>
                <c:pt idx="605">
                  <c:v>12</c:v>
                </c:pt>
                <c:pt idx="606">
                  <c:v>2</c:v>
                </c:pt>
                <c:pt idx="607">
                  <c:v>8</c:v>
                </c:pt>
                <c:pt idx="608">
                  <c:v>4</c:v>
                </c:pt>
                <c:pt idx="609">
                  <c:v>4</c:v>
                </c:pt>
                <c:pt idx="610">
                  <c:v>0</c:v>
                </c:pt>
                <c:pt idx="611">
                  <c:v>10</c:v>
                </c:pt>
                <c:pt idx="612">
                  <c:v>16</c:v>
                </c:pt>
                <c:pt idx="613">
                  <c:v>8</c:v>
                </c:pt>
                <c:pt idx="614">
                  <c:v>8</c:v>
                </c:pt>
                <c:pt idx="615">
                  <c:v>4</c:v>
                </c:pt>
                <c:pt idx="616">
                  <c:v>2</c:v>
                </c:pt>
                <c:pt idx="617">
                  <c:v>15</c:v>
                </c:pt>
                <c:pt idx="618">
                  <c:v>2</c:v>
                </c:pt>
                <c:pt idx="619">
                  <c:v>21</c:v>
                </c:pt>
                <c:pt idx="620">
                  <c:v>3</c:v>
                </c:pt>
                <c:pt idx="621">
                  <c:v>3</c:v>
                </c:pt>
                <c:pt idx="622">
                  <c:v>1</c:v>
                </c:pt>
                <c:pt idx="623">
                  <c:v>1</c:v>
                </c:pt>
                <c:pt idx="624">
                  <c:v>5</c:v>
                </c:pt>
                <c:pt idx="625">
                  <c:v>8</c:v>
                </c:pt>
                <c:pt idx="626">
                  <c:v>21</c:v>
                </c:pt>
                <c:pt idx="627">
                  <c:v>1</c:v>
                </c:pt>
                <c:pt idx="628">
                  <c:v>12</c:v>
                </c:pt>
                <c:pt idx="629">
                  <c:v>18</c:v>
                </c:pt>
                <c:pt idx="630">
                  <c:v>21</c:v>
                </c:pt>
                <c:pt idx="631">
                  <c:v>2</c:v>
                </c:pt>
                <c:pt idx="632">
                  <c:v>9</c:v>
                </c:pt>
                <c:pt idx="633">
                  <c:v>8</c:v>
                </c:pt>
                <c:pt idx="634">
                  <c:v>15</c:v>
                </c:pt>
                <c:pt idx="635">
                  <c:v>6</c:v>
                </c:pt>
                <c:pt idx="636">
                  <c:v>6</c:v>
                </c:pt>
                <c:pt idx="637">
                  <c:v>15</c:v>
                </c:pt>
                <c:pt idx="638">
                  <c:v>1</c:v>
                </c:pt>
                <c:pt idx="639">
                  <c:v>1</c:v>
                </c:pt>
                <c:pt idx="640">
                  <c:v>2</c:v>
                </c:pt>
                <c:pt idx="641">
                  <c:v>8</c:v>
                </c:pt>
                <c:pt idx="642">
                  <c:v>4</c:v>
                </c:pt>
                <c:pt idx="643">
                  <c:v>7</c:v>
                </c:pt>
                <c:pt idx="644">
                  <c:v>5</c:v>
                </c:pt>
                <c:pt idx="645">
                  <c:v>2</c:v>
                </c:pt>
                <c:pt idx="646">
                  <c:v>9</c:v>
                </c:pt>
                <c:pt idx="647">
                  <c:v>5</c:v>
                </c:pt>
                <c:pt idx="648">
                  <c:v>14</c:v>
                </c:pt>
                <c:pt idx="649">
                  <c:v>9</c:v>
                </c:pt>
                <c:pt idx="650">
                  <c:v>1</c:v>
                </c:pt>
                <c:pt idx="651">
                  <c:v>16</c:v>
                </c:pt>
                <c:pt idx="652">
                  <c:v>5</c:v>
                </c:pt>
                <c:pt idx="653">
                  <c:v>6</c:v>
                </c:pt>
                <c:pt idx="654">
                  <c:v>10</c:v>
                </c:pt>
                <c:pt idx="655">
                  <c:v>19</c:v>
                </c:pt>
                <c:pt idx="656">
                  <c:v>11</c:v>
                </c:pt>
                <c:pt idx="657">
                  <c:v>3</c:v>
                </c:pt>
                <c:pt idx="658">
                  <c:v>3</c:v>
                </c:pt>
                <c:pt idx="659">
                  <c:v>8</c:v>
                </c:pt>
                <c:pt idx="660">
                  <c:v>3</c:v>
                </c:pt>
                <c:pt idx="661">
                  <c:v>4</c:v>
                </c:pt>
                <c:pt idx="662">
                  <c:v>6</c:v>
                </c:pt>
                <c:pt idx="663">
                  <c:v>1</c:v>
                </c:pt>
                <c:pt idx="664">
                  <c:v>22</c:v>
                </c:pt>
                <c:pt idx="665">
                  <c:v>3</c:v>
                </c:pt>
                <c:pt idx="666">
                  <c:v>0</c:v>
                </c:pt>
                <c:pt idx="667">
                  <c:v>5</c:v>
                </c:pt>
                <c:pt idx="668">
                  <c:v>15</c:v>
                </c:pt>
                <c:pt idx="669">
                  <c:v>8</c:v>
                </c:pt>
                <c:pt idx="670">
                  <c:v>8</c:v>
                </c:pt>
                <c:pt idx="671">
                  <c:v>7</c:v>
                </c:pt>
                <c:pt idx="672">
                  <c:v>9</c:v>
                </c:pt>
                <c:pt idx="673">
                  <c:v>12</c:v>
                </c:pt>
                <c:pt idx="674">
                  <c:v>1</c:v>
                </c:pt>
                <c:pt idx="675">
                  <c:v>8</c:v>
                </c:pt>
                <c:pt idx="676">
                  <c:v>20</c:v>
                </c:pt>
                <c:pt idx="677">
                  <c:v>2</c:v>
                </c:pt>
                <c:pt idx="678">
                  <c:v>5</c:v>
                </c:pt>
                <c:pt idx="679">
                  <c:v>11</c:v>
                </c:pt>
                <c:pt idx="680">
                  <c:v>2</c:v>
                </c:pt>
                <c:pt idx="681">
                  <c:v>5</c:v>
                </c:pt>
                <c:pt idx="682">
                  <c:v>5</c:v>
                </c:pt>
                <c:pt idx="683">
                  <c:v>9</c:v>
                </c:pt>
                <c:pt idx="684">
                  <c:v>3</c:v>
                </c:pt>
                <c:pt idx="685">
                  <c:v>7</c:v>
                </c:pt>
                <c:pt idx="686">
                  <c:v>1</c:v>
                </c:pt>
                <c:pt idx="687">
                  <c:v>10</c:v>
                </c:pt>
                <c:pt idx="688">
                  <c:v>7</c:v>
                </c:pt>
                <c:pt idx="689">
                  <c:v>3</c:v>
                </c:pt>
                <c:pt idx="690">
                  <c:v>1</c:v>
                </c:pt>
                <c:pt idx="691">
                  <c:v>6</c:v>
                </c:pt>
                <c:pt idx="692">
                  <c:v>4</c:v>
                </c:pt>
                <c:pt idx="693">
                  <c:v>6</c:v>
                </c:pt>
                <c:pt idx="694">
                  <c:v>5</c:v>
                </c:pt>
                <c:pt idx="695">
                  <c:v>18</c:v>
                </c:pt>
                <c:pt idx="696">
                  <c:v>6</c:v>
                </c:pt>
                <c:pt idx="697">
                  <c:v>8</c:v>
                </c:pt>
                <c:pt idx="698">
                  <c:v>4</c:v>
                </c:pt>
                <c:pt idx="699">
                  <c:v>8</c:v>
                </c:pt>
                <c:pt idx="700">
                  <c:v>10</c:v>
                </c:pt>
                <c:pt idx="701">
                  <c:v>1</c:v>
                </c:pt>
                <c:pt idx="702">
                  <c:v>7</c:v>
                </c:pt>
                <c:pt idx="703">
                  <c:v>13</c:v>
                </c:pt>
                <c:pt idx="704">
                  <c:v>2</c:v>
                </c:pt>
                <c:pt idx="705">
                  <c:v>1</c:v>
                </c:pt>
                <c:pt idx="706">
                  <c:v>5</c:v>
                </c:pt>
                <c:pt idx="707">
                  <c:v>10</c:v>
                </c:pt>
                <c:pt idx="708">
                  <c:v>1</c:v>
                </c:pt>
                <c:pt idx="709">
                  <c:v>3</c:v>
                </c:pt>
                <c:pt idx="710">
                  <c:v>14</c:v>
                </c:pt>
                <c:pt idx="711">
                  <c:v>2</c:v>
                </c:pt>
                <c:pt idx="712">
                  <c:v>7</c:v>
                </c:pt>
                <c:pt idx="713">
                  <c:v>5</c:v>
                </c:pt>
                <c:pt idx="714">
                  <c:v>26</c:v>
                </c:pt>
                <c:pt idx="715">
                  <c:v>0</c:v>
                </c:pt>
                <c:pt idx="716">
                  <c:v>5</c:v>
                </c:pt>
                <c:pt idx="717">
                  <c:v>4</c:v>
                </c:pt>
                <c:pt idx="718">
                  <c:v>0</c:v>
                </c:pt>
                <c:pt idx="719">
                  <c:v>2</c:v>
                </c:pt>
                <c:pt idx="720">
                  <c:v>6</c:v>
                </c:pt>
                <c:pt idx="721">
                  <c:v>4</c:v>
                </c:pt>
                <c:pt idx="722">
                  <c:v>7</c:v>
                </c:pt>
                <c:pt idx="723">
                  <c:v>10</c:v>
                </c:pt>
                <c:pt idx="724">
                  <c:v>7</c:v>
                </c:pt>
                <c:pt idx="725">
                  <c:v>10</c:v>
                </c:pt>
                <c:pt idx="726">
                  <c:v>20</c:v>
                </c:pt>
                <c:pt idx="727">
                  <c:v>2</c:v>
                </c:pt>
                <c:pt idx="728">
                  <c:v>6</c:v>
                </c:pt>
                <c:pt idx="729">
                  <c:v>4</c:v>
                </c:pt>
                <c:pt idx="730">
                  <c:v>11</c:v>
                </c:pt>
                <c:pt idx="731">
                  <c:v>2</c:v>
                </c:pt>
                <c:pt idx="732">
                  <c:v>8</c:v>
                </c:pt>
                <c:pt idx="733">
                  <c:v>7</c:v>
                </c:pt>
                <c:pt idx="734">
                  <c:v>14</c:v>
                </c:pt>
                <c:pt idx="735">
                  <c:v>5</c:v>
                </c:pt>
                <c:pt idx="736">
                  <c:v>4</c:v>
                </c:pt>
                <c:pt idx="737">
                  <c:v>11</c:v>
                </c:pt>
                <c:pt idx="738">
                  <c:v>1</c:v>
                </c:pt>
                <c:pt idx="739">
                  <c:v>13</c:v>
                </c:pt>
                <c:pt idx="740">
                  <c:v>9</c:v>
                </c:pt>
                <c:pt idx="741">
                  <c:v>5</c:v>
                </c:pt>
                <c:pt idx="742">
                  <c:v>10</c:v>
                </c:pt>
                <c:pt idx="743">
                  <c:v>3</c:v>
                </c:pt>
                <c:pt idx="744">
                  <c:v>10</c:v>
                </c:pt>
                <c:pt idx="745">
                  <c:v>6</c:v>
                </c:pt>
                <c:pt idx="746">
                  <c:v>10</c:v>
                </c:pt>
                <c:pt idx="747">
                  <c:v>6</c:v>
                </c:pt>
                <c:pt idx="748">
                  <c:v>8</c:v>
                </c:pt>
                <c:pt idx="749">
                  <c:v>1</c:v>
                </c:pt>
                <c:pt idx="750">
                  <c:v>11</c:v>
                </c:pt>
                <c:pt idx="751">
                  <c:v>1</c:v>
                </c:pt>
                <c:pt idx="752">
                  <c:v>5</c:v>
                </c:pt>
                <c:pt idx="753">
                  <c:v>6</c:v>
                </c:pt>
                <c:pt idx="754">
                  <c:v>1</c:v>
                </c:pt>
                <c:pt idx="755">
                  <c:v>7</c:v>
                </c:pt>
                <c:pt idx="756">
                  <c:v>1</c:v>
                </c:pt>
                <c:pt idx="757">
                  <c:v>22</c:v>
                </c:pt>
                <c:pt idx="758">
                  <c:v>9</c:v>
                </c:pt>
                <c:pt idx="759">
                  <c:v>1</c:v>
                </c:pt>
                <c:pt idx="760">
                  <c:v>1</c:v>
                </c:pt>
                <c:pt idx="761">
                  <c:v>8</c:v>
                </c:pt>
                <c:pt idx="762">
                  <c:v>33</c:v>
                </c:pt>
                <c:pt idx="763">
                  <c:v>11</c:v>
                </c:pt>
                <c:pt idx="764">
                  <c:v>3</c:v>
                </c:pt>
                <c:pt idx="765">
                  <c:v>29</c:v>
                </c:pt>
                <c:pt idx="766">
                  <c:v>9</c:v>
                </c:pt>
                <c:pt idx="767">
                  <c:v>11</c:v>
                </c:pt>
                <c:pt idx="768">
                  <c:v>4</c:v>
                </c:pt>
                <c:pt idx="769">
                  <c:v>25</c:v>
                </c:pt>
                <c:pt idx="770">
                  <c:v>10</c:v>
                </c:pt>
                <c:pt idx="771">
                  <c:v>3</c:v>
                </c:pt>
                <c:pt idx="772">
                  <c:v>1</c:v>
                </c:pt>
                <c:pt idx="773">
                  <c:v>21</c:v>
                </c:pt>
                <c:pt idx="774">
                  <c:v>16</c:v>
                </c:pt>
                <c:pt idx="775">
                  <c:v>2</c:v>
                </c:pt>
                <c:pt idx="776">
                  <c:v>7</c:v>
                </c:pt>
                <c:pt idx="777">
                  <c:v>8</c:v>
                </c:pt>
                <c:pt idx="778">
                  <c:v>3</c:v>
                </c:pt>
                <c:pt idx="779">
                  <c:v>2</c:v>
                </c:pt>
                <c:pt idx="780">
                  <c:v>10</c:v>
                </c:pt>
                <c:pt idx="781">
                  <c:v>0</c:v>
                </c:pt>
                <c:pt idx="782">
                  <c:v>19</c:v>
                </c:pt>
                <c:pt idx="783">
                  <c:v>2</c:v>
                </c:pt>
                <c:pt idx="784">
                  <c:v>9</c:v>
                </c:pt>
                <c:pt idx="785">
                  <c:v>7</c:v>
                </c:pt>
                <c:pt idx="786">
                  <c:v>7</c:v>
                </c:pt>
                <c:pt idx="787">
                  <c:v>9</c:v>
                </c:pt>
                <c:pt idx="788">
                  <c:v>3</c:v>
                </c:pt>
                <c:pt idx="789">
                  <c:v>9</c:v>
                </c:pt>
                <c:pt idx="790">
                  <c:v>8</c:v>
                </c:pt>
                <c:pt idx="791">
                  <c:v>10</c:v>
                </c:pt>
                <c:pt idx="792">
                  <c:v>19</c:v>
                </c:pt>
                <c:pt idx="793">
                  <c:v>20</c:v>
                </c:pt>
                <c:pt idx="794">
                  <c:v>19</c:v>
                </c:pt>
                <c:pt idx="795">
                  <c:v>7</c:v>
                </c:pt>
                <c:pt idx="796">
                  <c:v>4</c:v>
                </c:pt>
                <c:pt idx="797">
                  <c:v>9</c:v>
                </c:pt>
                <c:pt idx="798">
                  <c:v>9</c:v>
                </c:pt>
                <c:pt idx="799">
                  <c:v>9</c:v>
                </c:pt>
                <c:pt idx="800">
                  <c:v>9</c:v>
                </c:pt>
                <c:pt idx="801">
                  <c:v>33</c:v>
                </c:pt>
                <c:pt idx="802">
                  <c:v>7</c:v>
                </c:pt>
                <c:pt idx="803">
                  <c:v>10</c:v>
                </c:pt>
                <c:pt idx="804">
                  <c:v>3</c:v>
                </c:pt>
                <c:pt idx="805">
                  <c:v>4</c:v>
                </c:pt>
                <c:pt idx="806">
                  <c:v>15</c:v>
                </c:pt>
                <c:pt idx="807">
                  <c:v>10</c:v>
                </c:pt>
                <c:pt idx="808">
                  <c:v>1</c:v>
                </c:pt>
                <c:pt idx="809">
                  <c:v>5</c:v>
                </c:pt>
                <c:pt idx="810">
                  <c:v>0</c:v>
                </c:pt>
                <c:pt idx="811">
                  <c:v>9</c:v>
                </c:pt>
                <c:pt idx="812">
                  <c:v>6</c:v>
                </c:pt>
                <c:pt idx="813">
                  <c:v>19</c:v>
                </c:pt>
                <c:pt idx="814">
                  <c:v>5</c:v>
                </c:pt>
                <c:pt idx="815">
                  <c:v>12</c:v>
                </c:pt>
                <c:pt idx="816">
                  <c:v>8</c:v>
                </c:pt>
                <c:pt idx="817">
                  <c:v>4</c:v>
                </c:pt>
                <c:pt idx="818">
                  <c:v>14</c:v>
                </c:pt>
                <c:pt idx="819">
                  <c:v>5</c:v>
                </c:pt>
                <c:pt idx="820">
                  <c:v>5</c:v>
                </c:pt>
                <c:pt idx="821">
                  <c:v>4</c:v>
                </c:pt>
                <c:pt idx="822">
                  <c:v>6</c:v>
                </c:pt>
                <c:pt idx="823">
                  <c:v>6</c:v>
                </c:pt>
                <c:pt idx="824">
                  <c:v>5</c:v>
                </c:pt>
                <c:pt idx="825">
                  <c:v>3</c:v>
                </c:pt>
                <c:pt idx="826">
                  <c:v>6</c:v>
                </c:pt>
                <c:pt idx="827">
                  <c:v>3</c:v>
                </c:pt>
                <c:pt idx="828">
                  <c:v>5</c:v>
                </c:pt>
                <c:pt idx="829">
                  <c:v>20</c:v>
                </c:pt>
                <c:pt idx="830">
                  <c:v>6</c:v>
                </c:pt>
                <c:pt idx="831">
                  <c:v>4</c:v>
                </c:pt>
                <c:pt idx="832">
                  <c:v>20</c:v>
                </c:pt>
                <c:pt idx="833">
                  <c:v>5</c:v>
                </c:pt>
                <c:pt idx="834">
                  <c:v>3</c:v>
                </c:pt>
                <c:pt idx="835">
                  <c:v>2</c:v>
                </c:pt>
                <c:pt idx="836">
                  <c:v>3</c:v>
                </c:pt>
                <c:pt idx="837">
                  <c:v>7</c:v>
                </c:pt>
                <c:pt idx="838">
                  <c:v>10</c:v>
                </c:pt>
                <c:pt idx="839">
                  <c:v>20</c:v>
                </c:pt>
                <c:pt idx="840">
                  <c:v>9</c:v>
                </c:pt>
                <c:pt idx="841">
                  <c:v>7</c:v>
                </c:pt>
                <c:pt idx="842">
                  <c:v>5</c:v>
                </c:pt>
                <c:pt idx="843">
                  <c:v>3</c:v>
                </c:pt>
                <c:pt idx="844">
                  <c:v>3</c:v>
                </c:pt>
                <c:pt idx="845">
                  <c:v>4</c:v>
                </c:pt>
                <c:pt idx="846">
                  <c:v>5</c:v>
                </c:pt>
                <c:pt idx="847">
                  <c:v>10</c:v>
                </c:pt>
                <c:pt idx="848">
                  <c:v>3</c:v>
                </c:pt>
                <c:pt idx="849">
                  <c:v>6</c:v>
                </c:pt>
                <c:pt idx="850">
                  <c:v>6</c:v>
                </c:pt>
                <c:pt idx="851">
                  <c:v>3</c:v>
                </c:pt>
                <c:pt idx="852">
                  <c:v>20</c:v>
                </c:pt>
                <c:pt idx="853">
                  <c:v>5</c:v>
                </c:pt>
                <c:pt idx="854">
                  <c:v>4</c:v>
                </c:pt>
                <c:pt idx="855">
                  <c:v>5</c:v>
                </c:pt>
                <c:pt idx="856">
                  <c:v>4</c:v>
                </c:pt>
                <c:pt idx="857">
                  <c:v>8</c:v>
                </c:pt>
                <c:pt idx="858">
                  <c:v>13</c:v>
                </c:pt>
                <c:pt idx="859">
                  <c:v>7</c:v>
                </c:pt>
                <c:pt idx="860">
                  <c:v>3</c:v>
                </c:pt>
                <c:pt idx="861">
                  <c:v>3</c:v>
                </c:pt>
                <c:pt idx="862">
                  <c:v>2</c:v>
                </c:pt>
                <c:pt idx="863">
                  <c:v>9</c:v>
                </c:pt>
                <c:pt idx="864">
                  <c:v>5</c:v>
                </c:pt>
                <c:pt idx="865">
                  <c:v>5</c:v>
                </c:pt>
                <c:pt idx="866">
                  <c:v>9</c:v>
                </c:pt>
                <c:pt idx="867">
                  <c:v>3</c:v>
                </c:pt>
                <c:pt idx="868">
                  <c:v>3</c:v>
                </c:pt>
                <c:pt idx="869">
                  <c:v>5</c:v>
                </c:pt>
                <c:pt idx="870">
                  <c:v>4</c:v>
                </c:pt>
                <c:pt idx="871">
                  <c:v>13</c:v>
                </c:pt>
                <c:pt idx="872">
                  <c:v>2</c:v>
                </c:pt>
                <c:pt idx="873">
                  <c:v>12</c:v>
                </c:pt>
                <c:pt idx="874">
                  <c:v>1</c:v>
                </c:pt>
                <c:pt idx="875">
                  <c:v>1</c:v>
                </c:pt>
                <c:pt idx="876">
                  <c:v>12</c:v>
                </c:pt>
                <c:pt idx="877">
                  <c:v>8</c:v>
                </c:pt>
                <c:pt idx="878">
                  <c:v>14</c:v>
                </c:pt>
                <c:pt idx="879">
                  <c:v>1</c:v>
                </c:pt>
                <c:pt idx="880">
                  <c:v>1</c:v>
                </c:pt>
                <c:pt idx="881">
                  <c:v>2</c:v>
                </c:pt>
                <c:pt idx="882">
                  <c:v>10</c:v>
                </c:pt>
                <c:pt idx="883">
                  <c:v>5</c:v>
                </c:pt>
                <c:pt idx="884">
                  <c:v>3</c:v>
                </c:pt>
                <c:pt idx="885">
                  <c:v>5</c:v>
                </c:pt>
                <c:pt idx="886">
                  <c:v>5</c:v>
                </c:pt>
                <c:pt idx="887">
                  <c:v>1</c:v>
                </c:pt>
                <c:pt idx="888">
                  <c:v>4</c:v>
                </c:pt>
                <c:pt idx="889">
                  <c:v>3</c:v>
                </c:pt>
                <c:pt idx="890">
                  <c:v>3</c:v>
                </c:pt>
                <c:pt idx="891">
                  <c:v>8</c:v>
                </c:pt>
                <c:pt idx="892">
                  <c:v>0</c:v>
                </c:pt>
                <c:pt idx="893">
                  <c:v>5</c:v>
                </c:pt>
                <c:pt idx="894">
                  <c:v>14</c:v>
                </c:pt>
                <c:pt idx="895">
                  <c:v>20</c:v>
                </c:pt>
                <c:pt idx="896">
                  <c:v>2</c:v>
                </c:pt>
                <c:pt idx="897">
                  <c:v>13</c:v>
                </c:pt>
                <c:pt idx="898">
                  <c:v>11</c:v>
                </c:pt>
                <c:pt idx="899">
                  <c:v>4</c:v>
                </c:pt>
                <c:pt idx="900">
                  <c:v>10</c:v>
                </c:pt>
                <c:pt idx="901">
                  <c:v>32</c:v>
                </c:pt>
                <c:pt idx="902">
                  <c:v>11</c:v>
                </c:pt>
                <c:pt idx="903">
                  <c:v>1</c:v>
                </c:pt>
                <c:pt idx="904">
                  <c:v>10</c:v>
                </c:pt>
                <c:pt idx="905">
                  <c:v>7</c:v>
                </c:pt>
                <c:pt idx="906">
                  <c:v>5</c:v>
                </c:pt>
                <c:pt idx="907">
                  <c:v>5</c:v>
                </c:pt>
                <c:pt idx="908">
                  <c:v>20</c:v>
                </c:pt>
                <c:pt idx="909">
                  <c:v>8</c:v>
                </c:pt>
                <c:pt idx="910">
                  <c:v>15</c:v>
                </c:pt>
                <c:pt idx="911">
                  <c:v>21</c:v>
                </c:pt>
                <c:pt idx="912">
                  <c:v>1</c:v>
                </c:pt>
                <c:pt idx="913">
                  <c:v>2</c:v>
                </c:pt>
                <c:pt idx="914">
                  <c:v>10</c:v>
                </c:pt>
                <c:pt idx="915">
                  <c:v>5</c:v>
                </c:pt>
                <c:pt idx="916">
                  <c:v>7</c:v>
                </c:pt>
                <c:pt idx="917">
                  <c:v>3</c:v>
                </c:pt>
                <c:pt idx="918">
                  <c:v>8</c:v>
                </c:pt>
                <c:pt idx="919">
                  <c:v>1</c:v>
                </c:pt>
                <c:pt idx="920">
                  <c:v>2</c:v>
                </c:pt>
                <c:pt idx="921">
                  <c:v>6</c:v>
                </c:pt>
                <c:pt idx="922">
                  <c:v>3</c:v>
                </c:pt>
                <c:pt idx="923">
                  <c:v>4</c:v>
                </c:pt>
                <c:pt idx="924">
                  <c:v>6</c:v>
                </c:pt>
                <c:pt idx="925">
                  <c:v>8</c:v>
                </c:pt>
                <c:pt idx="926">
                  <c:v>1</c:v>
                </c:pt>
                <c:pt idx="927">
                  <c:v>36</c:v>
                </c:pt>
                <c:pt idx="928">
                  <c:v>2</c:v>
                </c:pt>
                <c:pt idx="929">
                  <c:v>1</c:v>
                </c:pt>
                <c:pt idx="930">
                  <c:v>9</c:v>
                </c:pt>
                <c:pt idx="931">
                  <c:v>3</c:v>
                </c:pt>
                <c:pt idx="932">
                  <c:v>1</c:v>
                </c:pt>
                <c:pt idx="933">
                  <c:v>10</c:v>
                </c:pt>
                <c:pt idx="934">
                  <c:v>5</c:v>
                </c:pt>
                <c:pt idx="935">
                  <c:v>7</c:v>
                </c:pt>
                <c:pt idx="936">
                  <c:v>6</c:v>
                </c:pt>
                <c:pt idx="937">
                  <c:v>1</c:v>
                </c:pt>
                <c:pt idx="938">
                  <c:v>2</c:v>
                </c:pt>
                <c:pt idx="939">
                  <c:v>3</c:v>
                </c:pt>
                <c:pt idx="940">
                  <c:v>1</c:v>
                </c:pt>
                <c:pt idx="941">
                  <c:v>10</c:v>
                </c:pt>
                <c:pt idx="942">
                  <c:v>8</c:v>
                </c:pt>
                <c:pt idx="943">
                  <c:v>5</c:v>
                </c:pt>
                <c:pt idx="944">
                  <c:v>6</c:v>
                </c:pt>
                <c:pt idx="945">
                  <c:v>1</c:v>
                </c:pt>
                <c:pt idx="946">
                  <c:v>26</c:v>
                </c:pt>
                <c:pt idx="947">
                  <c:v>4</c:v>
                </c:pt>
                <c:pt idx="948">
                  <c:v>30</c:v>
                </c:pt>
                <c:pt idx="949">
                  <c:v>3</c:v>
                </c:pt>
                <c:pt idx="950">
                  <c:v>22</c:v>
                </c:pt>
                <c:pt idx="951">
                  <c:v>6</c:v>
                </c:pt>
                <c:pt idx="952">
                  <c:v>10</c:v>
                </c:pt>
                <c:pt idx="953">
                  <c:v>10</c:v>
                </c:pt>
                <c:pt idx="954">
                  <c:v>5</c:v>
                </c:pt>
                <c:pt idx="955">
                  <c:v>3</c:v>
                </c:pt>
                <c:pt idx="956">
                  <c:v>9</c:v>
                </c:pt>
                <c:pt idx="957">
                  <c:v>9</c:v>
                </c:pt>
                <c:pt idx="958">
                  <c:v>7</c:v>
                </c:pt>
                <c:pt idx="959">
                  <c:v>7</c:v>
                </c:pt>
                <c:pt idx="960">
                  <c:v>16</c:v>
                </c:pt>
                <c:pt idx="961">
                  <c:v>5</c:v>
                </c:pt>
                <c:pt idx="962">
                  <c:v>2</c:v>
                </c:pt>
                <c:pt idx="963">
                  <c:v>5</c:v>
                </c:pt>
                <c:pt idx="964">
                  <c:v>10</c:v>
                </c:pt>
                <c:pt idx="965">
                  <c:v>18</c:v>
                </c:pt>
                <c:pt idx="966">
                  <c:v>14</c:v>
                </c:pt>
                <c:pt idx="967">
                  <c:v>4</c:v>
                </c:pt>
                <c:pt idx="968">
                  <c:v>9</c:v>
                </c:pt>
                <c:pt idx="969">
                  <c:v>10</c:v>
                </c:pt>
                <c:pt idx="970">
                  <c:v>5</c:v>
                </c:pt>
                <c:pt idx="971">
                  <c:v>8</c:v>
                </c:pt>
                <c:pt idx="972">
                  <c:v>4</c:v>
                </c:pt>
                <c:pt idx="973">
                  <c:v>10</c:v>
                </c:pt>
                <c:pt idx="974">
                  <c:v>2</c:v>
                </c:pt>
                <c:pt idx="975">
                  <c:v>6</c:v>
                </c:pt>
                <c:pt idx="976">
                  <c:v>3</c:v>
                </c:pt>
                <c:pt idx="977">
                  <c:v>4</c:v>
                </c:pt>
                <c:pt idx="978">
                  <c:v>5</c:v>
                </c:pt>
                <c:pt idx="979">
                  <c:v>3</c:v>
                </c:pt>
                <c:pt idx="980">
                  <c:v>7</c:v>
                </c:pt>
                <c:pt idx="981">
                  <c:v>5</c:v>
                </c:pt>
                <c:pt idx="982">
                  <c:v>4</c:v>
                </c:pt>
                <c:pt idx="983">
                  <c:v>14</c:v>
                </c:pt>
                <c:pt idx="984">
                  <c:v>2</c:v>
                </c:pt>
                <c:pt idx="985">
                  <c:v>11</c:v>
                </c:pt>
                <c:pt idx="986">
                  <c:v>4</c:v>
                </c:pt>
                <c:pt idx="987">
                  <c:v>15</c:v>
                </c:pt>
                <c:pt idx="988">
                  <c:v>3</c:v>
                </c:pt>
                <c:pt idx="989">
                  <c:v>5</c:v>
                </c:pt>
                <c:pt idx="990">
                  <c:v>10</c:v>
                </c:pt>
                <c:pt idx="991">
                  <c:v>14</c:v>
                </c:pt>
                <c:pt idx="992">
                  <c:v>13</c:v>
                </c:pt>
                <c:pt idx="993">
                  <c:v>10</c:v>
                </c:pt>
                <c:pt idx="994">
                  <c:v>6</c:v>
                </c:pt>
                <c:pt idx="995">
                  <c:v>9</c:v>
                </c:pt>
                <c:pt idx="996">
                  <c:v>10</c:v>
                </c:pt>
                <c:pt idx="997">
                  <c:v>2</c:v>
                </c:pt>
                <c:pt idx="998">
                  <c:v>4</c:v>
                </c:pt>
                <c:pt idx="999">
                  <c:v>3</c:v>
                </c:pt>
                <c:pt idx="1000">
                  <c:v>8</c:v>
                </c:pt>
                <c:pt idx="1001">
                  <c:v>2</c:v>
                </c:pt>
                <c:pt idx="1002">
                  <c:v>2</c:v>
                </c:pt>
                <c:pt idx="1003">
                  <c:v>6</c:v>
                </c:pt>
                <c:pt idx="1004">
                  <c:v>3</c:v>
                </c:pt>
                <c:pt idx="1005">
                  <c:v>2</c:v>
                </c:pt>
                <c:pt idx="1006">
                  <c:v>0</c:v>
                </c:pt>
                <c:pt idx="1007">
                  <c:v>4</c:v>
                </c:pt>
                <c:pt idx="1008">
                  <c:v>7</c:v>
                </c:pt>
                <c:pt idx="1009">
                  <c:v>4</c:v>
                </c:pt>
                <c:pt idx="1010">
                  <c:v>15</c:v>
                </c:pt>
                <c:pt idx="1011">
                  <c:v>1</c:v>
                </c:pt>
                <c:pt idx="1012">
                  <c:v>14</c:v>
                </c:pt>
                <c:pt idx="1013">
                  <c:v>6</c:v>
                </c:pt>
                <c:pt idx="1014">
                  <c:v>10</c:v>
                </c:pt>
                <c:pt idx="1015">
                  <c:v>8</c:v>
                </c:pt>
                <c:pt idx="1016">
                  <c:v>5</c:v>
                </c:pt>
                <c:pt idx="1017">
                  <c:v>10</c:v>
                </c:pt>
                <c:pt idx="1018">
                  <c:v>5</c:v>
                </c:pt>
                <c:pt idx="1019">
                  <c:v>10</c:v>
                </c:pt>
                <c:pt idx="1020">
                  <c:v>5</c:v>
                </c:pt>
                <c:pt idx="1021">
                  <c:v>13</c:v>
                </c:pt>
                <c:pt idx="1022">
                  <c:v>23</c:v>
                </c:pt>
                <c:pt idx="1023">
                  <c:v>3</c:v>
                </c:pt>
                <c:pt idx="1024">
                  <c:v>21</c:v>
                </c:pt>
                <c:pt idx="1025">
                  <c:v>5</c:v>
                </c:pt>
                <c:pt idx="1026">
                  <c:v>5</c:v>
                </c:pt>
                <c:pt idx="1027">
                  <c:v>3</c:v>
                </c:pt>
                <c:pt idx="1028">
                  <c:v>1</c:v>
                </c:pt>
                <c:pt idx="1029">
                  <c:v>6</c:v>
                </c:pt>
                <c:pt idx="1030">
                  <c:v>10</c:v>
                </c:pt>
                <c:pt idx="1031">
                  <c:v>7</c:v>
                </c:pt>
                <c:pt idx="1032">
                  <c:v>10</c:v>
                </c:pt>
                <c:pt idx="1033">
                  <c:v>1</c:v>
                </c:pt>
                <c:pt idx="1034">
                  <c:v>10</c:v>
                </c:pt>
                <c:pt idx="1035">
                  <c:v>3</c:v>
                </c:pt>
                <c:pt idx="1036">
                  <c:v>5</c:v>
                </c:pt>
                <c:pt idx="1037">
                  <c:v>9</c:v>
                </c:pt>
                <c:pt idx="1038">
                  <c:v>4</c:v>
                </c:pt>
                <c:pt idx="1039">
                  <c:v>21</c:v>
                </c:pt>
                <c:pt idx="1040">
                  <c:v>5</c:v>
                </c:pt>
                <c:pt idx="1041">
                  <c:v>9</c:v>
                </c:pt>
                <c:pt idx="1042">
                  <c:v>2</c:v>
                </c:pt>
                <c:pt idx="1043">
                  <c:v>5</c:v>
                </c:pt>
                <c:pt idx="1044">
                  <c:v>6</c:v>
                </c:pt>
                <c:pt idx="1045">
                  <c:v>3</c:v>
                </c:pt>
                <c:pt idx="1046">
                  <c:v>7</c:v>
                </c:pt>
                <c:pt idx="1047">
                  <c:v>5</c:v>
                </c:pt>
                <c:pt idx="1048">
                  <c:v>11</c:v>
                </c:pt>
                <c:pt idx="1049">
                  <c:v>5</c:v>
                </c:pt>
                <c:pt idx="1050">
                  <c:v>6</c:v>
                </c:pt>
                <c:pt idx="1051">
                  <c:v>1</c:v>
                </c:pt>
                <c:pt idx="1052">
                  <c:v>7</c:v>
                </c:pt>
                <c:pt idx="1053">
                  <c:v>7</c:v>
                </c:pt>
                <c:pt idx="1054">
                  <c:v>1</c:v>
                </c:pt>
                <c:pt idx="1055">
                  <c:v>5</c:v>
                </c:pt>
                <c:pt idx="1056">
                  <c:v>1</c:v>
                </c:pt>
                <c:pt idx="1057">
                  <c:v>9</c:v>
                </c:pt>
                <c:pt idx="1058">
                  <c:v>5</c:v>
                </c:pt>
                <c:pt idx="1059">
                  <c:v>15</c:v>
                </c:pt>
                <c:pt idx="1060">
                  <c:v>3</c:v>
                </c:pt>
                <c:pt idx="1061">
                  <c:v>9</c:v>
                </c:pt>
                <c:pt idx="1062">
                  <c:v>2</c:v>
                </c:pt>
                <c:pt idx="1063">
                  <c:v>5</c:v>
                </c:pt>
                <c:pt idx="1064">
                  <c:v>12</c:v>
                </c:pt>
                <c:pt idx="1065">
                  <c:v>2</c:v>
                </c:pt>
                <c:pt idx="1066">
                  <c:v>5</c:v>
                </c:pt>
                <c:pt idx="1067">
                  <c:v>2</c:v>
                </c:pt>
                <c:pt idx="1068">
                  <c:v>12</c:v>
                </c:pt>
                <c:pt idx="1069">
                  <c:v>10</c:v>
                </c:pt>
                <c:pt idx="1070">
                  <c:v>10</c:v>
                </c:pt>
                <c:pt idx="1071">
                  <c:v>5</c:v>
                </c:pt>
                <c:pt idx="1072">
                  <c:v>4</c:v>
                </c:pt>
                <c:pt idx="1073">
                  <c:v>2</c:v>
                </c:pt>
                <c:pt idx="1074">
                  <c:v>4</c:v>
                </c:pt>
                <c:pt idx="1075">
                  <c:v>0</c:v>
                </c:pt>
                <c:pt idx="1076">
                  <c:v>7</c:v>
                </c:pt>
                <c:pt idx="1077">
                  <c:v>11</c:v>
                </c:pt>
                <c:pt idx="1078">
                  <c:v>2</c:v>
                </c:pt>
                <c:pt idx="1079">
                  <c:v>3</c:v>
                </c:pt>
                <c:pt idx="1080">
                  <c:v>3</c:v>
                </c:pt>
                <c:pt idx="1081">
                  <c:v>22</c:v>
                </c:pt>
                <c:pt idx="1082">
                  <c:v>7</c:v>
                </c:pt>
                <c:pt idx="1083">
                  <c:v>5</c:v>
                </c:pt>
                <c:pt idx="1084">
                  <c:v>10</c:v>
                </c:pt>
                <c:pt idx="1085">
                  <c:v>16</c:v>
                </c:pt>
                <c:pt idx="1086">
                  <c:v>5</c:v>
                </c:pt>
                <c:pt idx="1087">
                  <c:v>22</c:v>
                </c:pt>
                <c:pt idx="1088">
                  <c:v>7</c:v>
                </c:pt>
                <c:pt idx="1089">
                  <c:v>7</c:v>
                </c:pt>
                <c:pt idx="1090">
                  <c:v>3</c:v>
                </c:pt>
                <c:pt idx="1091">
                  <c:v>3</c:v>
                </c:pt>
                <c:pt idx="1092">
                  <c:v>4</c:v>
                </c:pt>
                <c:pt idx="1093">
                  <c:v>5</c:v>
                </c:pt>
                <c:pt idx="1094">
                  <c:v>2</c:v>
                </c:pt>
                <c:pt idx="1095">
                  <c:v>0</c:v>
                </c:pt>
                <c:pt idx="1096">
                  <c:v>8</c:v>
                </c:pt>
                <c:pt idx="1097">
                  <c:v>1</c:v>
                </c:pt>
                <c:pt idx="1098">
                  <c:v>7</c:v>
                </c:pt>
                <c:pt idx="1099">
                  <c:v>5</c:v>
                </c:pt>
                <c:pt idx="1100">
                  <c:v>11</c:v>
                </c:pt>
                <c:pt idx="1101">
                  <c:v>0</c:v>
                </c:pt>
                <c:pt idx="1102">
                  <c:v>6</c:v>
                </c:pt>
                <c:pt idx="1103">
                  <c:v>2</c:v>
                </c:pt>
                <c:pt idx="1104">
                  <c:v>9</c:v>
                </c:pt>
                <c:pt idx="1105">
                  <c:v>3</c:v>
                </c:pt>
                <c:pt idx="1106">
                  <c:v>7</c:v>
                </c:pt>
                <c:pt idx="1107">
                  <c:v>0</c:v>
                </c:pt>
                <c:pt idx="1108">
                  <c:v>19</c:v>
                </c:pt>
                <c:pt idx="1109">
                  <c:v>9</c:v>
                </c:pt>
                <c:pt idx="1110">
                  <c:v>1</c:v>
                </c:pt>
                <c:pt idx="1111">
                  <c:v>16</c:v>
                </c:pt>
                <c:pt idx="1112">
                  <c:v>22</c:v>
                </c:pt>
                <c:pt idx="1113">
                  <c:v>7</c:v>
                </c:pt>
                <c:pt idx="1114">
                  <c:v>2</c:v>
                </c:pt>
                <c:pt idx="1115">
                  <c:v>5</c:v>
                </c:pt>
                <c:pt idx="1116">
                  <c:v>1</c:v>
                </c:pt>
                <c:pt idx="1117">
                  <c:v>10</c:v>
                </c:pt>
                <c:pt idx="1118">
                  <c:v>10</c:v>
                </c:pt>
                <c:pt idx="1119">
                  <c:v>5</c:v>
                </c:pt>
                <c:pt idx="1120">
                  <c:v>3</c:v>
                </c:pt>
                <c:pt idx="1121">
                  <c:v>5</c:v>
                </c:pt>
                <c:pt idx="1122">
                  <c:v>3</c:v>
                </c:pt>
                <c:pt idx="1123">
                  <c:v>9</c:v>
                </c:pt>
                <c:pt idx="1124">
                  <c:v>10</c:v>
                </c:pt>
                <c:pt idx="1125">
                  <c:v>19</c:v>
                </c:pt>
                <c:pt idx="1126">
                  <c:v>1</c:v>
                </c:pt>
                <c:pt idx="1127">
                  <c:v>8</c:v>
                </c:pt>
                <c:pt idx="1128">
                  <c:v>22</c:v>
                </c:pt>
                <c:pt idx="1129">
                  <c:v>2</c:v>
                </c:pt>
                <c:pt idx="1130">
                  <c:v>4</c:v>
                </c:pt>
                <c:pt idx="1131">
                  <c:v>5</c:v>
                </c:pt>
                <c:pt idx="1132">
                  <c:v>13</c:v>
                </c:pt>
                <c:pt idx="1133">
                  <c:v>5</c:v>
                </c:pt>
                <c:pt idx="1134">
                  <c:v>4</c:v>
                </c:pt>
                <c:pt idx="1135">
                  <c:v>2</c:v>
                </c:pt>
                <c:pt idx="1136">
                  <c:v>7</c:v>
                </c:pt>
                <c:pt idx="1137">
                  <c:v>4</c:v>
                </c:pt>
                <c:pt idx="1138">
                  <c:v>10</c:v>
                </c:pt>
                <c:pt idx="1139">
                  <c:v>7</c:v>
                </c:pt>
                <c:pt idx="1140">
                  <c:v>3</c:v>
                </c:pt>
                <c:pt idx="1141">
                  <c:v>5</c:v>
                </c:pt>
                <c:pt idx="1142">
                  <c:v>15</c:v>
                </c:pt>
                <c:pt idx="1143">
                  <c:v>8</c:v>
                </c:pt>
                <c:pt idx="1144">
                  <c:v>0</c:v>
                </c:pt>
                <c:pt idx="1145">
                  <c:v>10</c:v>
                </c:pt>
                <c:pt idx="1146">
                  <c:v>20</c:v>
                </c:pt>
                <c:pt idx="1147">
                  <c:v>1</c:v>
                </c:pt>
                <c:pt idx="1148">
                  <c:v>5</c:v>
                </c:pt>
                <c:pt idx="1149">
                  <c:v>5</c:v>
                </c:pt>
                <c:pt idx="1150">
                  <c:v>0</c:v>
                </c:pt>
                <c:pt idx="1151">
                  <c:v>5</c:v>
                </c:pt>
                <c:pt idx="1152">
                  <c:v>5</c:v>
                </c:pt>
                <c:pt idx="1153">
                  <c:v>4</c:v>
                </c:pt>
                <c:pt idx="1154">
                  <c:v>5</c:v>
                </c:pt>
                <c:pt idx="1155">
                  <c:v>14</c:v>
                </c:pt>
                <c:pt idx="1156">
                  <c:v>8</c:v>
                </c:pt>
                <c:pt idx="1157">
                  <c:v>7</c:v>
                </c:pt>
                <c:pt idx="1158">
                  <c:v>5</c:v>
                </c:pt>
                <c:pt idx="1159">
                  <c:v>5</c:v>
                </c:pt>
                <c:pt idx="1160">
                  <c:v>10</c:v>
                </c:pt>
                <c:pt idx="1161">
                  <c:v>1</c:v>
                </c:pt>
                <c:pt idx="1162">
                  <c:v>10</c:v>
                </c:pt>
                <c:pt idx="1163">
                  <c:v>7</c:v>
                </c:pt>
                <c:pt idx="1164">
                  <c:v>1</c:v>
                </c:pt>
                <c:pt idx="1165">
                  <c:v>4</c:v>
                </c:pt>
                <c:pt idx="1166">
                  <c:v>9</c:v>
                </c:pt>
                <c:pt idx="1167">
                  <c:v>10</c:v>
                </c:pt>
                <c:pt idx="1168">
                  <c:v>6</c:v>
                </c:pt>
                <c:pt idx="1169">
                  <c:v>10</c:v>
                </c:pt>
                <c:pt idx="1170">
                  <c:v>1</c:v>
                </c:pt>
                <c:pt idx="1171">
                  <c:v>20</c:v>
                </c:pt>
                <c:pt idx="1172">
                  <c:v>20</c:v>
                </c:pt>
                <c:pt idx="1173">
                  <c:v>11</c:v>
                </c:pt>
                <c:pt idx="1174">
                  <c:v>5</c:v>
                </c:pt>
                <c:pt idx="1175">
                  <c:v>4</c:v>
                </c:pt>
                <c:pt idx="1176">
                  <c:v>5</c:v>
                </c:pt>
                <c:pt idx="1177">
                  <c:v>10</c:v>
                </c:pt>
                <c:pt idx="1178">
                  <c:v>11</c:v>
                </c:pt>
                <c:pt idx="1179">
                  <c:v>2</c:v>
                </c:pt>
                <c:pt idx="1180">
                  <c:v>12</c:v>
                </c:pt>
                <c:pt idx="1181">
                  <c:v>2</c:v>
                </c:pt>
                <c:pt idx="1182">
                  <c:v>17</c:v>
                </c:pt>
                <c:pt idx="1183">
                  <c:v>1</c:v>
                </c:pt>
                <c:pt idx="1184">
                  <c:v>15</c:v>
                </c:pt>
                <c:pt idx="1185">
                  <c:v>2</c:v>
                </c:pt>
                <c:pt idx="1186">
                  <c:v>8</c:v>
                </c:pt>
                <c:pt idx="1187">
                  <c:v>4</c:v>
                </c:pt>
                <c:pt idx="1188">
                  <c:v>5</c:v>
                </c:pt>
                <c:pt idx="1189">
                  <c:v>13</c:v>
                </c:pt>
                <c:pt idx="1190">
                  <c:v>2</c:v>
                </c:pt>
                <c:pt idx="1191">
                  <c:v>3</c:v>
                </c:pt>
                <c:pt idx="1192">
                  <c:v>10</c:v>
                </c:pt>
                <c:pt idx="1193">
                  <c:v>9</c:v>
                </c:pt>
                <c:pt idx="1194">
                  <c:v>6</c:v>
                </c:pt>
                <c:pt idx="1195">
                  <c:v>1</c:v>
                </c:pt>
                <c:pt idx="1196">
                  <c:v>2</c:v>
                </c:pt>
                <c:pt idx="1197">
                  <c:v>7</c:v>
                </c:pt>
                <c:pt idx="1198">
                  <c:v>18</c:v>
                </c:pt>
                <c:pt idx="1199">
                  <c:v>14</c:v>
                </c:pt>
                <c:pt idx="1200">
                  <c:v>16</c:v>
                </c:pt>
                <c:pt idx="1201">
                  <c:v>5</c:v>
                </c:pt>
                <c:pt idx="1202">
                  <c:v>9</c:v>
                </c:pt>
                <c:pt idx="1203">
                  <c:v>4</c:v>
                </c:pt>
                <c:pt idx="1204">
                  <c:v>2</c:v>
                </c:pt>
                <c:pt idx="1205">
                  <c:v>6</c:v>
                </c:pt>
                <c:pt idx="1206">
                  <c:v>9</c:v>
                </c:pt>
                <c:pt idx="1207">
                  <c:v>4</c:v>
                </c:pt>
                <c:pt idx="1208">
                  <c:v>13</c:v>
                </c:pt>
                <c:pt idx="1209">
                  <c:v>22</c:v>
                </c:pt>
                <c:pt idx="1210">
                  <c:v>20</c:v>
                </c:pt>
                <c:pt idx="1211">
                  <c:v>8</c:v>
                </c:pt>
                <c:pt idx="1212">
                  <c:v>15</c:v>
                </c:pt>
                <c:pt idx="1213">
                  <c:v>5</c:v>
                </c:pt>
                <c:pt idx="1214">
                  <c:v>4</c:v>
                </c:pt>
                <c:pt idx="1215">
                  <c:v>9</c:v>
                </c:pt>
                <c:pt idx="1216">
                  <c:v>10</c:v>
                </c:pt>
                <c:pt idx="1217">
                  <c:v>6</c:v>
                </c:pt>
                <c:pt idx="1218">
                  <c:v>5</c:v>
                </c:pt>
                <c:pt idx="1219">
                  <c:v>2</c:v>
                </c:pt>
                <c:pt idx="1220">
                  <c:v>10</c:v>
                </c:pt>
                <c:pt idx="1221">
                  <c:v>5</c:v>
                </c:pt>
                <c:pt idx="1222">
                  <c:v>4</c:v>
                </c:pt>
                <c:pt idx="1223">
                  <c:v>4</c:v>
                </c:pt>
                <c:pt idx="1224">
                  <c:v>5</c:v>
                </c:pt>
                <c:pt idx="1225">
                  <c:v>20</c:v>
                </c:pt>
                <c:pt idx="1226">
                  <c:v>9</c:v>
                </c:pt>
                <c:pt idx="1227">
                  <c:v>4</c:v>
                </c:pt>
                <c:pt idx="1228">
                  <c:v>5</c:v>
                </c:pt>
                <c:pt idx="1229">
                  <c:v>7</c:v>
                </c:pt>
                <c:pt idx="1230">
                  <c:v>6</c:v>
                </c:pt>
                <c:pt idx="1231">
                  <c:v>9</c:v>
                </c:pt>
                <c:pt idx="1232">
                  <c:v>4</c:v>
                </c:pt>
              </c:numCache>
            </c:numRef>
          </c:xVal>
          <c:yVal>
            <c:numRef>
              <c:f>EDA_Summary!$S$2:$S$1471</c:f>
              <c:numCache>
                <c:formatCode>General</c:formatCode>
                <c:ptCount val="1470"/>
                <c:pt idx="0">
                  <c:v>5130</c:v>
                </c:pt>
                <c:pt idx="1">
                  <c:v>2909</c:v>
                </c:pt>
                <c:pt idx="2">
                  <c:v>3468</c:v>
                </c:pt>
                <c:pt idx="3">
                  <c:v>3068</c:v>
                </c:pt>
                <c:pt idx="4">
                  <c:v>2670</c:v>
                </c:pt>
                <c:pt idx="5">
                  <c:v>2693</c:v>
                </c:pt>
                <c:pt idx="6">
                  <c:v>9526</c:v>
                </c:pt>
                <c:pt idx="7">
                  <c:v>5237</c:v>
                </c:pt>
                <c:pt idx="8">
                  <c:v>2674</c:v>
                </c:pt>
                <c:pt idx="9">
                  <c:v>4193</c:v>
                </c:pt>
                <c:pt idx="10">
                  <c:v>2911</c:v>
                </c:pt>
                <c:pt idx="11">
                  <c:v>2661</c:v>
                </c:pt>
                <c:pt idx="12">
                  <c:v>9980</c:v>
                </c:pt>
                <c:pt idx="13">
                  <c:v>3298</c:v>
                </c:pt>
                <c:pt idx="14">
                  <c:v>2935</c:v>
                </c:pt>
                <c:pt idx="15">
                  <c:v>15427</c:v>
                </c:pt>
                <c:pt idx="16">
                  <c:v>3944</c:v>
                </c:pt>
                <c:pt idx="17">
                  <c:v>4011</c:v>
                </c:pt>
                <c:pt idx="18">
                  <c:v>11994</c:v>
                </c:pt>
                <c:pt idx="19">
                  <c:v>1232</c:v>
                </c:pt>
                <c:pt idx="20">
                  <c:v>19094</c:v>
                </c:pt>
                <c:pt idx="21">
                  <c:v>6825</c:v>
                </c:pt>
                <c:pt idx="22">
                  <c:v>10248</c:v>
                </c:pt>
                <c:pt idx="23">
                  <c:v>18947</c:v>
                </c:pt>
                <c:pt idx="24">
                  <c:v>2496</c:v>
                </c:pt>
                <c:pt idx="25">
                  <c:v>6465</c:v>
                </c:pt>
                <c:pt idx="26">
                  <c:v>2206</c:v>
                </c:pt>
                <c:pt idx="27">
                  <c:v>2645</c:v>
                </c:pt>
                <c:pt idx="28">
                  <c:v>2014</c:v>
                </c:pt>
                <c:pt idx="29">
                  <c:v>3419</c:v>
                </c:pt>
                <c:pt idx="30">
                  <c:v>5376</c:v>
                </c:pt>
                <c:pt idx="31">
                  <c:v>1951</c:v>
                </c:pt>
                <c:pt idx="32">
                  <c:v>2341</c:v>
                </c:pt>
                <c:pt idx="33">
                  <c:v>8726</c:v>
                </c:pt>
                <c:pt idx="34">
                  <c:v>4011</c:v>
                </c:pt>
                <c:pt idx="35">
                  <c:v>4568</c:v>
                </c:pt>
                <c:pt idx="36">
                  <c:v>3022</c:v>
                </c:pt>
                <c:pt idx="37">
                  <c:v>5772</c:v>
                </c:pt>
                <c:pt idx="38">
                  <c:v>2269</c:v>
                </c:pt>
                <c:pt idx="39">
                  <c:v>5454</c:v>
                </c:pt>
                <c:pt idx="40">
                  <c:v>9884</c:v>
                </c:pt>
                <c:pt idx="41">
                  <c:v>4157</c:v>
                </c:pt>
                <c:pt idx="42">
                  <c:v>5993</c:v>
                </c:pt>
                <c:pt idx="43">
                  <c:v>9069</c:v>
                </c:pt>
                <c:pt idx="44">
                  <c:v>4014</c:v>
                </c:pt>
                <c:pt idx="45">
                  <c:v>5915</c:v>
                </c:pt>
                <c:pt idx="46">
                  <c:v>5993</c:v>
                </c:pt>
                <c:pt idx="47">
                  <c:v>6162</c:v>
                </c:pt>
                <c:pt idx="48">
                  <c:v>2406</c:v>
                </c:pt>
                <c:pt idx="49">
                  <c:v>18740</c:v>
                </c:pt>
                <c:pt idx="50">
                  <c:v>7637</c:v>
                </c:pt>
                <c:pt idx="51">
                  <c:v>10096</c:v>
                </c:pt>
                <c:pt idx="52">
                  <c:v>4200</c:v>
                </c:pt>
                <c:pt idx="53">
                  <c:v>6499</c:v>
                </c:pt>
                <c:pt idx="54">
                  <c:v>9724</c:v>
                </c:pt>
                <c:pt idx="55">
                  <c:v>2194</c:v>
                </c:pt>
                <c:pt idx="56">
                  <c:v>5473</c:v>
                </c:pt>
                <c:pt idx="57">
                  <c:v>2703</c:v>
                </c:pt>
                <c:pt idx="58">
                  <c:v>2501</c:v>
                </c:pt>
                <c:pt idx="59">
                  <c:v>6220</c:v>
                </c:pt>
                <c:pt idx="60">
                  <c:v>3038</c:v>
                </c:pt>
                <c:pt idx="61">
                  <c:v>6500</c:v>
                </c:pt>
                <c:pt idx="62">
                  <c:v>4312</c:v>
                </c:pt>
                <c:pt idx="63">
                  <c:v>13245</c:v>
                </c:pt>
                <c:pt idx="64">
                  <c:v>13664</c:v>
                </c:pt>
                <c:pt idx="65">
                  <c:v>5021</c:v>
                </c:pt>
                <c:pt idx="66">
                  <c:v>5126</c:v>
                </c:pt>
                <c:pt idx="67">
                  <c:v>2859</c:v>
                </c:pt>
                <c:pt idx="68">
                  <c:v>10239</c:v>
                </c:pt>
                <c:pt idx="69">
                  <c:v>5329</c:v>
                </c:pt>
                <c:pt idx="70">
                  <c:v>4325</c:v>
                </c:pt>
                <c:pt idx="71">
                  <c:v>7260</c:v>
                </c:pt>
                <c:pt idx="72">
                  <c:v>2322</c:v>
                </c:pt>
                <c:pt idx="73">
                  <c:v>2075</c:v>
                </c:pt>
                <c:pt idx="74">
                  <c:v>4152</c:v>
                </c:pt>
                <c:pt idx="75">
                  <c:v>13503</c:v>
                </c:pt>
                <c:pt idx="76">
                  <c:v>5441</c:v>
                </c:pt>
                <c:pt idx="77">
                  <c:v>5209</c:v>
                </c:pt>
                <c:pt idx="78">
                  <c:v>10673</c:v>
                </c:pt>
                <c:pt idx="79">
                  <c:v>5010</c:v>
                </c:pt>
                <c:pt idx="80">
                  <c:v>13549</c:v>
                </c:pt>
                <c:pt idx="81">
                  <c:v>4999</c:v>
                </c:pt>
                <c:pt idx="82">
                  <c:v>4221</c:v>
                </c:pt>
                <c:pt idx="83">
                  <c:v>13872</c:v>
                </c:pt>
                <c:pt idx="84">
                  <c:v>2042</c:v>
                </c:pt>
                <c:pt idx="85">
                  <c:v>2956</c:v>
                </c:pt>
                <c:pt idx="86">
                  <c:v>4809</c:v>
                </c:pt>
                <c:pt idx="87">
                  <c:v>5163</c:v>
                </c:pt>
                <c:pt idx="88">
                  <c:v>18844</c:v>
                </c:pt>
                <c:pt idx="89">
                  <c:v>18172</c:v>
                </c:pt>
                <c:pt idx="90">
                  <c:v>2889</c:v>
                </c:pt>
                <c:pt idx="91">
                  <c:v>2871</c:v>
                </c:pt>
                <c:pt idx="92">
                  <c:v>7484</c:v>
                </c:pt>
                <c:pt idx="93">
                  <c:v>17328</c:v>
                </c:pt>
                <c:pt idx="94">
                  <c:v>2774</c:v>
                </c:pt>
                <c:pt idx="95">
                  <c:v>4505</c:v>
                </c:pt>
                <c:pt idx="96">
                  <c:v>7428</c:v>
                </c:pt>
                <c:pt idx="97">
                  <c:v>11631</c:v>
                </c:pt>
                <c:pt idx="98">
                  <c:v>9738</c:v>
                </c:pt>
                <c:pt idx="99">
                  <c:v>2835</c:v>
                </c:pt>
                <c:pt idx="100">
                  <c:v>16959</c:v>
                </c:pt>
                <c:pt idx="101">
                  <c:v>2674</c:v>
                </c:pt>
                <c:pt idx="102">
                  <c:v>6146</c:v>
                </c:pt>
                <c:pt idx="103">
                  <c:v>19537</c:v>
                </c:pt>
                <c:pt idx="104">
                  <c:v>2368</c:v>
                </c:pt>
                <c:pt idx="105">
                  <c:v>2523</c:v>
                </c:pt>
                <c:pt idx="106">
                  <c:v>6567</c:v>
                </c:pt>
                <c:pt idx="107">
                  <c:v>4739</c:v>
                </c:pt>
                <c:pt idx="108">
                  <c:v>9208</c:v>
                </c:pt>
                <c:pt idx="109">
                  <c:v>8189</c:v>
                </c:pt>
                <c:pt idx="110">
                  <c:v>2942</c:v>
                </c:pt>
                <c:pt idx="111">
                  <c:v>4941</c:v>
                </c:pt>
                <c:pt idx="112">
                  <c:v>5902</c:v>
                </c:pt>
                <c:pt idx="113">
                  <c:v>8639</c:v>
                </c:pt>
                <c:pt idx="114">
                  <c:v>6347</c:v>
                </c:pt>
                <c:pt idx="115">
                  <c:v>3452</c:v>
                </c:pt>
                <c:pt idx="116">
                  <c:v>4317</c:v>
                </c:pt>
                <c:pt idx="117">
                  <c:v>2632</c:v>
                </c:pt>
                <c:pt idx="118">
                  <c:v>4668</c:v>
                </c:pt>
                <c:pt idx="119">
                  <c:v>3204</c:v>
                </c:pt>
                <c:pt idx="120">
                  <c:v>2720</c:v>
                </c:pt>
                <c:pt idx="121">
                  <c:v>17181</c:v>
                </c:pt>
                <c:pt idx="122">
                  <c:v>2238</c:v>
                </c:pt>
                <c:pt idx="123">
                  <c:v>1483</c:v>
                </c:pt>
                <c:pt idx="124">
                  <c:v>5605</c:v>
                </c:pt>
                <c:pt idx="125">
                  <c:v>7295</c:v>
                </c:pt>
                <c:pt idx="126">
                  <c:v>2306</c:v>
                </c:pt>
                <c:pt idx="127">
                  <c:v>2348</c:v>
                </c:pt>
                <c:pt idx="128">
                  <c:v>8998</c:v>
                </c:pt>
                <c:pt idx="129">
                  <c:v>4319</c:v>
                </c:pt>
                <c:pt idx="130">
                  <c:v>6132</c:v>
                </c:pt>
                <c:pt idx="131">
                  <c:v>3346</c:v>
                </c:pt>
                <c:pt idx="132">
                  <c:v>10855</c:v>
                </c:pt>
                <c:pt idx="133">
                  <c:v>2231</c:v>
                </c:pt>
                <c:pt idx="134">
                  <c:v>2323</c:v>
                </c:pt>
                <c:pt idx="135">
                  <c:v>2024</c:v>
                </c:pt>
                <c:pt idx="136">
                  <c:v>2713</c:v>
                </c:pt>
                <c:pt idx="137">
                  <c:v>9439</c:v>
                </c:pt>
                <c:pt idx="138">
                  <c:v>2566</c:v>
                </c:pt>
                <c:pt idx="139">
                  <c:v>19926</c:v>
                </c:pt>
                <c:pt idx="140">
                  <c:v>2451</c:v>
                </c:pt>
                <c:pt idx="141">
                  <c:v>9419</c:v>
                </c:pt>
                <c:pt idx="142">
                  <c:v>8686</c:v>
                </c:pt>
                <c:pt idx="143">
                  <c:v>3038</c:v>
                </c:pt>
                <c:pt idx="144">
                  <c:v>3058</c:v>
                </c:pt>
                <c:pt idx="145">
                  <c:v>2088</c:v>
                </c:pt>
                <c:pt idx="146">
                  <c:v>3072</c:v>
                </c:pt>
                <c:pt idx="147">
                  <c:v>5006</c:v>
                </c:pt>
                <c:pt idx="148">
                  <c:v>4257</c:v>
                </c:pt>
                <c:pt idx="149">
                  <c:v>2500</c:v>
                </c:pt>
                <c:pt idx="150">
                  <c:v>10453</c:v>
                </c:pt>
                <c:pt idx="151">
                  <c:v>2288</c:v>
                </c:pt>
                <c:pt idx="152">
                  <c:v>3929</c:v>
                </c:pt>
                <c:pt idx="153">
                  <c:v>2311</c:v>
                </c:pt>
                <c:pt idx="154">
                  <c:v>3690</c:v>
                </c:pt>
                <c:pt idx="155">
                  <c:v>4450</c:v>
                </c:pt>
                <c:pt idx="156">
                  <c:v>2756</c:v>
                </c:pt>
                <c:pt idx="157">
                  <c:v>19033</c:v>
                </c:pt>
                <c:pt idx="158">
                  <c:v>18722</c:v>
                </c:pt>
                <c:pt idx="159">
                  <c:v>9547</c:v>
                </c:pt>
                <c:pt idx="160">
                  <c:v>13734</c:v>
                </c:pt>
                <c:pt idx="161">
                  <c:v>19999</c:v>
                </c:pt>
                <c:pt idx="162">
                  <c:v>2279</c:v>
                </c:pt>
                <c:pt idx="163">
                  <c:v>2089</c:v>
                </c:pt>
                <c:pt idx="164">
                  <c:v>16792</c:v>
                </c:pt>
                <c:pt idx="165">
                  <c:v>3564</c:v>
                </c:pt>
                <c:pt idx="166">
                  <c:v>4425</c:v>
                </c:pt>
                <c:pt idx="167">
                  <c:v>5265</c:v>
                </c:pt>
                <c:pt idx="168">
                  <c:v>6553</c:v>
                </c:pt>
                <c:pt idx="169">
                  <c:v>6261</c:v>
                </c:pt>
                <c:pt idx="170">
                  <c:v>4298</c:v>
                </c:pt>
                <c:pt idx="171">
                  <c:v>6804</c:v>
                </c:pt>
                <c:pt idx="172">
                  <c:v>3815</c:v>
                </c:pt>
                <c:pt idx="173">
                  <c:v>2741</c:v>
                </c:pt>
                <c:pt idx="174">
                  <c:v>2328</c:v>
                </c:pt>
                <c:pt idx="175">
                  <c:v>2153</c:v>
                </c:pt>
                <c:pt idx="176">
                  <c:v>4876</c:v>
                </c:pt>
                <c:pt idx="177">
                  <c:v>9396</c:v>
                </c:pt>
                <c:pt idx="178">
                  <c:v>8474</c:v>
                </c:pt>
                <c:pt idx="179">
                  <c:v>9981</c:v>
                </c:pt>
                <c:pt idx="180">
                  <c:v>12490</c:v>
                </c:pt>
                <c:pt idx="181">
                  <c:v>13591</c:v>
                </c:pt>
                <c:pt idx="182">
                  <c:v>8865</c:v>
                </c:pt>
                <c:pt idx="183">
                  <c:v>5940</c:v>
                </c:pt>
                <c:pt idx="184">
                  <c:v>5914</c:v>
                </c:pt>
                <c:pt idx="185">
                  <c:v>2622</c:v>
                </c:pt>
                <c:pt idx="186">
                  <c:v>12185</c:v>
                </c:pt>
                <c:pt idx="187">
                  <c:v>10609</c:v>
                </c:pt>
                <c:pt idx="188">
                  <c:v>4345</c:v>
                </c:pt>
                <c:pt idx="189">
                  <c:v>2177</c:v>
                </c:pt>
                <c:pt idx="190">
                  <c:v>2793</c:v>
                </c:pt>
                <c:pt idx="191">
                  <c:v>7918</c:v>
                </c:pt>
                <c:pt idx="192">
                  <c:v>8789</c:v>
                </c:pt>
                <c:pt idx="193">
                  <c:v>2674</c:v>
                </c:pt>
                <c:pt idx="194">
                  <c:v>19232</c:v>
                </c:pt>
                <c:pt idx="195">
                  <c:v>2267</c:v>
                </c:pt>
                <c:pt idx="196">
                  <c:v>19517</c:v>
                </c:pt>
                <c:pt idx="197">
                  <c:v>16064</c:v>
                </c:pt>
                <c:pt idx="198">
                  <c:v>19068</c:v>
                </c:pt>
                <c:pt idx="199">
                  <c:v>3931</c:v>
                </c:pt>
                <c:pt idx="200">
                  <c:v>2232</c:v>
                </c:pt>
                <c:pt idx="201">
                  <c:v>4465</c:v>
                </c:pt>
                <c:pt idx="202">
                  <c:v>3072</c:v>
                </c:pt>
                <c:pt idx="203">
                  <c:v>3319</c:v>
                </c:pt>
                <c:pt idx="204">
                  <c:v>19202</c:v>
                </c:pt>
                <c:pt idx="205">
                  <c:v>13675</c:v>
                </c:pt>
                <c:pt idx="206">
                  <c:v>2911</c:v>
                </c:pt>
                <c:pt idx="207">
                  <c:v>5957</c:v>
                </c:pt>
                <c:pt idx="208">
                  <c:v>3920</c:v>
                </c:pt>
                <c:pt idx="209">
                  <c:v>6434</c:v>
                </c:pt>
                <c:pt idx="210">
                  <c:v>10938</c:v>
                </c:pt>
                <c:pt idx="211">
                  <c:v>2340</c:v>
                </c:pt>
                <c:pt idx="212">
                  <c:v>6545</c:v>
                </c:pt>
                <c:pt idx="213">
                  <c:v>6931</c:v>
                </c:pt>
                <c:pt idx="214">
                  <c:v>4898</c:v>
                </c:pt>
                <c:pt idx="215">
                  <c:v>2593</c:v>
                </c:pt>
                <c:pt idx="216">
                  <c:v>19436</c:v>
                </c:pt>
                <c:pt idx="217">
                  <c:v>2723</c:v>
                </c:pt>
                <c:pt idx="218">
                  <c:v>2794</c:v>
                </c:pt>
                <c:pt idx="219">
                  <c:v>5249</c:v>
                </c:pt>
                <c:pt idx="220">
                  <c:v>2176</c:v>
                </c:pt>
                <c:pt idx="221">
                  <c:v>16872</c:v>
                </c:pt>
                <c:pt idx="222">
                  <c:v>6644</c:v>
                </c:pt>
                <c:pt idx="223">
                  <c:v>5582</c:v>
                </c:pt>
                <c:pt idx="224">
                  <c:v>4000</c:v>
                </c:pt>
                <c:pt idx="225">
                  <c:v>13496</c:v>
                </c:pt>
                <c:pt idx="226">
                  <c:v>3210</c:v>
                </c:pt>
                <c:pt idx="227">
                  <c:v>19045</c:v>
                </c:pt>
                <c:pt idx="228">
                  <c:v>2070</c:v>
                </c:pt>
                <c:pt idx="229">
                  <c:v>6502</c:v>
                </c:pt>
                <c:pt idx="230">
                  <c:v>3230</c:v>
                </c:pt>
                <c:pt idx="231">
                  <c:v>13603</c:v>
                </c:pt>
                <c:pt idx="232">
                  <c:v>11996</c:v>
                </c:pt>
                <c:pt idx="233">
                  <c:v>5605</c:v>
                </c:pt>
                <c:pt idx="234">
                  <c:v>6397</c:v>
                </c:pt>
                <c:pt idx="235">
                  <c:v>19144</c:v>
                </c:pt>
                <c:pt idx="236">
                  <c:v>17584</c:v>
                </c:pt>
                <c:pt idx="237">
                  <c:v>4907</c:v>
                </c:pt>
                <c:pt idx="238">
                  <c:v>4554</c:v>
                </c:pt>
                <c:pt idx="239">
                  <c:v>5415</c:v>
                </c:pt>
                <c:pt idx="240">
                  <c:v>4741</c:v>
                </c:pt>
                <c:pt idx="241">
                  <c:v>2115</c:v>
                </c:pt>
                <c:pt idx="242">
                  <c:v>5745</c:v>
                </c:pt>
                <c:pt idx="243">
                  <c:v>3310</c:v>
                </c:pt>
                <c:pt idx="244">
                  <c:v>18665</c:v>
                </c:pt>
                <c:pt idx="245">
                  <c:v>4485</c:v>
                </c:pt>
                <c:pt idx="246">
                  <c:v>2789</c:v>
                </c:pt>
                <c:pt idx="247">
                  <c:v>2326</c:v>
                </c:pt>
                <c:pt idx="248">
                  <c:v>13525</c:v>
                </c:pt>
                <c:pt idx="249">
                  <c:v>8020</c:v>
                </c:pt>
                <c:pt idx="250">
                  <c:v>3688</c:v>
                </c:pt>
                <c:pt idx="251">
                  <c:v>5482</c:v>
                </c:pt>
                <c:pt idx="252">
                  <c:v>16015</c:v>
                </c:pt>
                <c:pt idx="253">
                  <c:v>1200</c:v>
                </c:pt>
                <c:pt idx="254">
                  <c:v>5661</c:v>
                </c:pt>
                <c:pt idx="255">
                  <c:v>6929</c:v>
                </c:pt>
                <c:pt idx="256">
                  <c:v>9613</c:v>
                </c:pt>
                <c:pt idx="257">
                  <c:v>5674</c:v>
                </c:pt>
                <c:pt idx="258">
                  <c:v>5484</c:v>
                </c:pt>
                <c:pt idx="259">
                  <c:v>12061</c:v>
                </c:pt>
                <c:pt idx="260">
                  <c:v>5660</c:v>
                </c:pt>
                <c:pt idx="261">
                  <c:v>4821</c:v>
                </c:pt>
                <c:pt idx="262">
                  <c:v>6410</c:v>
                </c:pt>
                <c:pt idx="263">
                  <c:v>5210</c:v>
                </c:pt>
                <c:pt idx="264">
                  <c:v>2695</c:v>
                </c:pt>
                <c:pt idx="265">
                  <c:v>11878</c:v>
                </c:pt>
                <c:pt idx="266">
                  <c:v>17068</c:v>
                </c:pt>
                <c:pt idx="267">
                  <c:v>2455</c:v>
                </c:pt>
                <c:pt idx="268">
                  <c:v>13964</c:v>
                </c:pt>
                <c:pt idx="269">
                  <c:v>2478</c:v>
                </c:pt>
                <c:pt idx="270">
                  <c:v>5228</c:v>
                </c:pt>
                <c:pt idx="271">
                  <c:v>4478</c:v>
                </c:pt>
                <c:pt idx="272">
                  <c:v>7547</c:v>
                </c:pt>
                <c:pt idx="273">
                  <c:v>5055</c:v>
                </c:pt>
                <c:pt idx="274">
                  <c:v>5775</c:v>
                </c:pt>
                <c:pt idx="275">
                  <c:v>8943</c:v>
                </c:pt>
                <c:pt idx="276">
                  <c:v>19272</c:v>
                </c:pt>
                <c:pt idx="277">
                  <c:v>4682</c:v>
                </c:pt>
                <c:pt idx="278">
                  <c:v>18300</c:v>
                </c:pt>
                <c:pt idx="279">
                  <c:v>5257</c:v>
                </c:pt>
                <c:pt idx="280">
                  <c:v>6349</c:v>
                </c:pt>
                <c:pt idx="281">
                  <c:v>4869</c:v>
                </c:pt>
                <c:pt idx="282">
                  <c:v>9985</c:v>
                </c:pt>
                <c:pt idx="283">
                  <c:v>3697</c:v>
                </c:pt>
                <c:pt idx="284">
                  <c:v>7457</c:v>
                </c:pt>
                <c:pt idx="285">
                  <c:v>3983</c:v>
                </c:pt>
                <c:pt idx="286">
                  <c:v>6118</c:v>
                </c:pt>
                <c:pt idx="287">
                  <c:v>6214</c:v>
                </c:pt>
                <c:pt idx="288">
                  <c:v>5343</c:v>
                </c:pt>
                <c:pt idx="289">
                  <c:v>11510</c:v>
                </c:pt>
                <c:pt idx="290">
                  <c:v>7143</c:v>
                </c:pt>
                <c:pt idx="291">
                  <c:v>8268</c:v>
                </c:pt>
                <c:pt idx="292">
                  <c:v>8095</c:v>
                </c:pt>
                <c:pt idx="293">
                  <c:v>2904</c:v>
                </c:pt>
                <c:pt idx="294">
                  <c:v>6032</c:v>
                </c:pt>
                <c:pt idx="295">
                  <c:v>2976</c:v>
                </c:pt>
                <c:pt idx="296">
                  <c:v>15992</c:v>
                </c:pt>
                <c:pt idx="297">
                  <c:v>4649</c:v>
                </c:pt>
                <c:pt idx="298">
                  <c:v>2696</c:v>
                </c:pt>
                <c:pt idx="299">
                  <c:v>2370</c:v>
                </c:pt>
                <c:pt idx="300">
                  <c:v>12504</c:v>
                </c:pt>
                <c:pt idx="301">
                  <c:v>5974</c:v>
                </c:pt>
                <c:pt idx="302">
                  <c:v>4736</c:v>
                </c:pt>
                <c:pt idx="303">
                  <c:v>5296</c:v>
                </c:pt>
                <c:pt idx="304">
                  <c:v>6781</c:v>
                </c:pt>
                <c:pt idx="305">
                  <c:v>6653</c:v>
                </c:pt>
                <c:pt idx="306">
                  <c:v>9699</c:v>
                </c:pt>
                <c:pt idx="307">
                  <c:v>6755</c:v>
                </c:pt>
                <c:pt idx="308">
                  <c:v>2213</c:v>
                </c:pt>
                <c:pt idx="309">
                  <c:v>2610</c:v>
                </c:pt>
                <c:pt idx="310">
                  <c:v>3452</c:v>
                </c:pt>
                <c:pt idx="311">
                  <c:v>5258</c:v>
                </c:pt>
                <c:pt idx="312">
                  <c:v>10496</c:v>
                </c:pt>
                <c:pt idx="313">
                  <c:v>2657</c:v>
                </c:pt>
                <c:pt idx="314">
                  <c:v>2201</c:v>
                </c:pt>
                <c:pt idx="315">
                  <c:v>6540</c:v>
                </c:pt>
                <c:pt idx="316">
                  <c:v>3816</c:v>
                </c:pt>
                <c:pt idx="317">
                  <c:v>5253</c:v>
                </c:pt>
                <c:pt idx="318">
                  <c:v>10965</c:v>
                </c:pt>
                <c:pt idx="319">
                  <c:v>4936</c:v>
                </c:pt>
                <c:pt idx="320">
                  <c:v>2543</c:v>
                </c:pt>
                <c:pt idx="321">
                  <c:v>16659</c:v>
                </c:pt>
                <c:pt idx="322">
                  <c:v>4260</c:v>
                </c:pt>
                <c:pt idx="323">
                  <c:v>2476</c:v>
                </c:pt>
                <c:pt idx="324">
                  <c:v>2244</c:v>
                </c:pt>
                <c:pt idx="325">
                  <c:v>7596</c:v>
                </c:pt>
                <c:pt idx="326">
                  <c:v>3034</c:v>
                </c:pt>
                <c:pt idx="327">
                  <c:v>5715</c:v>
                </c:pt>
                <c:pt idx="328">
                  <c:v>2576</c:v>
                </c:pt>
                <c:pt idx="329">
                  <c:v>4197</c:v>
                </c:pt>
                <c:pt idx="330">
                  <c:v>14336</c:v>
                </c:pt>
                <c:pt idx="331">
                  <c:v>3448</c:v>
                </c:pt>
                <c:pt idx="332">
                  <c:v>19406</c:v>
                </c:pt>
                <c:pt idx="333">
                  <c:v>6538</c:v>
                </c:pt>
                <c:pt idx="334">
                  <c:v>4306</c:v>
                </c:pt>
                <c:pt idx="335">
                  <c:v>2258</c:v>
                </c:pt>
                <c:pt idx="336">
                  <c:v>4522</c:v>
                </c:pt>
                <c:pt idx="337">
                  <c:v>4487</c:v>
                </c:pt>
                <c:pt idx="338">
                  <c:v>4449</c:v>
                </c:pt>
                <c:pt idx="339">
                  <c:v>2218</c:v>
                </c:pt>
                <c:pt idx="340">
                  <c:v>19197</c:v>
                </c:pt>
                <c:pt idx="341">
                  <c:v>13212</c:v>
                </c:pt>
                <c:pt idx="342">
                  <c:v>6577</c:v>
                </c:pt>
                <c:pt idx="343">
                  <c:v>8392</c:v>
                </c:pt>
                <c:pt idx="344">
                  <c:v>4558</c:v>
                </c:pt>
                <c:pt idx="345">
                  <c:v>7969</c:v>
                </c:pt>
                <c:pt idx="346">
                  <c:v>2654</c:v>
                </c:pt>
                <c:pt idx="347">
                  <c:v>16555</c:v>
                </c:pt>
                <c:pt idx="348">
                  <c:v>4556</c:v>
                </c:pt>
                <c:pt idx="349">
                  <c:v>6091</c:v>
                </c:pt>
                <c:pt idx="350">
                  <c:v>19566</c:v>
                </c:pt>
                <c:pt idx="351">
                  <c:v>4810</c:v>
                </c:pt>
                <c:pt idx="352">
                  <c:v>4523</c:v>
                </c:pt>
                <c:pt idx="353">
                  <c:v>1702</c:v>
                </c:pt>
                <c:pt idx="354">
                  <c:v>18041</c:v>
                </c:pt>
                <c:pt idx="355">
                  <c:v>2886</c:v>
                </c:pt>
                <c:pt idx="356">
                  <c:v>2097</c:v>
                </c:pt>
                <c:pt idx="357">
                  <c:v>11935</c:v>
                </c:pt>
                <c:pt idx="358">
                  <c:v>8412</c:v>
                </c:pt>
                <c:pt idx="359">
                  <c:v>14118</c:v>
                </c:pt>
                <c:pt idx="360">
                  <c:v>17046</c:v>
                </c:pt>
                <c:pt idx="361">
                  <c:v>2564</c:v>
                </c:pt>
                <c:pt idx="362">
                  <c:v>10266</c:v>
                </c:pt>
                <c:pt idx="363">
                  <c:v>5070</c:v>
                </c:pt>
                <c:pt idx="364">
                  <c:v>17861</c:v>
                </c:pt>
                <c:pt idx="365">
                  <c:v>4230</c:v>
                </c:pt>
                <c:pt idx="366">
                  <c:v>3780</c:v>
                </c:pt>
                <c:pt idx="367">
                  <c:v>2768</c:v>
                </c:pt>
                <c:pt idx="368">
                  <c:v>9071</c:v>
                </c:pt>
                <c:pt idx="369">
                  <c:v>10648</c:v>
                </c:pt>
                <c:pt idx="370">
                  <c:v>2983</c:v>
                </c:pt>
                <c:pt idx="371">
                  <c:v>7632</c:v>
                </c:pt>
                <c:pt idx="372">
                  <c:v>2093</c:v>
                </c:pt>
                <c:pt idx="373">
                  <c:v>9980</c:v>
                </c:pt>
                <c:pt idx="374">
                  <c:v>4051</c:v>
                </c:pt>
                <c:pt idx="375">
                  <c:v>16835</c:v>
                </c:pt>
                <c:pt idx="376">
                  <c:v>6230</c:v>
                </c:pt>
                <c:pt idx="377">
                  <c:v>4717</c:v>
                </c:pt>
                <c:pt idx="378">
                  <c:v>13237</c:v>
                </c:pt>
                <c:pt idx="379">
                  <c:v>3755</c:v>
                </c:pt>
                <c:pt idx="380">
                  <c:v>5343</c:v>
                </c:pt>
                <c:pt idx="381">
                  <c:v>7406</c:v>
                </c:pt>
                <c:pt idx="382">
                  <c:v>4805</c:v>
                </c:pt>
                <c:pt idx="383">
                  <c:v>4262</c:v>
                </c:pt>
                <c:pt idx="384">
                  <c:v>16184</c:v>
                </c:pt>
                <c:pt idx="385">
                  <c:v>11557</c:v>
                </c:pt>
                <c:pt idx="386">
                  <c:v>10932</c:v>
                </c:pt>
                <c:pt idx="387">
                  <c:v>6811</c:v>
                </c:pt>
                <c:pt idx="388">
                  <c:v>4306</c:v>
                </c:pt>
                <c:pt idx="389">
                  <c:v>4859</c:v>
                </c:pt>
                <c:pt idx="390">
                  <c:v>5337</c:v>
                </c:pt>
                <c:pt idx="391">
                  <c:v>7491</c:v>
                </c:pt>
                <c:pt idx="392">
                  <c:v>10527</c:v>
                </c:pt>
                <c:pt idx="393">
                  <c:v>16595</c:v>
                </c:pt>
                <c:pt idx="394">
                  <c:v>8834</c:v>
                </c:pt>
                <c:pt idx="395">
                  <c:v>5577</c:v>
                </c:pt>
                <c:pt idx="396">
                  <c:v>2400</c:v>
                </c:pt>
                <c:pt idx="397">
                  <c:v>9824</c:v>
                </c:pt>
                <c:pt idx="398">
                  <c:v>6447</c:v>
                </c:pt>
                <c:pt idx="399">
                  <c:v>19502</c:v>
                </c:pt>
                <c:pt idx="400">
                  <c:v>2725</c:v>
                </c:pt>
                <c:pt idx="401">
                  <c:v>6272</c:v>
                </c:pt>
                <c:pt idx="402">
                  <c:v>2127</c:v>
                </c:pt>
                <c:pt idx="403">
                  <c:v>18200</c:v>
                </c:pt>
                <c:pt idx="404">
                  <c:v>2096</c:v>
                </c:pt>
                <c:pt idx="405">
                  <c:v>3622</c:v>
                </c:pt>
                <c:pt idx="406">
                  <c:v>3681</c:v>
                </c:pt>
                <c:pt idx="407">
                  <c:v>5460</c:v>
                </c:pt>
                <c:pt idx="408">
                  <c:v>2187</c:v>
                </c:pt>
                <c:pt idx="409">
                  <c:v>9602</c:v>
                </c:pt>
                <c:pt idx="410">
                  <c:v>2836</c:v>
                </c:pt>
                <c:pt idx="411">
                  <c:v>4089</c:v>
                </c:pt>
                <c:pt idx="412">
                  <c:v>16627</c:v>
                </c:pt>
                <c:pt idx="413">
                  <c:v>2619</c:v>
                </c:pt>
                <c:pt idx="414">
                  <c:v>5679</c:v>
                </c:pt>
                <c:pt idx="415">
                  <c:v>15402</c:v>
                </c:pt>
                <c:pt idx="416">
                  <c:v>5985</c:v>
                </c:pt>
                <c:pt idx="417">
                  <c:v>2579</c:v>
                </c:pt>
                <c:pt idx="418">
                  <c:v>3447</c:v>
                </c:pt>
                <c:pt idx="419">
                  <c:v>19513</c:v>
                </c:pt>
                <c:pt idx="420">
                  <c:v>2773</c:v>
                </c:pt>
                <c:pt idx="421">
                  <c:v>7104</c:v>
                </c:pt>
                <c:pt idx="422">
                  <c:v>6322</c:v>
                </c:pt>
                <c:pt idx="423">
                  <c:v>2083</c:v>
                </c:pt>
                <c:pt idx="424">
                  <c:v>8381</c:v>
                </c:pt>
                <c:pt idx="425">
                  <c:v>2691</c:v>
                </c:pt>
                <c:pt idx="426">
                  <c:v>2659</c:v>
                </c:pt>
                <c:pt idx="427">
                  <c:v>9434</c:v>
                </c:pt>
                <c:pt idx="428">
                  <c:v>5561</c:v>
                </c:pt>
                <c:pt idx="429">
                  <c:v>6646</c:v>
                </c:pt>
                <c:pt idx="430">
                  <c:v>7725</c:v>
                </c:pt>
                <c:pt idx="431">
                  <c:v>10725</c:v>
                </c:pt>
                <c:pt idx="432">
                  <c:v>8847</c:v>
                </c:pt>
                <c:pt idx="433">
                  <c:v>2045</c:v>
                </c:pt>
                <c:pt idx="434">
                  <c:v>1281</c:v>
                </c:pt>
                <c:pt idx="435">
                  <c:v>2819</c:v>
                </c:pt>
                <c:pt idx="436">
                  <c:v>4851</c:v>
                </c:pt>
                <c:pt idx="437">
                  <c:v>4028</c:v>
                </c:pt>
                <c:pt idx="438">
                  <c:v>2720</c:v>
                </c:pt>
                <c:pt idx="439">
                  <c:v>8120</c:v>
                </c:pt>
                <c:pt idx="440">
                  <c:v>4647</c:v>
                </c:pt>
                <c:pt idx="441">
                  <c:v>4680</c:v>
                </c:pt>
                <c:pt idx="442">
                  <c:v>3221</c:v>
                </c:pt>
                <c:pt idx="443">
                  <c:v>8621</c:v>
                </c:pt>
                <c:pt idx="444">
                  <c:v>4553</c:v>
                </c:pt>
                <c:pt idx="445">
                  <c:v>5396</c:v>
                </c:pt>
                <c:pt idx="446">
                  <c:v>7625</c:v>
                </c:pt>
                <c:pt idx="447">
                  <c:v>7412</c:v>
                </c:pt>
                <c:pt idx="448">
                  <c:v>11159</c:v>
                </c:pt>
                <c:pt idx="449">
                  <c:v>4960</c:v>
                </c:pt>
                <c:pt idx="450">
                  <c:v>10475</c:v>
                </c:pt>
                <c:pt idx="451">
                  <c:v>14814</c:v>
                </c:pt>
                <c:pt idx="452">
                  <c:v>19141</c:v>
                </c:pt>
                <c:pt idx="453">
                  <c:v>5405</c:v>
                </c:pt>
                <c:pt idx="454">
                  <c:v>8793</c:v>
                </c:pt>
                <c:pt idx="455">
                  <c:v>19189</c:v>
                </c:pt>
                <c:pt idx="456">
                  <c:v>3875</c:v>
                </c:pt>
                <c:pt idx="457">
                  <c:v>11713</c:v>
                </c:pt>
                <c:pt idx="458">
                  <c:v>7861</c:v>
                </c:pt>
                <c:pt idx="459">
                  <c:v>3708</c:v>
                </c:pt>
                <c:pt idx="460">
                  <c:v>13770</c:v>
                </c:pt>
                <c:pt idx="461">
                  <c:v>5304</c:v>
                </c:pt>
                <c:pt idx="462">
                  <c:v>2642</c:v>
                </c:pt>
                <c:pt idx="463">
                  <c:v>6804</c:v>
                </c:pt>
                <c:pt idx="464">
                  <c:v>6142</c:v>
                </c:pt>
                <c:pt idx="465">
                  <c:v>2500</c:v>
                </c:pt>
                <c:pt idx="466">
                  <c:v>6389</c:v>
                </c:pt>
                <c:pt idx="467">
                  <c:v>11103</c:v>
                </c:pt>
                <c:pt idx="468">
                  <c:v>2342</c:v>
                </c:pt>
                <c:pt idx="469">
                  <c:v>6811</c:v>
                </c:pt>
                <c:pt idx="470">
                  <c:v>2297</c:v>
                </c:pt>
                <c:pt idx="471">
                  <c:v>2450</c:v>
                </c:pt>
                <c:pt idx="472">
                  <c:v>5093</c:v>
                </c:pt>
                <c:pt idx="473">
                  <c:v>5309</c:v>
                </c:pt>
                <c:pt idx="474">
                  <c:v>3057</c:v>
                </c:pt>
                <c:pt idx="475">
                  <c:v>5343</c:v>
                </c:pt>
                <c:pt idx="476">
                  <c:v>16856</c:v>
                </c:pt>
                <c:pt idx="477">
                  <c:v>6180</c:v>
                </c:pt>
                <c:pt idx="478">
                  <c:v>6632</c:v>
                </c:pt>
                <c:pt idx="479">
                  <c:v>3505</c:v>
                </c:pt>
                <c:pt idx="480">
                  <c:v>6274</c:v>
                </c:pt>
                <c:pt idx="481">
                  <c:v>7587</c:v>
                </c:pt>
                <c:pt idx="482">
                  <c:v>4258</c:v>
                </c:pt>
                <c:pt idx="483">
                  <c:v>4364</c:v>
                </c:pt>
                <c:pt idx="484">
                  <c:v>4335</c:v>
                </c:pt>
                <c:pt idx="485">
                  <c:v>3280</c:v>
                </c:pt>
                <c:pt idx="486">
                  <c:v>5485</c:v>
                </c:pt>
                <c:pt idx="487">
                  <c:v>4342</c:v>
                </c:pt>
                <c:pt idx="488">
                  <c:v>2782</c:v>
                </c:pt>
                <c:pt idx="489">
                  <c:v>5980</c:v>
                </c:pt>
                <c:pt idx="490">
                  <c:v>4381</c:v>
                </c:pt>
                <c:pt idx="491">
                  <c:v>2572</c:v>
                </c:pt>
                <c:pt idx="492">
                  <c:v>3833</c:v>
                </c:pt>
                <c:pt idx="493">
                  <c:v>4244</c:v>
                </c:pt>
                <c:pt idx="494">
                  <c:v>6500</c:v>
                </c:pt>
                <c:pt idx="495">
                  <c:v>18430</c:v>
                </c:pt>
                <c:pt idx="496">
                  <c:v>2694</c:v>
                </c:pt>
                <c:pt idx="497">
                  <c:v>3149</c:v>
                </c:pt>
                <c:pt idx="498">
                  <c:v>17639</c:v>
                </c:pt>
                <c:pt idx="499">
                  <c:v>11691</c:v>
                </c:pt>
                <c:pt idx="500">
                  <c:v>16752</c:v>
                </c:pt>
                <c:pt idx="501">
                  <c:v>5228</c:v>
                </c:pt>
                <c:pt idx="502">
                  <c:v>2700</c:v>
                </c:pt>
                <c:pt idx="503">
                  <c:v>2506</c:v>
                </c:pt>
                <c:pt idx="504">
                  <c:v>6062</c:v>
                </c:pt>
                <c:pt idx="505">
                  <c:v>2143</c:v>
                </c:pt>
                <c:pt idx="506">
                  <c:v>6162</c:v>
                </c:pt>
                <c:pt idx="507">
                  <c:v>5094</c:v>
                </c:pt>
                <c:pt idx="508">
                  <c:v>6877</c:v>
                </c:pt>
                <c:pt idx="509">
                  <c:v>2274</c:v>
                </c:pt>
                <c:pt idx="510">
                  <c:v>4434</c:v>
                </c:pt>
                <c:pt idx="511">
                  <c:v>6288</c:v>
                </c:pt>
                <c:pt idx="512">
                  <c:v>2553</c:v>
                </c:pt>
                <c:pt idx="513">
                  <c:v>17159</c:v>
                </c:pt>
                <c:pt idx="514">
                  <c:v>12808</c:v>
                </c:pt>
                <c:pt idx="515">
                  <c:v>10221</c:v>
                </c:pt>
                <c:pt idx="516">
                  <c:v>4779</c:v>
                </c:pt>
                <c:pt idx="517">
                  <c:v>3737</c:v>
                </c:pt>
                <c:pt idx="518">
                  <c:v>1706</c:v>
                </c:pt>
                <c:pt idx="519">
                  <c:v>16307</c:v>
                </c:pt>
                <c:pt idx="520">
                  <c:v>5933</c:v>
                </c:pt>
                <c:pt idx="521">
                  <c:v>3424</c:v>
                </c:pt>
                <c:pt idx="522">
                  <c:v>4037</c:v>
                </c:pt>
                <c:pt idx="523">
                  <c:v>2559</c:v>
                </c:pt>
                <c:pt idx="524">
                  <c:v>6201</c:v>
                </c:pt>
                <c:pt idx="525">
                  <c:v>4403</c:v>
                </c:pt>
                <c:pt idx="526">
                  <c:v>3761</c:v>
                </c:pt>
                <c:pt idx="527">
                  <c:v>10934</c:v>
                </c:pt>
                <c:pt idx="528">
                  <c:v>10761</c:v>
                </c:pt>
                <c:pt idx="529">
                  <c:v>5175</c:v>
                </c:pt>
                <c:pt idx="530">
                  <c:v>13826</c:v>
                </c:pt>
                <c:pt idx="531">
                  <c:v>6334</c:v>
                </c:pt>
                <c:pt idx="532">
                  <c:v>4936</c:v>
                </c:pt>
                <c:pt idx="533">
                  <c:v>4775</c:v>
                </c:pt>
                <c:pt idx="534">
                  <c:v>2818</c:v>
                </c:pt>
                <c:pt idx="535">
                  <c:v>2515</c:v>
                </c:pt>
                <c:pt idx="536">
                  <c:v>2342</c:v>
                </c:pt>
                <c:pt idx="537">
                  <c:v>4194</c:v>
                </c:pt>
                <c:pt idx="538">
                  <c:v>10685</c:v>
                </c:pt>
                <c:pt idx="539">
                  <c:v>2314</c:v>
                </c:pt>
                <c:pt idx="540">
                  <c:v>4256</c:v>
                </c:pt>
                <c:pt idx="541">
                  <c:v>3580</c:v>
                </c:pt>
                <c:pt idx="542">
                  <c:v>3162</c:v>
                </c:pt>
                <c:pt idx="543">
                  <c:v>6524</c:v>
                </c:pt>
                <c:pt idx="544">
                  <c:v>2899</c:v>
                </c:pt>
                <c:pt idx="545">
                  <c:v>5231</c:v>
                </c:pt>
                <c:pt idx="546">
                  <c:v>2356</c:v>
                </c:pt>
                <c:pt idx="547">
                  <c:v>11836</c:v>
                </c:pt>
                <c:pt idx="548">
                  <c:v>10903</c:v>
                </c:pt>
                <c:pt idx="549">
                  <c:v>2973</c:v>
                </c:pt>
                <c:pt idx="550">
                  <c:v>14275</c:v>
                </c:pt>
                <c:pt idx="551">
                  <c:v>5562</c:v>
                </c:pt>
                <c:pt idx="552">
                  <c:v>4537</c:v>
                </c:pt>
                <c:pt idx="553">
                  <c:v>7642</c:v>
                </c:pt>
                <c:pt idx="554">
                  <c:v>17924</c:v>
                </c:pt>
                <c:pt idx="555">
                  <c:v>5204</c:v>
                </c:pt>
                <c:pt idx="556">
                  <c:v>2277</c:v>
                </c:pt>
                <c:pt idx="557">
                  <c:v>2532</c:v>
                </c:pt>
                <c:pt idx="558">
                  <c:v>2559</c:v>
                </c:pt>
                <c:pt idx="559">
                  <c:v>4908</c:v>
                </c:pt>
                <c:pt idx="560">
                  <c:v>4765</c:v>
                </c:pt>
                <c:pt idx="561">
                  <c:v>6586</c:v>
                </c:pt>
                <c:pt idx="562">
                  <c:v>3294</c:v>
                </c:pt>
                <c:pt idx="563">
                  <c:v>2377</c:v>
                </c:pt>
                <c:pt idx="564">
                  <c:v>2674</c:v>
                </c:pt>
                <c:pt idx="565">
                  <c:v>2008</c:v>
                </c:pt>
                <c:pt idx="566">
                  <c:v>6244</c:v>
                </c:pt>
                <c:pt idx="567">
                  <c:v>2799</c:v>
                </c:pt>
                <c:pt idx="568">
                  <c:v>10552</c:v>
                </c:pt>
                <c:pt idx="569">
                  <c:v>2329</c:v>
                </c:pt>
                <c:pt idx="570">
                  <c:v>4014</c:v>
                </c:pt>
                <c:pt idx="571">
                  <c:v>7403</c:v>
                </c:pt>
                <c:pt idx="572">
                  <c:v>2259</c:v>
                </c:pt>
                <c:pt idx="573">
                  <c:v>6932</c:v>
                </c:pt>
                <c:pt idx="574">
                  <c:v>4678</c:v>
                </c:pt>
                <c:pt idx="575">
                  <c:v>13582</c:v>
                </c:pt>
                <c:pt idx="576">
                  <c:v>2332</c:v>
                </c:pt>
                <c:pt idx="577">
                  <c:v>9705</c:v>
                </c:pt>
                <c:pt idx="578">
                  <c:v>4294</c:v>
                </c:pt>
                <c:pt idx="579">
                  <c:v>4721</c:v>
                </c:pt>
                <c:pt idx="580">
                  <c:v>2519</c:v>
                </c:pt>
                <c:pt idx="581">
                  <c:v>5855</c:v>
                </c:pt>
                <c:pt idx="582">
                  <c:v>3617</c:v>
                </c:pt>
                <c:pt idx="583">
                  <c:v>6725</c:v>
                </c:pt>
                <c:pt idx="584">
                  <c:v>6949</c:v>
                </c:pt>
                <c:pt idx="585">
                  <c:v>4447</c:v>
                </c:pt>
                <c:pt idx="586">
                  <c:v>2157</c:v>
                </c:pt>
                <c:pt idx="587">
                  <c:v>4601</c:v>
                </c:pt>
                <c:pt idx="588">
                  <c:v>17099</c:v>
                </c:pt>
                <c:pt idx="589">
                  <c:v>14852</c:v>
                </c:pt>
                <c:pt idx="590">
                  <c:v>7264</c:v>
                </c:pt>
                <c:pt idx="591">
                  <c:v>5666</c:v>
                </c:pt>
                <c:pt idx="592">
                  <c:v>7823</c:v>
                </c:pt>
                <c:pt idx="593">
                  <c:v>7880</c:v>
                </c:pt>
                <c:pt idx="594">
                  <c:v>5067</c:v>
                </c:pt>
                <c:pt idx="595">
                  <c:v>5079</c:v>
                </c:pt>
                <c:pt idx="596">
                  <c:v>17444</c:v>
                </c:pt>
                <c:pt idx="597">
                  <c:v>3452</c:v>
                </c:pt>
                <c:pt idx="598">
                  <c:v>2270</c:v>
                </c:pt>
                <c:pt idx="599">
                  <c:v>17399</c:v>
                </c:pt>
                <c:pt idx="600">
                  <c:v>5488</c:v>
                </c:pt>
                <c:pt idx="601">
                  <c:v>19419</c:v>
                </c:pt>
                <c:pt idx="602">
                  <c:v>2811</c:v>
                </c:pt>
                <c:pt idx="603">
                  <c:v>3633</c:v>
                </c:pt>
                <c:pt idx="604">
                  <c:v>4163</c:v>
                </c:pt>
                <c:pt idx="605">
                  <c:v>13973</c:v>
                </c:pt>
                <c:pt idx="606">
                  <c:v>2684</c:v>
                </c:pt>
                <c:pt idx="607">
                  <c:v>10845</c:v>
                </c:pt>
                <c:pt idx="608">
                  <c:v>4377</c:v>
                </c:pt>
                <c:pt idx="609">
                  <c:v>4148</c:v>
                </c:pt>
                <c:pt idx="610">
                  <c:v>1051</c:v>
                </c:pt>
                <c:pt idx="611">
                  <c:v>10739</c:v>
                </c:pt>
                <c:pt idx="612">
                  <c:v>10388</c:v>
                </c:pt>
                <c:pt idx="613">
                  <c:v>11416</c:v>
                </c:pt>
                <c:pt idx="614">
                  <c:v>5472</c:v>
                </c:pt>
                <c:pt idx="615">
                  <c:v>2451</c:v>
                </c:pt>
                <c:pt idx="616">
                  <c:v>4240</c:v>
                </c:pt>
                <c:pt idx="617">
                  <c:v>10999</c:v>
                </c:pt>
                <c:pt idx="618">
                  <c:v>5003</c:v>
                </c:pt>
                <c:pt idx="619">
                  <c:v>12742</c:v>
                </c:pt>
                <c:pt idx="620">
                  <c:v>4227</c:v>
                </c:pt>
                <c:pt idx="621">
                  <c:v>3917</c:v>
                </c:pt>
                <c:pt idx="622">
                  <c:v>18303</c:v>
                </c:pt>
                <c:pt idx="623">
                  <c:v>2380</c:v>
                </c:pt>
                <c:pt idx="624">
                  <c:v>13726</c:v>
                </c:pt>
                <c:pt idx="625">
                  <c:v>6385</c:v>
                </c:pt>
                <c:pt idx="626">
                  <c:v>19973</c:v>
                </c:pt>
                <c:pt idx="627">
                  <c:v>6861</c:v>
                </c:pt>
                <c:pt idx="628">
                  <c:v>13320</c:v>
                </c:pt>
                <c:pt idx="629">
                  <c:v>6347</c:v>
                </c:pt>
                <c:pt idx="630">
                  <c:v>10880</c:v>
                </c:pt>
                <c:pt idx="631">
                  <c:v>2342</c:v>
                </c:pt>
                <c:pt idx="632">
                  <c:v>17650</c:v>
                </c:pt>
                <c:pt idx="633">
                  <c:v>4025</c:v>
                </c:pt>
                <c:pt idx="634">
                  <c:v>9725</c:v>
                </c:pt>
                <c:pt idx="635">
                  <c:v>11904</c:v>
                </c:pt>
                <c:pt idx="636">
                  <c:v>2177</c:v>
                </c:pt>
                <c:pt idx="637">
                  <c:v>7525</c:v>
                </c:pt>
                <c:pt idx="638">
                  <c:v>2220</c:v>
                </c:pt>
                <c:pt idx="639">
                  <c:v>1052</c:v>
                </c:pt>
                <c:pt idx="640">
                  <c:v>2821</c:v>
                </c:pt>
                <c:pt idx="641">
                  <c:v>19237</c:v>
                </c:pt>
                <c:pt idx="642">
                  <c:v>4107</c:v>
                </c:pt>
                <c:pt idx="643">
                  <c:v>8396</c:v>
                </c:pt>
                <c:pt idx="644">
                  <c:v>2007</c:v>
                </c:pt>
                <c:pt idx="645">
                  <c:v>19627</c:v>
                </c:pt>
                <c:pt idx="646">
                  <c:v>10686</c:v>
                </c:pt>
                <c:pt idx="647">
                  <c:v>2942</c:v>
                </c:pt>
                <c:pt idx="648">
                  <c:v>8858</c:v>
                </c:pt>
                <c:pt idx="649">
                  <c:v>16756</c:v>
                </c:pt>
                <c:pt idx="650">
                  <c:v>10798</c:v>
                </c:pt>
                <c:pt idx="651">
                  <c:v>4615</c:v>
                </c:pt>
                <c:pt idx="652">
                  <c:v>3955</c:v>
                </c:pt>
                <c:pt idx="653">
                  <c:v>9957</c:v>
                </c:pt>
                <c:pt idx="654">
                  <c:v>3376</c:v>
                </c:pt>
                <c:pt idx="655">
                  <c:v>8823</c:v>
                </c:pt>
                <c:pt idx="656">
                  <c:v>10322</c:v>
                </c:pt>
                <c:pt idx="657">
                  <c:v>4621</c:v>
                </c:pt>
                <c:pt idx="658">
                  <c:v>10976</c:v>
                </c:pt>
                <c:pt idx="659">
                  <c:v>3660</c:v>
                </c:pt>
                <c:pt idx="660">
                  <c:v>7119</c:v>
                </c:pt>
                <c:pt idx="661">
                  <c:v>2207</c:v>
                </c:pt>
                <c:pt idx="662">
                  <c:v>7756</c:v>
                </c:pt>
                <c:pt idx="663">
                  <c:v>6694</c:v>
                </c:pt>
                <c:pt idx="664">
                  <c:v>17665</c:v>
                </c:pt>
                <c:pt idx="665">
                  <c:v>4302</c:v>
                </c:pt>
                <c:pt idx="666">
                  <c:v>2979</c:v>
                </c:pt>
                <c:pt idx="667">
                  <c:v>16885</c:v>
                </c:pt>
                <c:pt idx="668">
                  <c:v>5593</c:v>
                </c:pt>
                <c:pt idx="669">
                  <c:v>10445</c:v>
                </c:pt>
                <c:pt idx="670">
                  <c:v>8740</c:v>
                </c:pt>
                <c:pt idx="671">
                  <c:v>2514</c:v>
                </c:pt>
                <c:pt idx="672">
                  <c:v>7655</c:v>
                </c:pt>
                <c:pt idx="673">
                  <c:v>17465</c:v>
                </c:pt>
                <c:pt idx="674">
                  <c:v>7351</c:v>
                </c:pt>
                <c:pt idx="675">
                  <c:v>10820</c:v>
                </c:pt>
                <c:pt idx="676">
                  <c:v>19626</c:v>
                </c:pt>
                <c:pt idx="677">
                  <c:v>2070</c:v>
                </c:pt>
                <c:pt idx="678">
                  <c:v>6782</c:v>
                </c:pt>
                <c:pt idx="679">
                  <c:v>7779</c:v>
                </c:pt>
                <c:pt idx="680">
                  <c:v>2791</c:v>
                </c:pt>
                <c:pt idx="681">
                  <c:v>3201</c:v>
                </c:pt>
                <c:pt idx="682">
                  <c:v>4968</c:v>
                </c:pt>
                <c:pt idx="683">
                  <c:v>13120</c:v>
                </c:pt>
                <c:pt idx="684">
                  <c:v>4033</c:v>
                </c:pt>
                <c:pt idx="685">
                  <c:v>3291</c:v>
                </c:pt>
                <c:pt idx="686">
                  <c:v>4272</c:v>
                </c:pt>
                <c:pt idx="687">
                  <c:v>5056</c:v>
                </c:pt>
                <c:pt idx="688">
                  <c:v>2844</c:v>
                </c:pt>
                <c:pt idx="689">
                  <c:v>2703</c:v>
                </c:pt>
                <c:pt idx="690">
                  <c:v>4766</c:v>
                </c:pt>
                <c:pt idx="691">
                  <c:v>5731</c:v>
                </c:pt>
                <c:pt idx="692">
                  <c:v>2539</c:v>
                </c:pt>
                <c:pt idx="693">
                  <c:v>5714</c:v>
                </c:pt>
                <c:pt idx="694">
                  <c:v>4323</c:v>
                </c:pt>
                <c:pt idx="695">
                  <c:v>13499</c:v>
                </c:pt>
                <c:pt idx="696">
                  <c:v>5155</c:v>
                </c:pt>
                <c:pt idx="697">
                  <c:v>2258</c:v>
                </c:pt>
                <c:pt idx="698">
                  <c:v>3597</c:v>
                </c:pt>
                <c:pt idx="699">
                  <c:v>4420</c:v>
                </c:pt>
                <c:pt idx="700">
                  <c:v>6578</c:v>
                </c:pt>
                <c:pt idx="701">
                  <c:v>4422</c:v>
                </c:pt>
                <c:pt idx="702">
                  <c:v>10274</c:v>
                </c:pt>
                <c:pt idx="703">
                  <c:v>5343</c:v>
                </c:pt>
                <c:pt idx="704">
                  <c:v>2376</c:v>
                </c:pt>
                <c:pt idx="705">
                  <c:v>2827</c:v>
                </c:pt>
                <c:pt idx="706">
                  <c:v>19943</c:v>
                </c:pt>
                <c:pt idx="707">
                  <c:v>3131</c:v>
                </c:pt>
                <c:pt idx="708">
                  <c:v>2552</c:v>
                </c:pt>
                <c:pt idx="709">
                  <c:v>4477</c:v>
                </c:pt>
                <c:pt idx="710">
                  <c:v>6474</c:v>
                </c:pt>
                <c:pt idx="711">
                  <c:v>3033</c:v>
                </c:pt>
                <c:pt idx="712">
                  <c:v>18606</c:v>
                </c:pt>
                <c:pt idx="713">
                  <c:v>2168</c:v>
                </c:pt>
                <c:pt idx="714">
                  <c:v>17048</c:v>
                </c:pt>
                <c:pt idx="715">
                  <c:v>2290</c:v>
                </c:pt>
                <c:pt idx="716">
                  <c:v>3600</c:v>
                </c:pt>
                <c:pt idx="717">
                  <c:v>4115</c:v>
                </c:pt>
                <c:pt idx="718">
                  <c:v>4327</c:v>
                </c:pt>
                <c:pt idx="719">
                  <c:v>17856</c:v>
                </c:pt>
                <c:pt idx="720">
                  <c:v>3196</c:v>
                </c:pt>
                <c:pt idx="721">
                  <c:v>19081</c:v>
                </c:pt>
                <c:pt idx="722">
                  <c:v>8966</c:v>
                </c:pt>
                <c:pt idx="723">
                  <c:v>4539</c:v>
                </c:pt>
                <c:pt idx="724">
                  <c:v>2741</c:v>
                </c:pt>
                <c:pt idx="725">
                  <c:v>3491</c:v>
                </c:pt>
                <c:pt idx="726">
                  <c:v>4541</c:v>
                </c:pt>
                <c:pt idx="727">
                  <c:v>2678</c:v>
                </c:pt>
                <c:pt idx="728">
                  <c:v>7379</c:v>
                </c:pt>
                <c:pt idx="729">
                  <c:v>6272</c:v>
                </c:pt>
                <c:pt idx="730">
                  <c:v>5220</c:v>
                </c:pt>
                <c:pt idx="731">
                  <c:v>2743</c:v>
                </c:pt>
                <c:pt idx="732">
                  <c:v>4998</c:v>
                </c:pt>
                <c:pt idx="733">
                  <c:v>10252</c:v>
                </c:pt>
                <c:pt idx="734">
                  <c:v>2781</c:v>
                </c:pt>
                <c:pt idx="735">
                  <c:v>6852</c:v>
                </c:pt>
                <c:pt idx="736">
                  <c:v>4950</c:v>
                </c:pt>
                <c:pt idx="737">
                  <c:v>3579</c:v>
                </c:pt>
                <c:pt idx="738">
                  <c:v>13191</c:v>
                </c:pt>
                <c:pt idx="739">
                  <c:v>10377</c:v>
                </c:pt>
                <c:pt idx="740">
                  <c:v>2235</c:v>
                </c:pt>
                <c:pt idx="741">
                  <c:v>9950</c:v>
                </c:pt>
                <c:pt idx="742">
                  <c:v>2011</c:v>
                </c:pt>
                <c:pt idx="743">
                  <c:v>3760</c:v>
                </c:pt>
                <c:pt idx="744">
                  <c:v>17779</c:v>
                </c:pt>
                <c:pt idx="745">
                  <c:v>6833</c:v>
                </c:pt>
                <c:pt idx="746">
                  <c:v>6812</c:v>
                </c:pt>
                <c:pt idx="747">
                  <c:v>5171</c:v>
                </c:pt>
                <c:pt idx="748">
                  <c:v>19740</c:v>
                </c:pt>
                <c:pt idx="749">
                  <c:v>18711</c:v>
                </c:pt>
                <c:pt idx="750">
                  <c:v>2674</c:v>
                </c:pt>
                <c:pt idx="751">
                  <c:v>2559</c:v>
                </c:pt>
                <c:pt idx="752">
                  <c:v>2517</c:v>
                </c:pt>
                <c:pt idx="753">
                  <c:v>6623</c:v>
                </c:pt>
                <c:pt idx="754">
                  <c:v>18265</c:v>
                </c:pt>
                <c:pt idx="755">
                  <c:v>16124</c:v>
                </c:pt>
                <c:pt idx="756">
                  <c:v>2585</c:v>
                </c:pt>
                <c:pt idx="757">
                  <c:v>18213</c:v>
                </c:pt>
                <c:pt idx="758">
                  <c:v>8380</c:v>
                </c:pt>
                <c:pt idx="759">
                  <c:v>2994</c:v>
                </c:pt>
                <c:pt idx="760">
                  <c:v>1223</c:v>
                </c:pt>
                <c:pt idx="761">
                  <c:v>2875</c:v>
                </c:pt>
                <c:pt idx="762">
                  <c:v>13577</c:v>
                </c:pt>
                <c:pt idx="763">
                  <c:v>18789</c:v>
                </c:pt>
                <c:pt idx="764">
                  <c:v>4538</c:v>
                </c:pt>
                <c:pt idx="765">
                  <c:v>19847</c:v>
                </c:pt>
                <c:pt idx="766">
                  <c:v>10512</c:v>
                </c:pt>
                <c:pt idx="767">
                  <c:v>4444</c:v>
                </c:pt>
                <c:pt idx="768">
                  <c:v>2154</c:v>
                </c:pt>
                <c:pt idx="769">
                  <c:v>19190</c:v>
                </c:pt>
                <c:pt idx="770">
                  <c:v>4490</c:v>
                </c:pt>
                <c:pt idx="771">
                  <c:v>3506</c:v>
                </c:pt>
                <c:pt idx="772">
                  <c:v>2372</c:v>
                </c:pt>
                <c:pt idx="773">
                  <c:v>10231</c:v>
                </c:pt>
                <c:pt idx="774">
                  <c:v>5410</c:v>
                </c:pt>
                <c:pt idx="775">
                  <c:v>3867</c:v>
                </c:pt>
                <c:pt idx="776">
                  <c:v>2838</c:v>
                </c:pt>
                <c:pt idx="777">
                  <c:v>4695</c:v>
                </c:pt>
                <c:pt idx="778">
                  <c:v>2080</c:v>
                </c:pt>
                <c:pt idx="779">
                  <c:v>2096</c:v>
                </c:pt>
                <c:pt idx="780">
                  <c:v>6209</c:v>
                </c:pt>
                <c:pt idx="781">
                  <c:v>18061</c:v>
                </c:pt>
                <c:pt idx="782">
                  <c:v>17123</c:v>
                </c:pt>
                <c:pt idx="783">
                  <c:v>2372</c:v>
                </c:pt>
                <c:pt idx="784">
                  <c:v>4627</c:v>
                </c:pt>
                <c:pt idx="785">
                  <c:v>7094</c:v>
                </c:pt>
                <c:pt idx="786">
                  <c:v>3423</c:v>
                </c:pt>
                <c:pt idx="787">
                  <c:v>6674</c:v>
                </c:pt>
                <c:pt idx="788">
                  <c:v>16880</c:v>
                </c:pt>
                <c:pt idx="789">
                  <c:v>11916</c:v>
                </c:pt>
                <c:pt idx="790">
                  <c:v>4534</c:v>
                </c:pt>
                <c:pt idx="791">
                  <c:v>9852</c:v>
                </c:pt>
                <c:pt idx="792">
                  <c:v>6151</c:v>
                </c:pt>
                <c:pt idx="793">
                  <c:v>17861</c:v>
                </c:pt>
                <c:pt idx="794">
                  <c:v>19187</c:v>
                </c:pt>
                <c:pt idx="795">
                  <c:v>19717</c:v>
                </c:pt>
                <c:pt idx="796">
                  <c:v>3544</c:v>
                </c:pt>
                <c:pt idx="797">
                  <c:v>8500</c:v>
                </c:pt>
                <c:pt idx="798">
                  <c:v>4661</c:v>
                </c:pt>
                <c:pt idx="799">
                  <c:v>4103</c:v>
                </c:pt>
                <c:pt idx="800">
                  <c:v>4249</c:v>
                </c:pt>
                <c:pt idx="801">
                  <c:v>14026</c:v>
                </c:pt>
                <c:pt idx="802">
                  <c:v>6893</c:v>
                </c:pt>
                <c:pt idx="803">
                  <c:v>6125</c:v>
                </c:pt>
                <c:pt idx="804">
                  <c:v>3669</c:v>
                </c:pt>
                <c:pt idx="805">
                  <c:v>2387</c:v>
                </c:pt>
                <c:pt idx="806">
                  <c:v>4639</c:v>
                </c:pt>
                <c:pt idx="807">
                  <c:v>7898</c:v>
                </c:pt>
                <c:pt idx="808">
                  <c:v>2534</c:v>
                </c:pt>
                <c:pt idx="809">
                  <c:v>13142</c:v>
                </c:pt>
                <c:pt idx="810">
                  <c:v>1611</c:v>
                </c:pt>
                <c:pt idx="811">
                  <c:v>5363</c:v>
                </c:pt>
                <c:pt idx="812">
                  <c:v>5071</c:v>
                </c:pt>
                <c:pt idx="813">
                  <c:v>13402</c:v>
                </c:pt>
                <c:pt idx="814">
                  <c:v>2029</c:v>
                </c:pt>
                <c:pt idx="815">
                  <c:v>6377</c:v>
                </c:pt>
                <c:pt idx="816">
                  <c:v>5429</c:v>
                </c:pt>
                <c:pt idx="817">
                  <c:v>2610</c:v>
                </c:pt>
                <c:pt idx="818">
                  <c:v>6687</c:v>
                </c:pt>
                <c:pt idx="819">
                  <c:v>4724</c:v>
                </c:pt>
                <c:pt idx="820">
                  <c:v>6120</c:v>
                </c:pt>
                <c:pt idx="821">
                  <c:v>10596</c:v>
                </c:pt>
                <c:pt idx="822">
                  <c:v>5467</c:v>
                </c:pt>
                <c:pt idx="823">
                  <c:v>2996</c:v>
                </c:pt>
                <c:pt idx="824">
                  <c:v>9998</c:v>
                </c:pt>
                <c:pt idx="825">
                  <c:v>4078</c:v>
                </c:pt>
                <c:pt idx="826">
                  <c:v>10920</c:v>
                </c:pt>
                <c:pt idx="827">
                  <c:v>6232</c:v>
                </c:pt>
                <c:pt idx="828">
                  <c:v>13247</c:v>
                </c:pt>
                <c:pt idx="829">
                  <c:v>4081</c:v>
                </c:pt>
                <c:pt idx="830">
                  <c:v>5769</c:v>
                </c:pt>
                <c:pt idx="831">
                  <c:v>3904</c:v>
                </c:pt>
                <c:pt idx="832">
                  <c:v>16799</c:v>
                </c:pt>
                <c:pt idx="833">
                  <c:v>2674</c:v>
                </c:pt>
                <c:pt idx="834">
                  <c:v>3629</c:v>
                </c:pt>
                <c:pt idx="835">
                  <c:v>9362</c:v>
                </c:pt>
                <c:pt idx="836">
                  <c:v>3229</c:v>
                </c:pt>
                <c:pt idx="837">
                  <c:v>3578</c:v>
                </c:pt>
                <c:pt idx="838">
                  <c:v>7988</c:v>
                </c:pt>
                <c:pt idx="839">
                  <c:v>17328</c:v>
                </c:pt>
                <c:pt idx="840">
                  <c:v>19701</c:v>
                </c:pt>
                <c:pt idx="841">
                  <c:v>14732</c:v>
                </c:pt>
                <c:pt idx="842">
                  <c:v>9278</c:v>
                </c:pt>
                <c:pt idx="843">
                  <c:v>4779</c:v>
                </c:pt>
                <c:pt idx="844">
                  <c:v>16422</c:v>
                </c:pt>
                <c:pt idx="845">
                  <c:v>2996</c:v>
                </c:pt>
                <c:pt idx="846">
                  <c:v>2099</c:v>
                </c:pt>
                <c:pt idx="847">
                  <c:v>5810</c:v>
                </c:pt>
                <c:pt idx="848">
                  <c:v>5647</c:v>
                </c:pt>
                <c:pt idx="849">
                  <c:v>3420</c:v>
                </c:pt>
                <c:pt idx="850">
                  <c:v>3500</c:v>
                </c:pt>
                <c:pt idx="851">
                  <c:v>2066</c:v>
                </c:pt>
                <c:pt idx="852">
                  <c:v>17169</c:v>
                </c:pt>
                <c:pt idx="853">
                  <c:v>4162</c:v>
                </c:pt>
                <c:pt idx="854">
                  <c:v>9204</c:v>
                </c:pt>
                <c:pt idx="855">
                  <c:v>3294</c:v>
                </c:pt>
                <c:pt idx="856">
                  <c:v>2127</c:v>
                </c:pt>
                <c:pt idx="857">
                  <c:v>3975</c:v>
                </c:pt>
                <c:pt idx="858">
                  <c:v>10793</c:v>
                </c:pt>
                <c:pt idx="859">
                  <c:v>10851</c:v>
                </c:pt>
                <c:pt idx="860">
                  <c:v>2109</c:v>
                </c:pt>
                <c:pt idx="861">
                  <c:v>9380</c:v>
                </c:pt>
                <c:pt idx="862">
                  <c:v>5486</c:v>
                </c:pt>
                <c:pt idx="863">
                  <c:v>13757</c:v>
                </c:pt>
                <c:pt idx="864">
                  <c:v>8463</c:v>
                </c:pt>
                <c:pt idx="865">
                  <c:v>3162</c:v>
                </c:pt>
                <c:pt idx="866">
                  <c:v>16598</c:v>
                </c:pt>
                <c:pt idx="867">
                  <c:v>6651</c:v>
                </c:pt>
                <c:pt idx="868">
                  <c:v>2345</c:v>
                </c:pt>
                <c:pt idx="869">
                  <c:v>3420</c:v>
                </c:pt>
                <c:pt idx="870">
                  <c:v>4373</c:v>
                </c:pt>
                <c:pt idx="871">
                  <c:v>4759</c:v>
                </c:pt>
                <c:pt idx="872">
                  <c:v>5301</c:v>
                </c:pt>
                <c:pt idx="873">
                  <c:v>3673</c:v>
                </c:pt>
                <c:pt idx="874">
                  <c:v>4768</c:v>
                </c:pt>
                <c:pt idx="875">
                  <c:v>1274</c:v>
                </c:pt>
                <c:pt idx="876">
                  <c:v>4900</c:v>
                </c:pt>
                <c:pt idx="877">
                  <c:v>10466</c:v>
                </c:pt>
                <c:pt idx="878">
                  <c:v>17007</c:v>
                </c:pt>
                <c:pt idx="879">
                  <c:v>2404</c:v>
                </c:pt>
                <c:pt idx="880">
                  <c:v>2033</c:v>
                </c:pt>
                <c:pt idx="881">
                  <c:v>10209</c:v>
                </c:pt>
                <c:pt idx="882">
                  <c:v>8620</c:v>
                </c:pt>
                <c:pt idx="883">
                  <c:v>2064</c:v>
                </c:pt>
                <c:pt idx="884">
                  <c:v>4035</c:v>
                </c:pt>
                <c:pt idx="885">
                  <c:v>3838</c:v>
                </c:pt>
                <c:pt idx="886">
                  <c:v>4591</c:v>
                </c:pt>
                <c:pt idx="887">
                  <c:v>1563</c:v>
                </c:pt>
                <c:pt idx="888">
                  <c:v>4898</c:v>
                </c:pt>
                <c:pt idx="889">
                  <c:v>4789</c:v>
                </c:pt>
                <c:pt idx="890">
                  <c:v>3180</c:v>
                </c:pt>
                <c:pt idx="891">
                  <c:v>6549</c:v>
                </c:pt>
                <c:pt idx="892">
                  <c:v>6388</c:v>
                </c:pt>
                <c:pt idx="893">
                  <c:v>11244</c:v>
                </c:pt>
                <c:pt idx="894">
                  <c:v>16032</c:v>
                </c:pt>
                <c:pt idx="895">
                  <c:v>16328</c:v>
                </c:pt>
                <c:pt idx="896">
                  <c:v>8376</c:v>
                </c:pt>
                <c:pt idx="897">
                  <c:v>16606</c:v>
                </c:pt>
                <c:pt idx="898">
                  <c:v>8606</c:v>
                </c:pt>
                <c:pt idx="899">
                  <c:v>2272</c:v>
                </c:pt>
                <c:pt idx="900">
                  <c:v>7083</c:v>
                </c:pt>
                <c:pt idx="901">
                  <c:v>14411</c:v>
                </c:pt>
                <c:pt idx="902">
                  <c:v>2308</c:v>
                </c:pt>
                <c:pt idx="903">
                  <c:v>4841</c:v>
                </c:pt>
                <c:pt idx="904">
                  <c:v>4285</c:v>
                </c:pt>
                <c:pt idx="905">
                  <c:v>9715</c:v>
                </c:pt>
                <c:pt idx="906">
                  <c:v>4320</c:v>
                </c:pt>
                <c:pt idx="907">
                  <c:v>2132</c:v>
                </c:pt>
                <c:pt idx="908">
                  <c:v>10124</c:v>
                </c:pt>
                <c:pt idx="909">
                  <c:v>5473</c:v>
                </c:pt>
                <c:pt idx="910">
                  <c:v>5207</c:v>
                </c:pt>
                <c:pt idx="911">
                  <c:v>16437</c:v>
                </c:pt>
                <c:pt idx="912">
                  <c:v>2296</c:v>
                </c:pt>
                <c:pt idx="913">
                  <c:v>4069</c:v>
                </c:pt>
                <c:pt idx="914">
                  <c:v>7441</c:v>
                </c:pt>
                <c:pt idx="915">
                  <c:v>2430</c:v>
                </c:pt>
                <c:pt idx="916">
                  <c:v>5878</c:v>
                </c:pt>
                <c:pt idx="917">
                  <c:v>2644</c:v>
                </c:pt>
                <c:pt idx="918">
                  <c:v>6439</c:v>
                </c:pt>
                <c:pt idx="919">
                  <c:v>2451</c:v>
                </c:pt>
                <c:pt idx="920">
                  <c:v>6392</c:v>
                </c:pt>
                <c:pt idx="921">
                  <c:v>6077</c:v>
                </c:pt>
                <c:pt idx="922">
                  <c:v>2450</c:v>
                </c:pt>
                <c:pt idx="923">
                  <c:v>9250</c:v>
                </c:pt>
                <c:pt idx="924">
                  <c:v>4087</c:v>
                </c:pt>
                <c:pt idx="925">
                  <c:v>2367</c:v>
                </c:pt>
                <c:pt idx="926">
                  <c:v>2972</c:v>
                </c:pt>
                <c:pt idx="927">
                  <c:v>19586</c:v>
                </c:pt>
                <c:pt idx="928">
                  <c:v>5484</c:v>
                </c:pt>
                <c:pt idx="929">
                  <c:v>2061</c:v>
                </c:pt>
                <c:pt idx="930">
                  <c:v>9924</c:v>
                </c:pt>
                <c:pt idx="931">
                  <c:v>4198</c:v>
                </c:pt>
                <c:pt idx="932">
                  <c:v>6815</c:v>
                </c:pt>
                <c:pt idx="933">
                  <c:v>4723</c:v>
                </c:pt>
                <c:pt idx="934">
                  <c:v>6142</c:v>
                </c:pt>
                <c:pt idx="935">
                  <c:v>8237</c:v>
                </c:pt>
                <c:pt idx="936">
                  <c:v>8853</c:v>
                </c:pt>
                <c:pt idx="937">
                  <c:v>19331</c:v>
                </c:pt>
                <c:pt idx="938">
                  <c:v>2073</c:v>
                </c:pt>
                <c:pt idx="939">
                  <c:v>5562</c:v>
                </c:pt>
                <c:pt idx="940">
                  <c:v>19613</c:v>
                </c:pt>
                <c:pt idx="941">
                  <c:v>3407</c:v>
                </c:pt>
                <c:pt idx="942">
                  <c:v>5063</c:v>
                </c:pt>
                <c:pt idx="943">
                  <c:v>4639</c:v>
                </c:pt>
                <c:pt idx="944">
                  <c:v>4876</c:v>
                </c:pt>
                <c:pt idx="945">
                  <c:v>2690</c:v>
                </c:pt>
                <c:pt idx="946">
                  <c:v>17567</c:v>
                </c:pt>
                <c:pt idx="947">
                  <c:v>2814</c:v>
                </c:pt>
                <c:pt idx="948">
                  <c:v>11245</c:v>
                </c:pt>
                <c:pt idx="949">
                  <c:v>3312</c:v>
                </c:pt>
                <c:pt idx="950">
                  <c:v>19049</c:v>
                </c:pt>
                <c:pt idx="951">
                  <c:v>2141</c:v>
                </c:pt>
                <c:pt idx="952">
                  <c:v>5769</c:v>
                </c:pt>
                <c:pt idx="953">
                  <c:v>4385</c:v>
                </c:pt>
                <c:pt idx="954">
                  <c:v>5332</c:v>
                </c:pt>
                <c:pt idx="955">
                  <c:v>4663</c:v>
                </c:pt>
                <c:pt idx="956">
                  <c:v>4724</c:v>
                </c:pt>
                <c:pt idx="957">
                  <c:v>3211</c:v>
                </c:pt>
                <c:pt idx="958">
                  <c:v>5377</c:v>
                </c:pt>
                <c:pt idx="959">
                  <c:v>4066</c:v>
                </c:pt>
                <c:pt idx="960">
                  <c:v>5208</c:v>
                </c:pt>
                <c:pt idx="961">
                  <c:v>4877</c:v>
                </c:pt>
                <c:pt idx="962">
                  <c:v>3117</c:v>
                </c:pt>
                <c:pt idx="963">
                  <c:v>19658</c:v>
                </c:pt>
                <c:pt idx="964">
                  <c:v>3069</c:v>
                </c:pt>
                <c:pt idx="965">
                  <c:v>10435</c:v>
                </c:pt>
                <c:pt idx="966">
                  <c:v>4148</c:v>
                </c:pt>
                <c:pt idx="967">
                  <c:v>5768</c:v>
                </c:pt>
                <c:pt idx="968">
                  <c:v>5042</c:v>
                </c:pt>
                <c:pt idx="969">
                  <c:v>5770</c:v>
                </c:pt>
                <c:pt idx="970">
                  <c:v>7756</c:v>
                </c:pt>
                <c:pt idx="971">
                  <c:v>3936</c:v>
                </c:pt>
                <c:pt idx="972">
                  <c:v>7945</c:v>
                </c:pt>
                <c:pt idx="973">
                  <c:v>5743</c:v>
                </c:pt>
                <c:pt idx="974">
                  <c:v>15202</c:v>
                </c:pt>
                <c:pt idx="975">
                  <c:v>3760</c:v>
                </c:pt>
                <c:pt idx="976">
                  <c:v>3517</c:v>
                </c:pt>
                <c:pt idx="977">
                  <c:v>2580</c:v>
                </c:pt>
                <c:pt idx="978">
                  <c:v>5869</c:v>
                </c:pt>
                <c:pt idx="979">
                  <c:v>8008</c:v>
                </c:pt>
                <c:pt idx="980">
                  <c:v>5206</c:v>
                </c:pt>
                <c:pt idx="981">
                  <c:v>5295</c:v>
                </c:pt>
                <c:pt idx="982">
                  <c:v>16413</c:v>
                </c:pt>
                <c:pt idx="983">
                  <c:v>13269</c:v>
                </c:pt>
                <c:pt idx="984">
                  <c:v>2783</c:v>
                </c:pt>
                <c:pt idx="985">
                  <c:v>5433</c:v>
                </c:pt>
                <c:pt idx="986">
                  <c:v>2013</c:v>
                </c:pt>
                <c:pt idx="987">
                  <c:v>13966</c:v>
                </c:pt>
                <c:pt idx="988">
                  <c:v>4374</c:v>
                </c:pt>
                <c:pt idx="989">
                  <c:v>6842</c:v>
                </c:pt>
                <c:pt idx="990">
                  <c:v>17426</c:v>
                </c:pt>
                <c:pt idx="991">
                  <c:v>17603</c:v>
                </c:pt>
                <c:pt idx="992">
                  <c:v>4735</c:v>
                </c:pt>
                <c:pt idx="993">
                  <c:v>4187</c:v>
                </c:pt>
                <c:pt idx="994">
                  <c:v>5505</c:v>
                </c:pt>
                <c:pt idx="995">
                  <c:v>5470</c:v>
                </c:pt>
                <c:pt idx="996">
                  <c:v>5476</c:v>
                </c:pt>
                <c:pt idx="997">
                  <c:v>2587</c:v>
                </c:pt>
                <c:pt idx="998">
                  <c:v>2440</c:v>
                </c:pt>
                <c:pt idx="999">
                  <c:v>15972</c:v>
                </c:pt>
                <c:pt idx="1000">
                  <c:v>15379</c:v>
                </c:pt>
                <c:pt idx="1001">
                  <c:v>7082</c:v>
                </c:pt>
                <c:pt idx="1002">
                  <c:v>2728</c:v>
                </c:pt>
                <c:pt idx="1003">
                  <c:v>5368</c:v>
                </c:pt>
                <c:pt idx="1004">
                  <c:v>5347</c:v>
                </c:pt>
                <c:pt idx="1005">
                  <c:v>3195</c:v>
                </c:pt>
                <c:pt idx="1006">
                  <c:v>3306</c:v>
                </c:pt>
                <c:pt idx="1007">
                  <c:v>7005</c:v>
                </c:pt>
                <c:pt idx="1008">
                  <c:v>2570</c:v>
                </c:pt>
                <c:pt idx="1009">
                  <c:v>3537</c:v>
                </c:pt>
                <c:pt idx="1010">
                  <c:v>3986</c:v>
                </c:pt>
                <c:pt idx="1011">
                  <c:v>10883</c:v>
                </c:pt>
                <c:pt idx="1012">
                  <c:v>2028</c:v>
                </c:pt>
                <c:pt idx="1013">
                  <c:v>9525</c:v>
                </c:pt>
                <c:pt idx="1014">
                  <c:v>2929</c:v>
                </c:pt>
                <c:pt idx="1015">
                  <c:v>7879</c:v>
                </c:pt>
                <c:pt idx="1016">
                  <c:v>4930</c:v>
                </c:pt>
                <c:pt idx="1017">
                  <c:v>7847</c:v>
                </c:pt>
                <c:pt idx="1018">
                  <c:v>4401</c:v>
                </c:pt>
                <c:pt idx="1019">
                  <c:v>9241</c:v>
                </c:pt>
                <c:pt idx="1020">
                  <c:v>2974</c:v>
                </c:pt>
                <c:pt idx="1021">
                  <c:v>4502</c:v>
                </c:pt>
                <c:pt idx="1022">
                  <c:v>10748</c:v>
                </c:pt>
                <c:pt idx="1023">
                  <c:v>2305</c:v>
                </c:pt>
                <c:pt idx="1024">
                  <c:v>16704</c:v>
                </c:pt>
                <c:pt idx="1025">
                  <c:v>3433</c:v>
                </c:pt>
                <c:pt idx="1026">
                  <c:v>3477</c:v>
                </c:pt>
                <c:pt idx="1027">
                  <c:v>6430</c:v>
                </c:pt>
                <c:pt idx="1028">
                  <c:v>6516</c:v>
                </c:pt>
                <c:pt idx="1029">
                  <c:v>3907</c:v>
                </c:pt>
                <c:pt idx="1030">
                  <c:v>5562</c:v>
                </c:pt>
                <c:pt idx="1031">
                  <c:v>6883</c:v>
                </c:pt>
                <c:pt idx="1032">
                  <c:v>2862</c:v>
                </c:pt>
                <c:pt idx="1033">
                  <c:v>4978</c:v>
                </c:pt>
                <c:pt idx="1034">
                  <c:v>10368</c:v>
                </c:pt>
                <c:pt idx="1035">
                  <c:v>3295</c:v>
                </c:pt>
                <c:pt idx="1036">
                  <c:v>5238</c:v>
                </c:pt>
                <c:pt idx="1037">
                  <c:v>6472</c:v>
                </c:pt>
                <c:pt idx="1038">
                  <c:v>9610</c:v>
                </c:pt>
                <c:pt idx="1039">
                  <c:v>19833</c:v>
                </c:pt>
                <c:pt idx="1040">
                  <c:v>9756</c:v>
                </c:pt>
                <c:pt idx="1041">
                  <c:v>4968</c:v>
                </c:pt>
                <c:pt idx="1042">
                  <c:v>2145</c:v>
                </c:pt>
                <c:pt idx="1043">
                  <c:v>8346</c:v>
                </c:pt>
                <c:pt idx="1044">
                  <c:v>3445</c:v>
                </c:pt>
                <c:pt idx="1045">
                  <c:v>6294</c:v>
                </c:pt>
                <c:pt idx="1046">
                  <c:v>7140</c:v>
                </c:pt>
                <c:pt idx="1047">
                  <c:v>2932</c:v>
                </c:pt>
                <c:pt idx="1048">
                  <c:v>5147</c:v>
                </c:pt>
                <c:pt idx="1049">
                  <c:v>4507</c:v>
                </c:pt>
                <c:pt idx="1050">
                  <c:v>2468</c:v>
                </c:pt>
                <c:pt idx="1051">
                  <c:v>2109</c:v>
                </c:pt>
                <c:pt idx="1052">
                  <c:v>5294</c:v>
                </c:pt>
                <c:pt idx="1053">
                  <c:v>2718</c:v>
                </c:pt>
                <c:pt idx="1054">
                  <c:v>5811</c:v>
                </c:pt>
                <c:pt idx="1055">
                  <c:v>2766</c:v>
                </c:pt>
                <c:pt idx="1056">
                  <c:v>19038</c:v>
                </c:pt>
                <c:pt idx="1057">
                  <c:v>3055</c:v>
                </c:pt>
                <c:pt idx="1058">
                  <c:v>2289</c:v>
                </c:pt>
                <c:pt idx="1059">
                  <c:v>4001</c:v>
                </c:pt>
                <c:pt idx="1060">
                  <c:v>12965</c:v>
                </c:pt>
                <c:pt idx="1061">
                  <c:v>3539</c:v>
                </c:pt>
                <c:pt idx="1062">
                  <c:v>6029</c:v>
                </c:pt>
                <c:pt idx="1063">
                  <c:v>3702</c:v>
                </c:pt>
                <c:pt idx="1064">
                  <c:v>5468</c:v>
                </c:pt>
                <c:pt idx="1065">
                  <c:v>13116</c:v>
                </c:pt>
                <c:pt idx="1066">
                  <c:v>4189</c:v>
                </c:pt>
                <c:pt idx="1067">
                  <c:v>19328</c:v>
                </c:pt>
                <c:pt idx="1068">
                  <c:v>8321</c:v>
                </c:pt>
                <c:pt idx="1069">
                  <c:v>4071</c:v>
                </c:pt>
                <c:pt idx="1070">
                  <c:v>3143</c:v>
                </c:pt>
                <c:pt idx="1071">
                  <c:v>2044</c:v>
                </c:pt>
                <c:pt idx="1072">
                  <c:v>13464</c:v>
                </c:pt>
                <c:pt idx="1073">
                  <c:v>7991</c:v>
                </c:pt>
                <c:pt idx="1074">
                  <c:v>3377</c:v>
                </c:pt>
                <c:pt idx="1075">
                  <c:v>5538</c:v>
                </c:pt>
                <c:pt idx="1076">
                  <c:v>5762</c:v>
                </c:pt>
                <c:pt idx="1077">
                  <c:v>2592</c:v>
                </c:pt>
                <c:pt idx="1078">
                  <c:v>4127</c:v>
                </c:pt>
                <c:pt idx="1079">
                  <c:v>2438</c:v>
                </c:pt>
                <c:pt idx="1080">
                  <c:v>6870</c:v>
                </c:pt>
                <c:pt idx="1081">
                  <c:v>10447</c:v>
                </c:pt>
                <c:pt idx="1082">
                  <c:v>9667</c:v>
                </c:pt>
                <c:pt idx="1083">
                  <c:v>6513</c:v>
                </c:pt>
                <c:pt idx="1084">
                  <c:v>6799</c:v>
                </c:pt>
                <c:pt idx="1085">
                  <c:v>16291</c:v>
                </c:pt>
                <c:pt idx="1086">
                  <c:v>2705</c:v>
                </c:pt>
                <c:pt idx="1087">
                  <c:v>10333</c:v>
                </c:pt>
                <c:pt idx="1088">
                  <c:v>4448</c:v>
                </c:pt>
                <c:pt idx="1089">
                  <c:v>6854</c:v>
                </c:pt>
                <c:pt idx="1090">
                  <c:v>9637</c:v>
                </c:pt>
                <c:pt idx="1091">
                  <c:v>3591</c:v>
                </c:pt>
                <c:pt idx="1092">
                  <c:v>5405</c:v>
                </c:pt>
                <c:pt idx="1093">
                  <c:v>4684</c:v>
                </c:pt>
                <c:pt idx="1094">
                  <c:v>15787</c:v>
                </c:pt>
                <c:pt idx="1095">
                  <c:v>1514</c:v>
                </c:pt>
                <c:pt idx="1096">
                  <c:v>5154</c:v>
                </c:pt>
                <c:pt idx="1097">
                  <c:v>6962</c:v>
                </c:pt>
                <c:pt idx="1098">
                  <c:v>5675</c:v>
                </c:pt>
                <c:pt idx="1099">
                  <c:v>2379</c:v>
                </c:pt>
                <c:pt idx="1100">
                  <c:v>3812</c:v>
                </c:pt>
                <c:pt idx="1101">
                  <c:v>4648</c:v>
                </c:pt>
                <c:pt idx="1102">
                  <c:v>2936</c:v>
                </c:pt>
                <c:pt idx="1103">
                  <c:v>2105</c:v>
                </c:pt>
                <c:pt idx="1104">
                  <c:v>8578</c:v>
                </c:pt>
                <c:pt idx="1105">
                  <c:v>2706</c:v>
                </c:pt>
                <c:pt idx="1106">
                  <c:v>6384</c:v>
                </c:pt>
                <c:pt idx="1107">
                  <c:v>3968</c:v>
                </c:pt>
                <c:pt idx="1108">
                  <c:v>13225</c:v>
                </c:pt>
                <c:pt idx="1109">
                  <c:v>3540</c:v>
                </c:pt>
                <c:pt idx="1110">
                  <c:v>2804</c:v>
                </c:pt>
                <c:pt idx="1111">
                  <c:v>19392</c:v>
                </c:pt>
                <c:pt idx="1112">
                  <c:v>19665</c:v>
                </c:pt>
                <c:pt idx="1113">
                  <c:v>4774</c:v>
                </c:pt>
                <c:pt idx="1114">
                  <c:v>3902</c:v>
                </c:pt>
                <c:pt idx="1115">
                  <c:v>2662</c:v>
                </c:pt>
                <c:pt idx="1116">
                  <c:v>2856</c:v>
                </c:pt>
                <c:pt idx="1117">
                  <c:v>5673</c:v>
                </c:pt>
                <c:pt idx="1118">
                  <c:v>4197</c:v>
                </c:pt>
                <c:pt idx="1119">
                  <c:v>9713</c:v>
                </c:pt>
                <c:pt idx="1120">
                  <c:v>2062</c:v>
                </c:pt>
                <c:pt idx="1121">
                  <c:v>4284</c:v>
                </c:pt>
                <c:pt idx="1122">
                  <c:v>4788</c:v>
                </c:pt>
                <c:pt idx="1123">
                  <c:v>5906</c:v>
                </c:pt>
                <c:pt idx="1124">
                  <c:v>3886</c:v>
                </c:pt>
                <c:pt idx="1125">
                  <c:v>16823</c:v>
                </c:pt>
                <c:pt idx="1126">
                  <c:v>2933</c:v>
                </c:pt>
                <c:pt idx="1127">
                  <c:v>6500</c:v>
                </c:pt>
                <c:pt idx="1128">
                  <c:v>17174</c:v>
                </c:pt>
                <c:pt idx="1129">
                  <c:v>5033</c:v>
                </c:pt>
                <c:pt idx="1130">
                  <c:v>5507</c:v>
                </c:pt>
                <c:pt idx="1131">
                  <c:v>4393</c:v>
                </c:pt>
                <c:pt idx="1132">
                  <c:v>13348</c:v>
                </c:pt>
                <c:pt idx="1133">
                  <c:v>6583</c:v>
                </c:pt>
                <c:pt idx="1134">
                  <c:v>8103</c:v>
                </c:pt>
                <c:pt idx="1135">
                  <c:v>3978</c:v>
                </c:pt>
                <c:pt idx="1136">
                  <c:v>2544</c:v>
                </c:pt>
                <c:pt idx="1137">
                  <c:v>5399</c:v>
                </c:pt>
                <c:pt idx="1138">
                  <c:v>5487</c:v>
                </c:pt>
                <c:pt idx="1139">
                  <c:v>6834</c:v>
                </c:pt>
                <c:pt idx="1140">
                  <c:v>5736</c:v>
                </c:pt>
                <c:pt idx="1141">
                  <c:v>2226</c:v>
                </c:pt>
                <c:pt idx="1142">
                  <c:v>5747</c:v>
                </c:pt>
                <c:pt idx="1143">
                  <c:v>5467</c:v>
                </c:pt>
                <c:pt idx="1144">
                  <c:v>5380</c:v>
                </c:pt>
                <c:pt idx="1145">
                  <c:v>5151</c:v>
                </c:pt>
                <c:pt idx="1146">
                  <c:v>2133</c:v>
                </c:pt>
                <c:pt idx="1147">
                  <c:v>17875</c:v>
                </c:pt>
                <c:pt idx="1148">
                  <c:v>4771</c:v>
                </c:pt>
                <c:pt idx="1149">
                  <c:v>19161</c:v>
                </c:pt>
                <c:pt idx="1150">
                  <c:v>5087</c:v>
                </c:pt>
                <c:pt idx="1151">
                  <c:v>5561</c:v>
                </c:pt>
                <c:pt idx="1152">
                  <c:v>2144</c:v>
                </c:pt>
                <c:pt idx="1153">
                  <c:v>3065</c:v>
                </c:pt>
                <c:pt idx="1154">
                  <c:v>2810</c:v>
                </c:pt>
                <c:pt idx="1155">
                  <c:v>9888</c:v>
                </c:pt>
                <c:pt idx="1156">
                  <c:v>8628</c:v>
                </c:pt>
                <c:pt idx="1157">
                  <c:v>2867</c:v>
                </c:pt>
                <c:pt idx="1158">
                  <c:v>5373</c:v>
                </c:pt>
                <c:pt idx="1159">
                  <c:v>6667</c:v>
                </c:pt>
                <c:pt idx="1160">
                  <c:v>5003</c:v>
                </c:pt>
                <c:pt idx="1161">
                  <c:v>2858</c:v>
                </c:pt>
                <c:pt idx="1162">
                  <c:v>5204</c:v>
                </c:pt>
                <c:pt idx="1163">
                  <c:v>4105</c:v>
                </c:pt>
                <c:pt idx="1164">
                  <c:v>9679</c:v>
                </c:pt>
                <c:pt idx="1165">
                  <c:v>2897</c:v>
                </c:pt>
                <c:pt idx="1166">
                  <c:v>5968</c:v>
                </c:pt>
                <c:pt idx="1167">
                  <c:v>7510</c:v>
                </c:pt>
                <c:pt idx="1168">
                  <c:v>2991</c:v>
                </c:pt>
                <c:pt idx="1169">
                  <c:v>19636</c:v>
                </c:pt>
                <c:pt idx="1170">
                  <c:v>1129</c:v>
                </c:pt>
                <c:pt idx="1171">
                  <c:v>13341</c:v>
                </c:pt>
                <c:pt idx="1172">
                  <c:v>4332</c:v>
                </c:pt>
                <c:pt idx="1173">
                  <c:v>11031</c:v>
                </c:pt>
                <c:pt idx="1174">
                  <c:v>4440</c:v>
                </c:pt>
                <c:pt idx="1175">
                  <c:v>4617</c:v>
                </c:pt>
                <c:pt idx="1176">
                  <c:v>2647</c:v>
                </c:pt>
                <c:pt idx="1177">
                  <c:v>6323</c:v>
                </c:pt>
                <c:pt idx="1178">
                  <c:v>5677</c:v>
                </c:pt>
                <c:pt idx="1179">
                  <c:v>2187</c:v>
                </c:pt>
                <c:pt idx="1180">
                  <c:v>3748</c:v>
                </c:pt>
                <c:pt idx="1181">
                  <c:v>3977</c:v>
                </c:pt>
                <c:pt idx="1182">
                  <c:v>8633</c:v>
                </c:pt>
                <c:pt idx="1183">
                  <c:v>2008</c:v>
                </c:pt>
                <c:pt idx="1184">
                  <c:v>4440</c:v>
                </c:pt>
                <c:pt idx="1185">
                  <c:v>3067</c:v>
                </c:pt>
                <c:pt idx="1186">
                  <c:v>5321</c:v>
                </c:pt>
                <c:pt idx="1187">
                  <c:v>5410</c:v>
                </c:pt>
                <c:pt idx="1188">
                  <c:v>2782</c:v>
                </c:pt>
                <c:pt idx="1189">
                  <c:v>11957</c:v>
                </c:pt>
                <c:pt idx="1190">
                  <c:v>2660</c:v>
                </c:pt>
                <c:pt idx="1191">
                  <c:v>3375</c:v>
                </c:pt>
                <c:pt idx="1192">
                  <c:v>5098</c:v>
                </c:pt>
                <c:pt idx="1193">
                  <c:v>4878</c:v>
                </c:pt>
                <c:pt idx="1194">
                  <c:v>2837</c:v>
                </c:pt>
                <c:pt idx="1195">
                  <c:v>2406</c:v>
                </c:pt>
                <c:pt idx="1196">
                  <c:v>2269</c:v>
                </c:pt>
                <c:pt idx="1197">
                  <c:v>4108</c:v>
                </c:pt>
                <c:pt idx="1198">
                  <c:v>13206</c:v>
                </c:pt>
                <c:pt idx="1199">
                  <c:v>10422</c:v>
                </c:pt>
                <c:pt idx="1200">
                  <c:v>13744</c:v>
                </c:pt>
                <c:pt idx="1201">
                  <c:v>4907</c:v>
                </c:pt>
                <c:pt idx="1202">
                  <c:v>3482</c:v>
                </c:pt>
                <c:pt idx="1203">
                  <c:v>2436</c:v>
                </c:pt>
                <c:pt idx="1204">
                  <c:v>2380</c:v>
                </c:pt>
                <c:pt idx="1205">
                  <c:v>19431</c:v>
                </c:pt>
                <c:pt idx="1206">
                  <c:v>7644</c:v>
                </c:pt>
                <c:pt idx="1207">
                  <c:v>5131</c:v>
                </c:pt>
                <c:pt idx="1208">
                  <c:v>6306</c:v>
                </c:pt>
                <c:pt idx="1209">
                  <c:v>18880</c:v>
                </c:pt>
                <c:pt idx="1210">
                  <c:v>13570</c:v>
                </c:pt>
                <c:pt idx="1211">
                  <c:v>6712</c:v>
                </c:pt>
                <c:pt idx="1212">
                  <c:v>5406</c:v>
                </c:pt>
                <c:pt idx="1213">
                  <c:v>8938</c:v>
                </c:pt>
                <c:pt idx="1214">
                  <c:v>2439</c:v>
                </c:pt>
                <c:pt idx="1215">
                  <c:v>8837</c:v>
                </c:pt>
                <c:pt idx="1216">
                  <c:v>5343</c:v>
                </c:pt>
                <c:pt idx="1217">
                  <c:v>6652</c:v>
                </c:pt>
                <c:pt idx="1218">
                  <c:v>4850</c:v>
                </c:pt>
                <c:pt idx="1219">
                  <c:v>2809</c:v>
                </c:pt>
                <c:pt idx="1220">
                  <c:v>5689</c:v>
                </c:pt>
                <c:pt idx="1221">
                  <c:v>2001</c:v>
                </c:pt>
                <c:pt idx="1222">
                  <c:v>2977</c:v>
                </c:pt>
                <c:pt idx="1223">
                  <c:v>4025</c:v>
                </c:pt>
                <c:pt idx="1224">
                  <c:v>3785</c:v>
                </c:pt>
                <c:pt idx="1225">
                  <c:v>12031</c:v>
                </c:pt>
                <c:pt idx="1226">
                  <c:v>9936</c:v>
                </c:pt>
                <c:pt idx="1227">
                  <c:v>2966</c:v>
                </c:pt>
                <c:pt idx="1228">
                  <c:v>2571</c:v>
                </c:pt>
                <c:pt idx="1229">
                  <c:v>9991</c:v>
                </c:pt>
                <c:pt idx="1230">
                  <c:v>6142</c:v>
                </c:pt>
                <c:pt idx="1231">
                  <c:v>5390</c:v>
                </c:pt>
                <c:pt idx="1232">
                  <c:v>4404</c:v>
                </c:pt>
              </c:numCache>
            </c:numRef>
          </c:yVal>
          <c:smooth val="0"/>
          <c:extLst>
            <c:ext xmlns:c16="http://schemas.microsoft.com/office/drawing/2014/chart" uri="{C3380CC4-5D6E-409C-BE32-E72D297353CC}">
              <c16:uniqueId val="{00000001-C0B1-4C77-A080-CDB00FC116E0}"/>
            </c:ext>
          </c:extLst>
        </c:ser>
        <c:dLbls>
          <c:showLegendKey val="0"/>
          <c:showVal val="0"/>
          <c:showCatName val="0"/>
          <c:showSerName val="0"/>
          <c:showPercent val="0"/>
          <c:showBubbleSize val="0"/>
        </c:dLbls>
        <c:axId val="1273374687"/>
        <c:axId val="1273375167"/>
      </c:scatterChart>
      <c:valAx>
        <c:axId val="127337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375167"/>
        <c:crosses val="autoZero"/>
        <c:crossBetween val="midCat"/>
      </c:valAx>
      <c:valAx>
        <c:axId val="127337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37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Performance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ML_Model!$A$17</c:f>
              <c:strCache>
                <c:ptCount val="1"/>
                <c:pt idx="0">
                  <c:v>Logistic Regression</c:v>
                </c:pt>
              </c:strCache>
            </c:strRef>
          </c:tx>
          <c:spPr>
            <a:solidFill>
              <a:schemeClr val="accent1"/>
            </a:solidFill>
            <a:ln>
              <a:noFill/>
            </a:ln>
            <a:effectLst/>
          </c:spPr>
          <c:invertIfNegative val="0"/>
          <c:cat>
            <c:strRef>
              <c:f>ML_Model!$B$16:$F$16</c:f>
              <c:strCache>
                <c:ptCount val="5"/>
                <c:pt idx="0">
                  <c:v>Accuracy</c:v>
                </c:pt>
                <c:pt idx="1">
                  <c:v>Precision</c:v>
                </c:pt>
                <c:pt idx="2">
                  <c:v>Recall</c:v>
                </c:pt>
                <c:pt idx="3">
                  <c:v>F1 Score</c:v>
                </c:pt>
                <c:pt idx="4">
                  <c:v>ROC-AUC</c:v>
                </c:pt>
              </c:strCache>
            </c:strRef>
          </c:cat>
          <c:val>
            <c:numRef>
              <c:f>ML_Model!$B$17:$F$17</c:f>
              <c:numCache>
                <c:formatCode>0.0%</c:formatCode>
                <c:ptCount val="5"/>
                <c:pt idx="0">
                  <c:v>0.87070000000000003</c:v>
                </c:pt>
                <c:pt idx="1">
                  <c:v>0.73680000000000001</c:v>
                </c:pt>
                <c:pt idx="2">
                  <c:v>0.2979</c:v>
                </c:pt>
                <c:pt idx="3">
                  <c:v>0.42420000000000002</c:v>
                </c:pt>
                <c:pt idx="4">
                  <c:v>0.77659999999999996</c:v>
                </c:pt>
              </c:numCache>
            </c:numRef>
          </c:val>
          <c:extLst>
            <c:ext xmlns:c16="http://schemas.microsoft.com/office/drawing/2014/chart" uri="{C3380CC4-5D6E-409C-BE32-E72D297353CC}">
              <c16:uniqueId val="{00000000-3987-489D-ACAC-89DFA787CD56}"/>
            </c:ext>
          </c:extLst>
        </c:ser>
        <c:ser>
          <c:idx val="1"/>
          <c:order val="1"/>
          <c:tx>
            <c:strRef>
              <c:f>ML_Model!$A$18</c:f>
              <c:strCache>
                <c:ptCount val="1"/>
                <c:pt idx="0">
                  <c:v>Decision Tree</c:v>
                </c:pt>
              </c:strCache>
            </c:strRef>
          </c:tx>
          <c:spPr>
            <a:solidFill>
              <a:schemeClr val="accent2"/>
            </a:solidFill>
            <a:ln>
              <a:noFill/>
            </a:ln>
            <a:effectLst/>
          </c:spPr>
          <c:invertIfNegative val="0"/>
          <c:cat>
            <c:strRef>
              <c:f>ML_Model!$B$16:$F$16</c:f>
              <c:strCache>
                <c:ptCount val="5"/>
                <c:pt idx="0">
                  <c:v>Accuracy</c:v>
                </c:pt>
                <c:pt idx="1">
                  <c:v>Precision</c:v>
                </c:pt>
                <c:pt idx="2">
                  <c:v>Recall</c:v>
                </c:pt>
                <c:pt idx="3">
                  <c:v>F1 Score</c:v>
                </c:pt>
                <c:pt idx="4">
                  <c:v>ROC-AUC</c:v>
                </c:pt>
              </c:strCache>
            </c:strRef>
          </c:cat>
          <c:val>
            <c:numRef>
              <c:f>ML_Model!$B$18:$F$18</c:f>
              <c:numCache>
                <c:formatCode>0.0%</c:formatCode>
                <c:ptCount val="5"/>
                <c:pt idx="0">
                  <c:v>0.8367</c:v>
                </c:pt>
                <c:pt idx="1">
                  <c:v>0.48149999999999998</c:v>
                </c:pt>
                <c:pt idx="2">
                  <c:v>0.27660000000000001</c:v>
                </c:pt>
                <c:pt idx="3">
                  <c:v>0.35139999999999999</c:v>
                </c:pt>
                <c:pt idx="4">
                  <c:v>0.69379999999999997</c:v>
                </c:pt>
              </c:numCache>
            </c:numRef>
          </c:val>
          <c:extLst>
            <c:ext xmlns:c16="http://schemas.microsoft.com/office/drawing/2014/chart" uri="{C3380CC4-5D6E-409C-BE32-E72D297353CC}">
              <c16:uniqueId val="{00000001-3987-489D-ACAC-89DFA787CD56}"/>
            </c:ext>
          </c:extLst>
        </c:ser>
        <c:ser>
          <c:idx val="2"/>
          <c:order val="2"/>
          <c:tx>
            <c:strRef>
              <c:f>ML_Model!$A$19</c:f>
              <c:strCache>
                <c:ptCount val="1"/>
                <c:pt idx="0">
                  <c:v>Random Forest</c:v>
                </c:pt>
              </c:strCache>
            </c:strRef>
          </c:tx>
          <c:spPr>
            <a:solidFill>
              <a:schemeClr val="accent3"/>
            </a:solidFill>
            <a:ln>
              <a:noFill/>
            </a:ln>
            <a:effectLst/>
          </c:spPr>
          <c:invertIfNegative val="0"/>
          <c:cat>
            <c:strRef>
              <c:f>ML_Model!$B$16:$F$16</c:f>
              <c:strCache>
                <c:ptCount val="5"/>
                <c:pt idx="0">
                  <c:v>Accuracy</c:v>
                </c:pt>
                <c:pt idx="1">
                  <c:v>Precision</c:v>
                </c:pt>
                <c:pt idx="2">
                  <c:v>Recall</c:v>
                </c:pt>
                <c:pt idx="3">
                  <c:v>F1 Score</c:v>
                </c:pt>
                <c:pt idx="4">
                  <c:v>ROC-AUC</c:v>
                </c:pt>
              </c:strCache>
            </c:strRef>
          </c:cat>
          <c:val>
            <c:numRef>
              <c:f>ML_Model!$B$19:$F$19</c:f>
              <c:numCache>
                <c:formatCode>0.0%</c:formatCode>
                <c:ptCount val="5"/>
                <c:pt idx="0">
                  <c:v>0.85370000000000001</c:v>
                </c:pt>
                <c:pt idx="1">
                  <c:v>0.75</c:v>
                </c:pt>
                <c:pt idx="2">
                  <c:v>0.12770000000000001</c:v>
                </c:pt>
                <c:pt idx="3">
                  <c:v>0.21820000000000001</c:v>
                </c:pt>
                <c:pt idx="4">
                  <c:v>0.79210000000000003</c:v>
                </c:pt>
              </c:numCache>
            </c:numRef>
          </c:val>
          <c:extLst>
            <c:ext xmlns:c16="http://schemas.microsoft.com/office/drawing/2014/chart" uri="{C3380CC4-5D6E-409C-BE32-E72D297353CC}">
              <c16:uniqueId val="{00000002-3987-489D-ACAC-89DFA787CD56}"/>
            </c:ext>
          </c:extLst>
        </c:ser>
        <c:dLbls>
          <c:showLegendKey val="0"/>
          <c:showVal val="0"/>
          <c:showCatName val="0"/>
          <c:showSerName val="0"/>
          <c:showPercent val="0"/>
          <c:showBubbleSize val="0"/>
        </c:dLbls>
        <c:gapWidth val="219"/>
        <c:overlap val="-27"/>
        <c:axId val="864042927"/>
        <c:axId val="864043407"/>
      </c:barChart>
      <c:catAx>
        <c:axId val="8640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43407"/>
        <c:crosses val="autoZero"/>
        <c:auto val="1"/>
        <c:lblAlgn val="ctr"/>
        <c:lblOffset val="100"/>
        <c:noMultiLvlLbl val="0"/>
      </c:catAx>
      <c:valAx>
        <c:axId val="864043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42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Monthly Income Distribution: Stayed vs Left</cx:v>
        </cx:txData>
      </cx:tx>
    </cx:title>
    <cx:plotArea>
      <cx:plotAreaRegion>
        <cx:series layoutId="boxWhisker" uniqueId="{00000001-0FDE-4A00-9203-09FA5876EA3B}">
          <cx:tx>
            <cx:txData>
              <cx:f>_xlchart.v1.1</cx:f>
              <cx:v>MonthlyIncome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94</xdr:row>
      <xdr:rowOff>182879</xdr:rowOff>
    </xdr:from>
    <xdr:to>
      <xdr:col>6</xdr:col>
      <xdr:colOff>0</xdr:colOff>
      <xdr:row>111</xdr:row>
      <xdr:rowOff>182879</xdr:rowOff>
    </xdr:to>
    <xdr:graphicFrame macro="">
      <xdr:nvGraphicFramePr>
        <xdr:cNvPr id="2" name="Chart 1">
          <a:extLst>
            <a:ext uri="{FF2B5EF4-FFF2-40B4-BE49-F238E27FC236}">
              <a16:creationId xmlns:a16="http://schemas.microsoft.com/office/drawing/2014/main" id="{831CA642-B0BB-215C-52DA-6BC063C9F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94</xdr:row>
      <xdr:rowOff>182879</xdr:rowOff>
    </xdr:from>
    <xdr:to>
      <xdr:col>13</xdr:col>
      <xdr:colOff>0</xdr:colOff>
      <xdr:row>111</xdr:row>
      <xdr:rowOff>182879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DBA68EF-C6FB-90FA-D882-C08AAFFAD7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67200" y="17579339"/>
              <a:ext cx="3657600" cy="31089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113</xdr:row>
      <xdr:rowOff>0</xdr:rowOff>
    </xdr:from>
    <xdr:to>
      <xdr:col>6</xdr:col>
      <xdr:colOff>0</xdr:colOff>
      <xdr:row>130</xdr:row>
      <xdr:rowOff>0</xdr:rowOff>
    </xdr:to>
    <xdr:graphicFrame macro="">
      <xdr:nvGraphicFramePr>
        <xdr:cNvPr id="4" name="Chart 3">
          <a:extLst>
            <a:ext uri="{FF2B5EF4-FFF2-40B4-BE49-F238E27FC236}">
              <a16:creationId xmlns:a16="http://schemas.microsoft.com/office/drawing/2014/main" id="{E20EABA5-80A1-274B-CCE3-2A641CB93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113</xdr:row>
      <xdr:rowOff>0</xdr:rowOff>
    </xdr:from>
    <xdr:to>
      <xdr:col>13</xdr:col>
      <xdr:colOff>0</xdr:colOff>
      <xdr:row>132</xdr:row>
      <xdr:rowOff>0</xdr:rowOff>
    </xdr:to>
    <xdr:graphicFrame macro="">
      <xdr:nvGraphicFramePr>
        <xdr:cNvPr id="5" name="Chart 4">
          <a:extLst>
            <a:ext uri="{FF2B5EF4-FFF2-40B4-BE49-F238E27FC236}">
              <a16:creationId xmlns:a16="http://schemas.microsoft.com/office/drawing/2014/main" id="{C79D1454-47C2-EF6E-2335-062D44F7A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131</xdr:row>
      <xdr:rowOff>0</xdr:rowOff>
    </xdr:from>
    <xdr:to>
      <xdr:col>6</xdr:col>
      <xdr:colOff>0</xdr:colOff>
      <xdr:row>148</xdr:row>
      <xdr:rowOff>0</xdr:rowOff>
    </xdr:to>
    <xdr:graphicFrame macro="">
      <xdr:nvGraphicFramePr>
        <xdr:cNvPr id="6" name="Chart 5">
          <a:extLst>
            <a:ext uri="{FF2B5EF4-FFF2-40B4-BE49-F238E27FC236}">
              <a16:creationId xmlns:a16="http://schemas.microsoft.com/office/drawing/2014/main" id="{8A4C5249-33A8-C8B0-86CE-E9FB75B12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133</xdr:row>
      <xdr:rowOff>0</xdr:rowOff>
    </xdr:from>
    <xdr:to>
      <xdr:col>13</xdr:col>
      <xdr:colOff>0</xdr:colOff>
      <xdr:row>150</xdr:row>
      <xdr:rowOff>0</xdr:rowOff>
    </xdr:to>
    <xdr:graphicFrame macro="">
      <xdr:nvGraphicFramePr>
        <xdr:cNvPr id="7" name="Chart 6">
          <a:extLst>
            <a:ext uri="{FF2B5EF4-FFF2-40B4-BE49-F238E27FC236}">
              <a16:creationId xmlns:a16="http://schemas.microsoft.com/office/drawing/2014/main" id="{24CC3A4F-EF6A-BFB0-401D-C595AEEE7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149</xdr:row>
      <xdr:rowOff>1</xdr:rowOff>
    </xdr:from>
    <xdr:to>
      <xdr:col>7</xdr:col>
      <xdr:colOff>0</xdr:colOff>
      <xdr:row>166</xdr:row>
      <xdr:rowOff>1</xdr:rowOff>
    </xdr:to>
    <xdr:graphicFrame macro="">
      <xdr:nvGraphicFramePr>
        <xdr:cNvPr id="8" name="Chart 7">
          <a:extLst>
            <a:ext uri="{FF2B5EF4-FFF2-40B4-BE49-F238E27FC236}">
              <a16:creationId xmlns:a16="http://schemas.microsoft.com/office/drawing/2014/main" id="{8A5CC0E2-1ACF-D62B-DC94-522387DFB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54</xdr:row>
      <xdr:rowOff>182879</xdr:rowOff>
    </xdr:from>
    <xdr:to>
      <xdr:col>8</xdr:col>
      <xdr:colOff>0</xdr:colOff>
      <xdr:row>73</xdr:row>
      <xdr:rowOff>182879</xdr:rowOff>
    </xdr:to>
    <xdr:graphicFrame macro="">
      <xdr:nvGraphicFramePr>
        <xdr:cNvPr id="2" name="Chart 1">
          <a:extLst>
            <a:ext uri="{FF2B5EF4-FFF2-40B4-BE49-F238E27FC236}">
              <a16:creationId xmlns:a16="http://schemas.microsoft.com/office/drawing/2014/main" id="{3C809FE1-669A-29B0-25EB-44F8499F7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2CC774-34FD-4420-8E5A-8EC4481E32C5}">
  <we:reference id="WA200010725" version="1.0.0.1" store="Omex" storeType="OMEX"/>
  <we:alternateReferences>
    <we:reference id="WA200010725" version="1.0.0.1" store="WA200010725" storeType="OMEX"/>
  </we:alternateReferences>
  <we:properties>
    <we:property name="claude.fileId" value="&quot;358d4581-231d-45f9-b156-25d4e2d54bcc&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995FE-9017-4244-843C-0B063F4C0CA8}">
  <dimension ref="A1:AI1471"/>
  <sheetViews>
    <sheetView topLeftCell="D1" workbookViewId="0"/>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D10E-A8D3-4947-B096-F5711950D844}">
  <dimension ref="A1:B28"/>
  <sheetViews>
    <sheetView topLeftCell="A13" workbookViewId="0"/>
  </sheetViews>
  <sheetFormatPr defaultRowHeight="14.4" x14ac:dyDescent="0.3"/>
  <cols>
    <col min="1" max="1" width="24.109375" customWidth="1"/>
    <col min="2" max="2" width="120.33203125" customWidth="1"/>
  </cols>
  <sheetData>
    <row r="1" spans="1:2" ht="147" x14ac:dyDescent="0.4">
      <c r="A1" s="4" t="s">
        <v>62</v>
      </c>
      <c r="B1" s="5"/>
    </row>
    <row r="2" spans="1:2" x14ac:dyDescent="0.3">
      <c r="A2" s="5"/>
      <c r="B2" s="5"/>
    </row>
    <row r="3" spans="1:2" x14ac:dyDescent="0.3">
      <c r="A3" s="6" t="s">
        <v>63</v>
      </c>
      <c r="B3" s="5" t="s">
        <v>64</v>
      </c>
    </row>
    <row r="4" spans="1:2" x14ac:dyDescent="0.3">
      <c r="A4" s="6" t="s">
        <v>65</v>
      </c>
      <c r="B4" s="5" t="s">
        <v>66</v>
      </c>
    </row>
    <row r="5" spans="1:2" x14ac:dyDescent="0.3">
      <c r="A5" s="6" t="s">
        <v>67</v>
      </c>
      <c r="B5" s="5" t="s">
        <v>68</v>
      </c>
    </row>
    <row r="6" spans="1:2" x14ac:dyDescent="0.3">
      <c r="A6" s="6" t="s">
        <v>69</v>
      </c>
      <c r="B6" s="5">
        <f>COUNTA(Data_RawIssues!A:A)-1</f>
        <v>1485</v>
      </c>
    </row>
    <row r="7" spans="1:2" x14ac:dyDescent="0.3">
      <c r="A7" s="6" t="s">
        <v>70</v>
      </c>
      <c r="B7" s="5">
        <v>35</v>
      </c>
    </row>
    <row r="8" spans="1:2" x14ac:dyDescent="0.3">
      <c r="A8" s="5"/>
      <c r="B8" s="5"/>
    </row>
    <row r="9" spans="1:2" ht="15.6" x14ac:dyDescent="0.3">
      <c r="A9" s="7" t="s">
        <v>71</v>
      </c>
      <c r="B9" s="5"/>
    </row>
    <row r="10" spans="1:2" ht="302.39999999999998" x14ac:dyDescent="0.3">
      <c r="A10" s="8" t="s">
        <v>72</v>
      </c>
      <c r="B10" s="5"/>
    </row>
    <row r="11" spans="1:2" x14ac:dyDescent="0.3">
      <c r="A11" s="8"/>
      <c r="B11" s="5"/>
    </row>
    <row r="12" spans="1:2" ht="15.6" x14ac:dyDescent="0.3">
      <c r="A12" s="7" t="s">
        <v>73</v>
      </c>
      <c r="B12" s="5"/>
    </row>
    <row r="13" spans="1:2" ht="187.2" x14ac:dyDescent="0.3">
      <c r="A13" s="8" t="s">
        <v>74</v>
      </c>
      <c r="B13" s="5"/>
    </row>
    <row r="14" spans="1:2" x14ac:dyDescent="0.3">
      <c r="A14" s="8"/>
      <c r="B14" s="5"/>
    </row>
    <row r="15" spans="1:2" ht="31.2" x14ac:dyDescent="0.3">
      <c r="A15" s="7" t="s">
        <v>75</v>
      </c>
      <c r="B15" s="5"/>
    </row>
    <row r="16" spans="1:2" ht="57.6" x14ac:dyDescent="0.3">
      <c r="A16" s="8" t="s">
        <v>76</v>
      </c>
      <c r="B16" s="5"/>
    </row>
    <row r="17" spans="1:2" ht="72" x14ac:dyDescent="0.3">
      <c r="A17" s="8" t="s">
        <v>77</v>
      </c>
      <c r="B17" s="5"/>
    </row>
    <row r="18" spans="1:2" ht="57.6" x14ac:dyDescent="0.3">
      <c r="A18" s="8" t="s">
        <v>78</v>
      </c>
      <c r="B18" s="5"/>
    </row>
    <row r="19" spans="1:2" ht="57.6" x14ac:dyDescent="0.3">
      <c r="A19" s="8" t="s">
        <v>79</v>
      </c>
      <c r="B19" s="5"/>
    </row>
    <row r="20" spans="1:2" x14ac:dyDescent="0.3">
      <c r="A20" s="8"/>
      <c r="B20" s="5"/>
    </row>
    <row r="21" spans="1:2" ht="46.8" x14ac:dyDescent="0.3">
      <c r="A21" s="7" t="s">
        <v>80</v>
      </c>
      <c r="B21" s="5"/>
    </row>
    <row r="22" spans="1:2" ht="273.60000000000002" x14ac:dyDescent="0.3">
      <c r="A22" s="8" t="s">
        <v>81</v>
      </c>
      <c r="B22" s="5"/>
    </row>
    <row r="23" spans="1:2" x14ac:dyDescent="0.3">
      <c r="A23" s="8"/>
      <c r="B23" s="5"/>
    </row>
    <row r="24" spans="1:2" ht="31.2" x14ac:dyDescent="0.3">
      <c r="A24" s="7" t="s">
        <v>82</v>
      </c>
      <c r="B24" s="5"/>
    </row>
    <row r="25" spans="1:2" ht="409.6" x14ac:dyDescent="0.3">
      <c r="A25" s="8" t="s">
        <v>83</v>
      </c>
      <c r="B25" s="5"/>
    </row>
    <row r="26" spans="1:2" x14ac:dyDescent="0.3">
      <c r="A26" s="8"/>
      <c r="B26" s="5"/>
    </row>
    <row r="27" spans="1:2" ht="31.2" x14ac:dyDescent="0.3">
      <c r="A27" s="7" t="s">
        <v>84</v>
      </c>
      <c r="B27" s="5"/>
    </row>
    <row r="28" spans="1:2" ht="230.4" x14ac:dyDescent="0.3">
      <c r="A28" s="8" t="s">
        <v>85</v>
      </c>
      <c r="B2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949A-0F1A-4699-8C70-9106E97DA7B6}">
  <dimension ref="A1:H21"/>
  <sheetViews>
    <sheetView workbookViewId="0"/>
  </sheetViews>
  <sheetFormatPr defaultRowHeight="14.4" x14ac:dyDescent="0.3"/>
  <cols>
    <col min="1" max="1" width="5.5546875" customWidth="1"/>
    <col min="2" max="2" width="27.77734375" customWidth="1"/>
    <col min="3" max="3" width="33.33203125" customWidth="1"/>
    <col min="4" max="4" width="8.33203125" customWidth="1"/>
    <col min="5" max="5" width="48.109375" customWidth="1"/>
    <col min="6" max="6" width="40.77734375" customWidth="1"/>
    <col min="7" max="7" width="48.109375" customWidth="1"/>
    <col min="8" max="8" width="37" customWidth="1"/>
  </cols>
  <sheetData>
    <row r="1" spans="1:8" ht="21" x14ac:dyDescent="0.4">
      <c r="A1" s="1" t="s">
        <v>126</v>
      </c>
    </row>
    <row r="2" spans="1:8" x14ac:dyDescent="0.3">
      <c r="A2" s="13" t="s">
        <v>127</v>
      </c>
    </row>
    <row r="4" spans="1:8" x14ac:dyDescent="0.3">
      <c r="A4" s="15" t="s">
        <v>128</v>
      </c>
      <c r="B4" s="15" t="s">
        <v>129</v>
      </c>
      <c r="C4" s="15" t="s">
        <v>130</v>
      </c>
      <c r="D4" s="15" t="s">
        <v>131</v>
      </c>
      <c r="E4" s="15" t="s">
        <v>132</v>
      </c>
      <c r="F4" s="15" t="s">
        <v>133</v>
      </c>
      <c r="G4" s="15" t="s">
        <v>134</v>
      </c>
      <c r="H4" s="15" t="s">
        <v>135</v>
      </c>
    </row>
    <row r="5" spans="1:8" ht="43.2" x14ac:dyDescent="0.3">
      <c r="A5" s="16">
        <v>1</v>
      </c>
      <c r="B5" s="16" t="s">
        <v>136</v>
      </c>
      <c r="C5" s="16" t="s">
        <v>137</v>
      </c>
      <c r="D5" s="16">
        <v>40</v>
      </c>
      <c r="E5" s="16" t="s">
        <v>138</v>
      </c>
      <c r="F5" s="16" t="s">
        <v>139</v>
      </c>
      <c r="G5" s="16" t="s">
        <v>140</v>
      </c>
      <c r="H5" s="16" t="s">
        <v>141</v>
      </c>
    </row>
    <row r="6" spans="1:8" ht="57.6" x14ac:dyDescent="0.3">
      <c r="A6" s="16">
        <v>2</v>
      </c>
      <c r="B6" s="16" t="s">
        <v>142</v>
      </c>
      <c r="C6" s="16" t="s">
        <v>143</v>
      </c>
      <c r="D6" s="16">
        <v>15</v>
      </c>
      <c r="E6" s="16" t="s">
        <v>144</v>
      </c>
      <c r="F6" s="16" t="s">
        <v>145</v>
      </c>
      <c r="G6" s="16" t="s">
        <v>146</v>
      </c>
      <c r="H6" s="16" t="s">
        <v>147</v>
      </c>
    </row>
    <row r="7" spans="1:8" ht="43.2" x14ac:dyDescent="0.3">
      <c r="A7" s="16">
        <v>3</v>
      </c>
      <c r="B7" s="16" t="s">
        <v>148</v>
      </c>
      <c r="C7" s="16" t="s">
        <v>149</v>
      </c>
      <c r="D7" s="16">
        <v>21</v>
      </c>
      <c r="E7" s="16" t="s">
        <v>150</v>
      </c>
      <c r="F7" s="16" t="s">
        <v>151</v>
      </c>
      <c r="G7" s="16" t="s">
        <v>152</v>
      </c>
      <c r="H7" s="16" t="s">
        <v>153</v>
      </c>
    </row>
    <row r="8" spans="1:8" ht="57.6" x14ac:dyDescent="0.3">
      <c r="A8" s="16">
        <v>4</v>
      </c>
      <c r="B8" s="16" t="s">
        <v>154</v>
      </c>
      <c r="C8" s="16" t="s">
        <v>155</v>
      </c>
      <c r="D8" s="16">
        <v>10</v>
      </c>
      <c r="E8" s="16" t="s">
        <v>156</v>
      </c>
      <c r="F8" s="16" t="s">
        <v>157</v>
      </c>
      <c r="G8" s="16" t="s">
        <v>158</v>
      </c>
      <c r="H8" s="16" t="s">
        <v>159</v>
      </c>
    </row>
    <row r="9" spans="1:8" ht="86.4" x14ac:dyDescent="0.3">
      <c r="A9" s="16">
        <v>5</v>
      </c>
      <c r="B9" s="16" t="s">
        <v>160</v>
      </c>
      <c r="C9" s="16" t="s">
        <v>161</v>
      </c>
      <c r="D9" s="16">
        <v>8</v>
      </c>
      <c r="E9" s="16" t="s">
        <v>162</v>
      </c>
      <c r="F9" s="16" t="s">
        <v>163</v>
      </c>
      <c r="G9" s="16" t="s">
        <v>164</v>
      </c>
      <c r="H9" s="16" t="s">
        <v>165</v>
      </c>
    </row>
    <row r="10" spans="1:8" ht="86.4" x14ac:dyDescent="0.3">
      <c r="A10" s="16">
        <v>6</v>
      </c>
      <c r="B10" s="16" t="s">
        <v>189</v>
      </c>
      <c r="C10" s="16" t="s">
        <v>23</v>
      </c>
      <c r="D10" s="16">
        <v>2</v>
      </c>
      <c r="E10" s="16" t="s">
        <v>190</v>
      </c>
      <c r="F10" s="16" t="s">
        <v>191</v>
      </c>
      <c r="G10" s="16" t="s">
        <v>192</v>
      </c>
      <c r="H10" s="16" t="s">
        <v>193</v>
      </c>
    </row>
    <row r="12" spans="1:8" ht="15.6" x14ac:dyDescent="0.3">
      <c r="A12" s="3" t="s">
        <v>166</v>
      </c>
    </row>
    <row r="13" spans="1:8" ht="400.05" customHeight="1" x14ac:dyDescent="0.3">
      <c r="A13" s="18" t="s">
        <v>167</v>
      </c>
    </row>
    <row r="15" spans="1:8" ht="15.6" x14ac:dyDescent="0.3">
      <c r="A15" s="3" t="s">
        <v>168</v>
      </c>
    </row>
    <row r="16" spans="1:8" x14ac:dyDescent="0.3">
      <c r="A16" t="s">
        <v>169</v>
      </c>
    </row>
    <row r="17" spans="1:1" x14ac:dyDescent="0.3">
      <c r="A17" t="s">
        <v>170</v>
      </c>
    </row>
    <row r="18" spans="1:1" x14ac:dyDescent="0.3">
      <c r="A18" t="s">
        <v>171</v>
      </c>
    </row>
    <row r="19" spans="1:1" x14ac:dyDescent="0.3">
      <c r="A19" t="s">
        <v>172</v>
      </c>
    </row>
    <row r="20" spans="1:1" x14ac:dyDescent="0.3">
      <c r="A20" t="s">
        <v>173</v>
      </c>
    </row>
    <row r="21" spans="1:1" x14ac:dyDescent="0.3">
      <c r="A21" t="s">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8EEA7-9F30-4DEE-B4F1-B5E4A0CCE4D9}">
  <dimension ref="A1:AI1486"/>
  <sheetViews>
    <sheetView workbookViewId="0">
      <pane ySplit="1" topLeftCell="A2" activePane="bottomLeft" state="frozen"/>
      <selection pane="bottomLeft"/>
    </sheetView>
  </sheetViews>
  <sheetFormatPr defaultRowHeight="14.4" x14ac:dyDescent="0.3"/>
  <cols>
    <col min="1" max="1" width="7.6640625" bestFit="1" customWidth="1"/>
    <col min="2" max="2" width="7.88671875" bestFit="1" customWidth="1"/>
    <col min="3" max="3" width="15.44140625" bestFit="1" customWidth="1"/>
    <col min="4" max="4" width="9" bestFit="1" customWidth="1"/>
    <col min="5" max="5" width="21.77734375" bestFit="1" customWidth="1"/>
    <col min="6" max="6" width="17.88671875" bestFit="1" customWidth="1"/>
    <col min="7" max="7" width="9.33203125" bestFit="1" customWidth="1"/>
    <col min="8" max="8" width="15.88671875" bestFit="1" customWidth="1"/>
    <col min="9" max="9" width="14.21875" bestFit="1" customWidth="1"/>
    <col min="10" max="10" width="16.109375" bestFit="1" customWidth="1"/>
    <col min="11" max="11" width="21.77734375" bestFit="1" customWidth="1"/>
    <col min="12" max="12" width="7.44140625" bestFit="1" customWidth="1"/>
    <col min="13" max="13" width="10.21875" bestFit="1" customWidth="1"/>
    <col min="14" max="14" width="14.109375" bestFit="1" customWidth="1"/>
    <col min="15" max="15" width="8.109375" bestFit="1" customWidth="1"/>
    <col min="16" max="16" width="22.6640625" bestFit="1" customWidth="1"/>
    <col min="17" max="17" width="13.88671875" bestFit="1" customWidth="1"/>
    <col min="18" max="18" width="12.21875" bestFit="1" customWidth="1"/>
    <col min="19" max="19" width="13.88671875" bestFit="1" customWidth="1"/>
    <col min="20" max="20" width="11.33203125" bestFit="1" customWidth="1"/>
    <col min="21" max="21" width="21.109375" bestFit="1" customWidth="1"/>
    <col min="22" max="22" width="6.88671875" bestFit="1" customWidth="1"/>
    <col min="23" max="23" width="9" bestFit="1" customWidth="1"/>
    <col min="24" max="24" width="16.6640625" bestFit="1" customWidth="1"/>
    <col min="25" max="25" width="17" bestFit="1" customWidth="1"/>
    <col min="26" max="26" width="21.77734375" bestFit="1" customWidth="1"/>
    <col min="27" max="27" width="13.6640625" bestFit="1" customWidth="1"/>
    <col min="28" max="28" width="15.88671875" bestFit="1" customWidth="1"/>
    <col min="29" max="29" width="16.5546875" bestFit="1" customWidth="1"/>
    <col min="30" max="30" width="19.88671875" bestFit="1" customWidth="1"/>
    <col min="31" max="31" width="15.109375" bestFit="1" customWidth="1"/>
    <col min="32" max="32" width="15.33203125" bestFit="1" customWidth="1"/>
    <col min="33" max="33" width="17.21875" bestFit="1" customWidth="1"/>
    <col min="34" max="34" width="22.6640625" bestFit="1" customWidth="1"/>
    <col min="35" max="35" width="20.21875" bestFit="1" customWidth="1"/>
  </cols>
  <sheetData>
    <row r="1" spans="1:35"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t="s">
        <v>86</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t="s">
        <v>87</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t="s">
        <v>88</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s="9">
        <v>5993</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s="9">
        <v>4200</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t="s">
        <v>89</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t="s">
        <v>90</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t="s">
        <v>91</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92</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s="10">
        <v>0.11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93</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s="10">
        <v>0.14000000000000001</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T122">
        <v>22310</v>
      </c>
      <c r="U122">
        <v>1</v>
      </c>
      <c r="V122" t="s">
        <v>42</v>
      </c>
      <c r="W122" t="s">
        <v>94</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95</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96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97</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98</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99</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100</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101</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102</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103</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104</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105</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106</v>
      </c>
      <c r="D342">
        <v>1192</v>
      </c>
      <c r="E342" t="s">
        <v>45</v>
      </c>
      <c r="F342">
        <v>5</v>
      </c>
      <c r="G342">
        <v>2</v>
      </c>
      <c r="H342" t="s">
        <v>51</v>
      </c>
      <c r="I342">
        <v>1</v>
      </c>
      <c r="J342">
        <v>460</v>
      </c>
      <c r="K342">
        <v>4</v>
      </c>
      <c r="L342" t="s">
        <v>46</v>
      </c>
      <c r="M342">
        <v>61</v>
      </c>
      <c r="N342">
        <v>3</v>
      </c>
      <c r="O342">
        <v>2</v>
      </c>
      <c r="P342" t="s">
        <v>53</v>
      </c>
      <c r="Q342">
        <v>4</v>
      </c>
      <c r="R342" t="s">
        <v>52</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107</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108</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109</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110</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111</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F452">
        <v>2</v>
      </c>
      <c r="G452">
        <v>1</v>
      </c>
      <c r="H452" t="s">
        <v>38</v>
      </c>
      <c r="I452">
        <v>1</v>
      </c>
      <c r="J452">
        <v>604</v>
      </c>
      <c r="K452">
        <v>2</v>
      </c>
      <c r="L452" t="s">
        <v>46</v>
      </c>
      <c r="M452">
        <v>77</v>
      </c>
      <c r="N452">
        <v>3</v>
      </c>
      <c r="O452">
        <v>2</v>
      </c>
      <c r="P452" t="s">
        <v>40</v>
      </c>
      <c r="Q452">
        <v>4</v>
      </c>
      <c r="R452" t="s">
        <v>41</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150</v>
      </c>
      <c r="B502" t="s">
        <v>43</v>
      </c>
      <c r="C502" t="s">
        <v>36</v>
      </c>
      <c r="D502">
        <v>646</v>
      </c>
      <c r="E502" t="s">
        <v>112</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202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D672">
        <v>618</v>
      </c>
      <c r="E672" t="s">
        <v>45</v>
      </c>
      <c r="F672">
        <v>4</v>
      </c>
      <c r="G672">
        <v>3</v>
      </c>
      <c r="H672" t="s">
        <v>38</v>
      </c>
      <c r="I672">
        <v>1</v>
      </c>
      <c r="J672">
        <v>933</v>
      </c>
      <c r="K672">
        <v>2</v>
      </c>
      <c r="L672" t="s">
        <v>39</v>
      </c>
      <c r="M672">
        <v>76</v>
      </c>
      <c r="N672">
        <v>3</v>
      </c>
      <c r="O672">
        <v>1</v>
      </c>
      <c r="P672" t="s">
        <v>47</v>
      </c>
      <c r="Q672">
        <v>3</v>
      </c>
      <c r="R672" t="s">
        <v>41</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999999</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100</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-10</v>
      </c>
      <c r="G1002">
        <v>4</v>
      </c>
      <c r="H1002" t="s">
        <v>49</v>
      </c>
      <c r="I1002">
        <v>1</v>
      </c>
      <c r="J1002">
        <v>1409</v>
      </c>
      <c r="K1002">
        <v>3</v>
      </c>
      <c r="L1002" t="s">
        <v>39</v>
      </c>
      <c r="M1002">
        <v>54</v>
      </c>
      <c r="N1002">
        <v>3</v>
      </c>
      <c r="O1002">
        <v>1</v>
      </c>
      <c r="P1002" t="s">
        <v>50</v>
      </c>
      <c r="Q1002">
        <v>1</v>
      </c>
      <c r="R1002" t="s">
        <v>48</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99</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80</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row r="1472" spans="1:35" x14ac:dyDescent="0.3">
      <c r="A1472">
        <v>32</v>
      </c>
      <c r="B1472" t="s">
        <v>43</v>
      </c>
      <c r="C1472" t="s">
        <v>44</v>
      </c>
      <c r="D1472">
        <v>1005</v>
      </c>
      <c r="E1472" t="s">
        <v>45</v>
      </c>
      <c r="F1472">
        <v>2</v>
      </c>
      <c r="G1472">
        <v>2</v>
      </c>
      <c r="H1472" t="s">
        <v>38</v>
      </c>
      <c r="I1472">
        <v>1</v>
      </c>
      <c r="J1472">
        <v>8</v>
      </c>
      <c r="K1472">
        <v>4</v>
      </c>
      <c r="L1472" t="s">
        <v>46</v>
      </c>
      <c r="M1472">
        <v>79</v>
      </c>
      <c r="N1472">
        <v>3</v>
      </c>
      <c r="O1472">
        <v>1</v>
      </c>
      <c r="P1472" t="s">
        <v>50</v>
      </c>
      <c r="Q1472">
        <v>4</v>
      </c>
      <c r="R1472" t="s">
        <v>41</v>
      </c>
      <c r="S1472">
        <v>3068</v>
      </c>
      <c r="T1472">
        <v>11864</v>
      </c>
      <c r="U1472">
        <v>0</v>
      </c>
      <c r="V1472" t="s">
        <v>42</v>
      </c>
      <c r="W1472" t="s">
        <v>43</v>
      </c>
      <c r="X1472">
        <v>13</v>
      </c>
      <c r="Y1472">
        <v>3</v>
      </c>
      <c r="Z1472">
        <v>3</v>
      </c>
      <c r="AA1472">
        <v>80</v>
      </c>
      <c r="AB1472">
        <v>0</v>
      </c>
      <c r="AC1472">
        <v>8</v>
      </c>
      <c r="AD1472">
        <v>2</v>
      </c>
      <c r="AE1472">
        <v>2</v>
      </c>
      <c r="AF1472">
        <v>7</v>
      </c>
      <c r="AG1472">
        <v>7</v>
      </c>
      <c r="AH1472">
        <v>3</v>
      </c>
      <c r="AI1472">
        <v>6</v>
      </c>
    </row>
    <row r="1473" spans="1:35" x14ac:dyDescent="0.3">
      <c r="A1473">
        <v>29</v>
      </c>
      <c r="B1473" t="s">
        <v>43</v>
      </c>
      <c r="C1473" t="s">
        <v>36</v>
      </c>
      <c r="D1473">
        <v>1389</v>
      </c>
      <c r="E1473" t="s">
        <v>45</v>
      </c>
      <c r="F1473">
        <v>21</v>
      </c>
      <c r="G1473">
        <v>4</v>
      </c>
      <c r="H1473" t="s">
        <v>38</v>
      </c>
      <c r="I1473">
        <v>1</v>
      </c>
      <c r="J1473">
        <v>20</v>
      </c>
      <c r="L1473" t="s">
        <v>39</v>
      </c>
      <c r="M1473">
        <v>51</v>
      </c>
      <c r="N1473">
        <v>4</v>
      </c>
      <c r="O1473">
        <v>3</v>
      </c>
      <c r="P1473" t="s">
        <v>53</v>
      </c>
      <c r="Q1473">
        <v>1</v>
      </c>
      <c r="R1473" t="s">
        <v>52</v>
      </c>
      <c r="S1473">
        <v>9980</v>
      </c>
      <c r="T1473">
        <v>10195</v>
      </c>
      <c r="U1473">
        <v>1</v>
      </c>
      <c r="V1473" t="s">
        <v>42</v>
      </c>
      <c r="W1473" t="s">
        <v>43</v>
      </c>
      <c r="X1473">
        <v>11</v>
      </c>
      <c r="Y1473">
        <v>3</v>
      </c>
      <c r="Z1473">
        <v>3</v>
      </c>
      <c r="AA1473">
        <v>80</v>
      </c>
      <c r="AB1473">
        <v>1</v>
      </c>
      <c r="AC1473">
        <v>10</v>
      </c>
      <c r="AD1473">
        <v>1</v>
      </c>
      <c r="AE1473">
        <v>3</v>
      </c>
      <c r="AF1473">
        <v>10</v>
      </c>
      <c r="AG1473">
        <v>9</v>
      </c>
      <c r="AH1473">
        <v>8</v>
      </c>
      <c r="AI1473">
        <v>8</v>
      </c>
    </row>
    <row r="1474" spans="1:35" x14ac:dyDescent="0.3">
      <c r="A1474" t="s">
        <v>86</v>
      </c>
      <c r="B1474" t="s">
        <v>43</v>
      </c>
      <c r="C1474" t="s">
        <v>36</v>
      </c>
      <c r="D1474">
        <v>1282</v>
      </c>
      <c r="E1474" t="s">
        <v>45</v>
      </c>
      <c r="F1474">
        <v>5</v>
      </c>
      <c r="G1474">
        <v>3</v>
      </c>
      <c r="H1474" t="s">
        <v>49</v>
      </c>
      <c r="I1474">
        <v>1</v>
      </c>
      <c r="J1474">
        <v>32</v>
      </c>
      <c r="K1474">
        <v>3</v>
      </c>
      <c r="L1474" t="s">
        <v>39</v>
      </c>
      <c r="M1474">
        <v>58</v>
      </c>
      <c r="N1474">
        <v>3</v>
      </c>
      <c r="O1474">
        <v>5</v>
      </c>
      <c r="P1474" t="s">
        <v>56</v>
      </c>
      <c r="Q1474">
        <v>3</v>
      </c>
      <c r="R1474" t="s">
        <v>52</v>
      </c>
      <c r="S1474">
        <v>19094</v>
      </c>
      <c r="T1474">
        <v>10735</v>
      </c>
      <c r="U1474">
        <v>4</v>
      </c>
      <c r="V1474" t="s">
        <v>42</v>
      </c>
      <c r="W1474" t="s">
        <v>43</v>
      </c>
      <c r="X1474">
        <v>11</v>
      </c>
      <c r="Y1474">
        <v>3</v>
      </c>
      <c r="Z1474">
        <v>4</v>
      </c>
      <c r="AA1474">
        <v>80</v>
      </c>
      <c r="AB1474">
        <v>1</v>
      </c>
      <c r="AC1474">
        <v>26</v>
      </c>
      <c r="AD1474">
        <v>3</v>
      </c>
      <c r="AE1474">
        <v>2</v>
      </c>
      <c r="AF1474">
        <v>14</v>
      </c>
      <c r="AG1474">
        <v>13</v>
      </c>
      <c r="AH1474">
        <v>4</v>
      </c>
      <c r="AI1474">
        <v>8</v>
      </c>
    </row>
    <row r="1475" spans="1:35" x14ac:dyDescent="0.3">
      <c r="A1475" t="s">
        <v>87</v>
      </c>
      <c r="B1475" t="s">
        <v>43</v>
      </c>
      <c r="C1475" t="s">
        <v>36</v>
      </c>
      <c r="D1475">
        <v>1273</v>
      </c>
      <c r="E1475" t="s">
        <v>45</v>
      </c>
      <c r="F1475">
        <v>2</v>
      </c>
      <c r="G1475">
        <v>2</v>
      </c>
      <c r="H1475" t="s">
        <v>51</v>
      </c>
      <c r="I1475">
        <v>1</v>
      </c>
      <c r="J1475">
        <v>46</v>
      </c>
      <c r="K1475">
        <v>4</v>
      </c>
      <c r="L1475" t="s">
        <v>39</v>
      </c>
      <c r="M1475">
        <v>72</v>
      </c>
      <c r="N1475">
        <v>4</v>
      </c>
      <c r="O1475">
        <v>1</v>
      </c>
      <c r="P1475" t="s">
        <v>47</v>
      </c>
      <c r="Q1475">
        <v>3</v>
      </c>
      <c r="R1475" t="s">
        <v>52</v>
      </c>
      <c r="S1475">
        <v>2645</v>
      </c>
      <c r="T1475">
        <v>21923</v>
      </c>
      <c r="U1475">
        <v>1</v>
      </c>
      <c r="V1475" t="s">
        <v>42</v>
      </c>
      <c r="W1475" t="s">
        <v>43</v>
      </c>
      <c r="X1475">
        <v>12</v>
      </c>
      <c r="Y1475">
        <v>3</v>
      </c>
      <c r="Z1475">
        <v>4</v>
      </c>
      <c r="AA1475">
        <v>80</v>
      </c>
      <c r="AB1475">
        <v>2</v>
      </c>
      <c r="AC1475">
        <v>6</v>
      </c>
      <c r="AD1475">
        <v>3</v>
      </c>
      <c r="AE1475">
        <v>2</v>
      </c>
      <c r="AF1475">
        <v>5</v>
      </c>
      <c r="AG1475">
        <v>3</v>
      </c>
      <c r="AH1475">
        <v>1</v>
      </c>
      <c r="AI1475">
        <v>4</v>
      </c>
    </row>
    <row r="1476" spans="1:35" x14ac:dyDescent="0.3">
      <c r="A1476" t="s">
        <v>88</v>
      </c>
      <c r="B1476" t="s">
        <v>35</v>
      </c>
      <c r="C1476" t="s">
        <v>36</v>
      </c>
      <c r="D1476">
        <v>1360</v>
      </c>
      <c r="E1476" t="s">
        <v>45</v>
      </c>
      <c r="F1476">
        <v>12</v>
      </c>
      <c r="G1476">
        <v>3</v>
      </c>
      <c r="H1476" t="s">
        <v>60</v>
      </c>
      <c r="I1476">
        <v>1</v>
      </c>
      <c r="J1476">
        <v>58</v>
      </c>
      <c r="K1476">
        <v>2</v>
      </c>
      <c r="L1476" t="s">
        <v>39</v>
      </c>
      <c r="M1476">
        <v>49</v>
      </c>
      <c r="N1476">
        <v>3</v>
      </c>
      <c r="O1476">
        <v>5</v>
      </c>
      <c r="P1476" t="s">
        <v>58</v>
      </c>
      <c r="Q1476">
        <v>3</v>
      </c>
      <c r="R1476" t="s">
        <v>48</v>
      </c>
      <c r="S1476">
        <v>19545</v>
      </c>
      <c r="T1476">
        <v>16280</v>
      </c>
      <c r="U1476">
        <v>1</v>
      </c>
      <c r="V1476" t="s">
        <v>42</v>
      </c>
      <c r="W1476" t="s">
        <v>43</v>
      </c>
      <c r="X1476">
        <v>12</v>
      </c>
      <c r="Y1476">
        <v>3</v>
      </c>
      <c r="Z1476">
        <v>4</v>
      </c>
      <c r="AA1476">
        <v>80</v>
      </c>
      <c r="AB1476">
        <v>0</v>
      </c>
      <c r="AC1476">
        <v>23</v>
      </c>
      <c r="AD1476">
        <v>0</v>
      </c>
      <c r="AE1476">
        <v>3</v>
      </c>
      <c r="AF1476">
        <v>22</v>
      </c>
      <c r="AG1476">
        <v>15</v>
      </c>
      <c r="AH1476">
        <v>15</v>
      </c>
      <c r="AI1476">
        <v>8</v>
      </c>
    </row>
    <row r="1477" spans="1:35" x14ac:dyDescent="0.3">
      <c r="A1477">
        <v>33</v>
      </c>
      <c r="B1477" t="s">
        <v>43</v>
      </c>
      <c r="C1477" t="s">
        <v>44</v>
      </c>
      <c r="D1477">
        <v>515</v>
      </c>
      <c r="E1477" t="s">
        <v>45</v>
      </c>
      <c r="F1477">
        <v>1</v>
      </c>
      <c r="G1477">
        <v>2</v>
      </c>
      <c r="H1477" t="s">
        <v>38</v>
      </c>
      <c r="I1477">
        <v>1</v>
      </c>
      <c r="J1477">
        <v>73</v>
      </c>
      <c r="K1477">
        <v>1</v>
      </c>
      <c r="L1477" t="s">
        <v>39</v>
      </c>
      <c r="M1477">
        <v>98</v>
      </c>
      <c r="N1477">
        <v>3</v>
      </c>
      <c r="O1477">
        <v>3</v>
      </c>
      <c r="P1477" t="s">
        <v>58</v>
      </c>
      <c r="Q1477">
        <v>4</v>
      </c>
      <c r="R1477" t="s">
        <v>41</v>
      </c>
      <c r="S1477" s="9">
        <v>5993</v>
      </c>
      <c r="T1477">
        <v>15146</v>
      </c>
      <c r="U1477">
        <v>1</v>
      </c>
      <c r="V1477" t="s">
        <v>42</v>
      </c>
      <c r="W1477" t="s">
        <v>35</v>
      </c>
      <c r="X1477">
        <v>12</v>
      </c>
      <c r="Y1477">
        <v>3</v>
      </c>
      <c r="Z1477">
        <v>3</v>
      </c>
      <c r="AA1477">
        <v>80</v>
      </c>
      <c r="AB1477">
        <v>0</v>
      </c>
      <c r="AC1477">
        <v>15</v>
      </c>
      <c r="AD1477">
        <v>1</v>
      </c>
      <c r="AE1477">
        <v>3</v>
      </c>
      <c r="AF1477">
        <v>15</v>
      </c>
      <c r="AG1477">
        <v>14</v>
      </c>
      <c r="AH1477">
        <v>8</v>
      </c>
      <c r="AI1477">
        <v>12</v>
      </c>
    </row>
    <row r="1478" spans="1:35" x14ac:dyDescent="0.3">
      <c r="A1478">
        <v>55</v>
      </c>
      <c r="B1478" t="s">
        <v>43</v>
      </c>
      <c r="C1478" t="s">
        <v>36</v>
      </c>
      <c r="D1478">
        <v>836</v>
      </c>
      <c r="E1478" t="s">
        <v>45</v>
      </c>
      <c r="F1478">
        <v>8</v>
      </c>
      <c r="G1478">
        <v>3</v>
      </c>
      <c r="H1478" t="s">
        <v>51</v>
      </c>
      <c r="I1478">
        <v>1</v>
      </c>
      <c r="J1478">
        <v>84</v>
      </c>
      <c r="K1478">
        <v>4</v>
      </c>
      <c r="L1478" t="s">
        <v>39</v>
      </c>
      <c r="M1478">
        <v>33</v>
      </c>
      <c r="N1478">
        <v>3</v>
      </c>
      <c r="O1478">
        <v>4</v>
      </c>
      <c r="P1478" t="s">
        <v>56</v>
      </c>
      <c r="Q1478">
        <v>3</v>
      </c>
      <c r="R1478" t="s">
        <v>52</v>
      </c>
      <c r="S1478" s="9">
        <v>4200</v>
      </c>
      <c r="T1478">
        <v>19730</v>
      </c>
      <c r="U1478">
        <v>2</v>
      </c>
      <c r="V1478" t="s">
        <v>42</v>
      </c>
      <c r="W1478" t="s">
        <v>35</v>
      </c>
      <c r="X1478">
        <v>14</v>
      </c>
      <c r="Y1478">
        <v>3</v>
      </c>
      <c r="Z1478">
        <v>3</v>
      </c>
      <c r="AA1478">
        <v>80</v>
      </c>
      <c r="AB1478">
        <v>3</v>
      </c>
      <c r="AC1478">
        <v>21</v>
      </c>
      <c r="AD1478">
        <v>2</v>
      </c>
      <c r="AE1478">
        <v>3</v>
      </c>
      <c r="AF1478">
        <v>5</v>
      </c>
      <c r="AG1478">
        <v>0</v>
      </c>
      <c r="AH1478">
        <v>0</v>
      </c>
      <c r="AI1478">
        <v>2</v>
      </c>
    </row>
    <row r="1479" spans="1:35" x14ac:dyDescent="0.3">
      <c r="A1479">
        <v>31</v>
      </c>
      <c r="B1479" t="s">
        <v>43</v>
      </c>
      <c r="C1479" t="s">
        <v>36</v>
      </c>
      <c r="D1479">
        <v>746</v>
      </c>
      <c r="E1479" t="s">
        <v>45</v>
      </c>
      <c r="F1479">
        <v>8</v>
      </c>
      <c r="G1479">
        <v>4</v>
      </c>
      <c r="H1479" t="s">
        <v>38</v>
      </c>
      <c r="I1479">
        <v>1</v>
      </c>
      <c r="J1479">
        <v>98</v>
      </c>
      <c r="K1479">
        <v>3</v>
      </c>
      <c r="L1479" t="s">
        <v>39</v>
      </c>
      <c r="M1479">
        <v>61</v>
      </c>
      <c r="N1479">
        <v>3</v>
      </c>
      <c r="O1479">
        <v>2</v>
      </c>
      <c r="P1479" t="s">
        <v>53</v>
      </c>
      <c r="Q1479">
        <v>4</v>
      </c>
      <c r="R1479" t="s">
        <v>41</v>
      </c>
      <c r="S1479" t="s">
        <v>89</v>
      </c>
      <c r="T1479">
        <v>20682</v>
      </c>
      <c r="U1479">
        <v>1</v>
      </c>
      <c r="V1479" t="s">
        <v>42</v>
      </c>
      <c r="W1479" t="s">
        <v>43</v>
      </c>
      <c r="X1479">
        <v>23</v>
      </c>
      <c r="Y1479">
        <v>4</v>
      </c>
      <c r="Z1479">
        <v>4</v>
      </c>
      <c r="AA1479">
        <v>80</v>
      </c>
      <c r="AB1479">
        <v>0</v>
      </c>
      <c r="AC1479">
        <v>11</v>
      </c>
      <c r="AD1479">
        <v>2</v>
      </c>
      <c r="AE1479">
        <v>3</v>
      </c>
      <c r="AF1479">
        <v>11</v>
      </c>
      <c r="AG1479">
        <v>7</v>
      </c>
      <c r="AH1479">
        <v>1</v>
      </c>
      <c r="AI1479">
        <v>8</v>
      </c>
    </row>
    <row r="1480" spans="1:35" x14ac:dyDescent="0.3">
      <c r="A1480">
        <v>56</v>
      </c>
      <c r="B1480" t="s">
        <v>43</v>
      </c>
      <c r="C1480" t="s">
        <v>36</v>
      </c>
      <c r="D1480">
        <v>1400</v>
      </c>
      <c r="E1480" t="s">
        <v>45</v>
      </c>
      <c r="F1480" t="s">
        <v>90</v>
      </c>
      <c r="G1480">
        <v>3</v>
      </c>
      <c r="H1480" t="s">
        <v>38</v>
      </c>
      <c r="I1480">
        <v>1</v>
      </c>
      <c r="J1480">
        <v>112</v>
      </c>
      <c r="K1480">
        <v>4</v>
      </c>
      <c r="L1480" t="s">
        <v>46</v>
      </c>
      <c r="M1480">
        <v>49</v>
      </c>
      <c r="N1480">
        <v>1</v>
      </c>
      <c r="O1480">
        <v>3</v>
      </c>
      <c r="P1480" t="s">
        <v>53</v>
      </c>
      <c r="Q1480">
        <v>4</v>
      </c>
      <c r="R1480" t="s">
        <v>41</v>
      </c>
      <c r="S1480">
        <v>7260</v>
      </c>
      <c r="T1480">
        <v>21698</v>
      </c>
      <c r="U1480">
        <v>4</v>
      </c>
      <c r="V1480" t="s">
        <v>42</v>
      </c>
      <c r="W1480" t="s">
        <v>43</v>
      </c>
      <c r="X1480">
        <v>11</v>
      </c>
      <c r="Y1480">
        <v>3</v>
      </c>
      <c r="Z1480">
        <v>1</v>
      </c>
      <c r="AA1480">
        <v>80</v>
      </c>
      <c r="AB1480">
        <v>0</v>
      </c>
      <c r="AC1480">
        <v>37</v>
      </c>
      <c r="AD1480">
        <v>3</v>
      </c>
      <c r="AE1480">
        <v>2</v>
      </c>
      <c r="AF1480">
        <v>6</v>
      </c>
      <c r="AG1480">
        <v>4</v>
      </c>
      <c r="AH1480">
        <v>0</v>
      </c>
      <c r="AI1480">
        <v>2</v>
      </c>
    </row>
    <row r="1481" spans="1:35" x14ac:dyDescent="0.3">
      <c r="A1481">
        <v>54</v>
      </c>
      <c r="B1481" t="s">
        <v>43</v>
      </c>
      <c r="C1481" t="s">
        <v>36</v>
      </c>
      <c r="D1481">
        <v>1217</v>
      </c>
      <c r="E1481" t="s">
        <v>45</v>
      </c>
      <c r="F1481" t="s">
        <v>91</v>
      </c>
      <c r="G1481">
        <v>4</v>
      </c>
      <c r="H1481" t="s">
        <v>60</v>
      </c>
      <c r="I1481">
        <v>1</v>
      </c>
      <c r="J1481">
        <v>126</v>
      </c>
      <c r="K1481">
        <v>1</v>
      </c>
      <c r="L1481" t="s">
        <v>39</v>
      </c>
      <c r="M1481">
        <v>60</v>
      </c>
      <c r="N1481">
        <v>3</v>
      </c>
      <c r="O1481">
        <v>3</v>
      </c>
      <c r="P1481" t="s">
        <v>58</v>
      </c>
      <c r="Q1481">
        <v>3</v>
      </c>
      <c r="R1481" t="s">
        <v>48</v>
      </c>
      <c r="S1481">
        <v>13549</v>
      </c>
      <c r="T1481">
        <v>24001</v>
      </c>
      <c r="U1481">
        <v>9</v>
      </c>
      <c r="V1481" t="s">
        <v>42</v>
      </c>
      <c r="W1481" t="s">
        <v>43</v>
      </c>
      <c r="X1481">
        <v>12</v>
      </c>
      <c r="Y1481">
        <v>3</v>
      </c>
      <c r="Z1481">
        <v>1</v>
      </c>
      <c r="AA1481">
        <v>80</v>
      </c>
      <c r="AB1481">
        <v>1</v>
      </c>
      <c r="AC1481">
        <v>16</v>
      </c>
      <c r="AD1481">
        <v>5</v>
      </c>
      <c r="AE1481">
        <v>1</v>
      </c>
      <c r="AF1481">
        <v>4</v>
      </c>
      <c r="AG1481">
        <v>3</v>
      </c>
      <c r="AH1481">
        <v>0</v>
      </c>
      <c r="AI1481">
        <v>3</v>
      </c>
    </row>
    <row r="1482" spans="1:35" x14ac:dyDescent="0.3">
      <c r="A1482">
        <v>59</v>
      </c>
      <c r="B1482" t="s">
        <v>43</v>
      </c>
      <c r="C1482" t="s">
        <v>55</v>
      </c>
      <c r="D1482">
        <v>1420</v>
      </c>
      <c r="E1482" t="s">
        <v>61</v>
      </c>
      <c r="F1482">
        <v>2</v>
      </c>
      <c r="G1482">
        <v>4</v>
      </c>
      <c r="H1482" t="s">
        <v>61</v>
      </c>
      <c r="I1482">
        <v>1</v>
      </c>
      <c r="J1482">
        <v>140</v>
      </c>
      <c r="K1482">
        <v>3</v>
      </c>
      <c r="L1482" t="s">
        <v>39</v>
      </c>
      <c r="M1482">
        <v>32</v>
      </c>
      <c r="N1482">
        <v>2</v>
      </c>
      <c r="O1482">
        <v>5</v>
      </c>
      <c r="P1482" t="s">
        <v>56</v>
      </c>
      <c r="Q1482">
        <v>4</v>
      </c>
      <c r="R1482" t="s">
        <v>48</v>
      </c>
      <c r="S1482">
        <v>18844</v>
      </c>
      <c r="T1482">
        <v>21922</v>
      </c>
      <c r="U1482">
        <v>9</v>
      </c>
      <c r="V1482" t="s">
        <v>42</v>
      </c>
      <c r="W1482" t="s">
        <v>43</v>
      </c>
      <c r="X1482" s="10">
        <v>0.11</v>
      </c>
      <c r="Y1482">
        <v>4</v>
      </c>
      <c r="Z1482">
        <v>4</v>
      </c>
      <c r="AA1482">
        <v>80</v>
      </c>
      <c r="AB1482">
        <v>1</v>
      </c>
      <c r="AC1482">
        <v>30</v>
      </c>
      <c r="AD1482">
        <v>3</v>
      </c>
      <c r="AE1482">
        <v>3</v>
      </c>
      <c r="AF1482">
        <v>3</v>
      </c>
      <c r="AG1482">
        <v>2</v>
      </c>
      <c r="AH1482">
        <v>2</v>
      </c>
      <c r="AI1482">
        <v>2</v>
      </c>
    </row>
    <row r="1483" spans="1:35" x14ac:dyDescent="0.3">
      <c r="A1483">
        <v>37</v>
      </c>
      <c r="B1483" t="s">
        <v>43</v>
      </c>
      <c r="C1483" t="s">
        <v>36</v>
      </c>
      <c r="D1483">
        <v>1189</v>
      </c>
      <c r="E1483" t="s">
        <v>37</v>
      </c>
      <c r="F1483">
        <v>3</v>
      </c>
      <c r="G1483">
        <v>3</v>
      </c>
      <c r="H1483" t="s">
        <v>38</v>
      </c>
      <c r="I1483">
        <v>1</v>
      </c>
      <c r="J1483">
        <v>152</v>
      </c>
      <c r="K1483">
        <v>3</v>
      </c>
      <c r="L1483" t="s">
        <v>46</v>
      </c>
      <c r="M1483">
        <v>87</v>
      </c>
      <c r="N1483">
        <v>3</v>
      </c>
      <c r="O1483">
        <v>3</v>
      </c>
      <c r="P1483" t="s">
        <v>40</v>
      </c>
      <c r="Q1483">
        <v>4</v>
      </c>
      <c r="R1483" t="s">
        <v>41</v>
      </c>
      <c r="S1483">
        <v>7428</v>
      </c>
      <c r="T1483">
        <v>14506</v>
      </c>
      <c r="U1483">
        <v>2</v>
      </c>
      <c r="V1483" t="s">
        <v>42</v>
      </c>
      <c r="W1483" t="s">
        <v>43</v>
      </c>
      <c r="X1483" s="10">
        <v>0.14000000000000001</v>
      </c>
      <c r="Y1483">
        <v>3</v>
      </c>
      <c r="Z1483">
        <v>1</v>
      </c>
      <c r="AA1483">
        <v>80</v>
      </c>
      <c r="AB1483">
        <v>0</v>
      </c>
      <c r="AC1483">
        <v>12</v>
      </c>
      <c r="AD1483">
        <v>3</v>
      </c>
      <c r="AE1483">
        <v>3</v>
      </c>
      <c r="AF1483">
        <v>5</v>
      </c>
      <c r="AG1483">
        <v>3</v>
      </c>
      <c r="AH1483">
        <v>1</v>
      </c>
      <c r="AI1483">
        <v>3</v>
      </c>
    </row>
    <row r="1484" spans="1:35" x14ac:dyDescent="0.3">
      <c r="A1484">
        <v>26</v>
      </c>
      <c r="B1484" t="s">
        <v>43</v>
      </c>
      <c r="C1484" t="s">
        <v>36</v>
      </c>
      <c r="D1484">
        <v>841</v>
      </c>
      <c r="E1484" t="s">
        <v>45</v>
      </c>
      <c r="F1484">
        <v>6</v>
      </c>
      <c r="G1484">
        <v>3</v>
      </c>
      <c r="H1484" t="s">
        <v>49</v>
      </c>
      <c r="I1484">
        <v>1</v>
      </c>
      <c r="J1484">
        <v>164</v>
      </c>
      <c r="L1484" t="s">
        <v>39</v>
      </c>
      <c r="M1484">
        <v>46</v>
      </c>
      <c r="N1484">
        <v>2</v>
      </c>
      <c r="O1484">
        <v>1</v>
      </c>
      <c r="P1484" t="s">
        <v>47</v>
      </c>
      <c r="Q1484">
        <v>2</v>
      </c>
      <c r="R1484" t="s">
        <v>48</v>
      </c>
      <c r="S1484">
        <v>2368</v>
      </c>
      <c r="T1484">
        <v>23300</v>
      </c>
      <c r="U1484">
        <v>1</v>
      </c>
      <c r="V1484" t="s">
        <v>42</v>
      </c>
      <c r="W1484" t="s">
        <v>43</v>
      </c>
      <c r="X1484">
        <v>19</v>
      </c>
      <c r="Y1484">
        <v>3</v>
      </c>
      <c r="Z1484">
        <v>3</v>
      </c>
      <c r="AA1484">
        <v>80</v>
      </c>
      <c r="AB1484">
        <v>0</v>
      </c>
      <c r="AC1484">
        <v>5</v>
      </c>
      <c r="AD1484">
        <v>3</v>
      </c>
      <c r="AE1484">
        <v>2</v>
      </c>
      <c r="AF1484">
        <v>5</v>
      </c>
      <c r="AG1484">
        <v>4</v>
      </c>
      <c r="AH1484">
        <v>4</v>
      </c>
      <c r="AI1484">
        <v>3</v>
      </c>
    </row>
    <row r="1485" spans="1:35" x14ac:dyDescent="0.3">
      <c r="A1485">
        <v>36</v>
      </c>
      <c r="B1485" t="s">
        <v>43</v>
      </c>
      <c r="C1485" t="s">
        <v>36</v>
      </c>
      <c r="D1485">
        <v>216</v>
      </c>
      <c r="E1485" t="s">
        <v>45</v>
      </c>
      <c r="F1485">
        <v>6</v>
      </c>
      <c r="G1485">
        <v>2</v>
      </c>
      <c r="H1485" t="s">
        <v>51</v>
      </c>
      <c r="I1485">
        <v>1</v>
      </c>
      <c r="J1485">
        <v>178</v>
      </c>
      <c r="K1485">
        <v>2</v>
      </c>
      <c r="L1485" t="s">
        <v>46</v>
      </c>
      <c r="M1485">
        <v>84</v>
      </c>
      <c r="N1485">
        <v>3</v>
      </c>
      <c r="O1485">
        <v>2</v>
      </c>
      <c r="P1485" t="s">
        <v>53</v>
      </c>
      <c r="Q1485">
        <v>2</v>
      </c>
      <c r="R1485" t="s">
        <v>52</v>
      </c>
      <c r="S1485">
        <v>4941</v>
      </c>
      <c r="T1485">
        <v>2819</v>
      </c>
      <c r="U1485">
        <v>6</v>
      </c>
      <c r="V1485" t="s">
        <v>42</v>
      </c>
      <c r="W1485" t="s">
        <v>43</v>
      </c>
      <c r="X1485">
        <v>20</v>
      </c>
      <c r="Y1485">
        <v>4</v>
      </c>
      <c r="Z1485">
        <v>4</v>
      </c>
      <c r="AA1485">
        <v>80</v>
      </c>
      <c r="AB1485">
        <v>2</v>
      </c>
      <c r="AC1485">
        <v>7</v>
      </c>
      <c r="AD1485">
        <v>0</v>
      </c>
      <c r="AE1485">
        <v>3</v>
      </c>
      <c r="AF1485">
        <v>3</v>
      </c>
      <c r="AG1485">
        <v>2</v>
      </c>
      <c r="AH1485">
        <v>0</v>
      </c>
      <c r="AI1485">
        <v>1</v>
      </c>
    </row>
    <row r="1486" spans="1:35" x14ac:dyDescent="0.3">
      <c r="A1486">
        <v>30</v>
      </c>
      <c r="B1486" t="s">
        <v>43</v>
      </c>
      <c r="C1486" t="s">
        <v>36</v>
      </c>
      <c r="D1486">
        <v>201</v>
      </c>
      <c r="E1486" t="s">
        <v>45</v>
      </c>
      <c r="F1486">
        <v>5</v>
      </c>
      <c r="G1486">
        <v>3</v>
      </c>
      <c r="H1486" t="s">
        <v>60</v>
      </c>
      <c r="I1486">
        <v>1</v>
      </c>
      <c r="J1486">
        <v>197</v>
      </c>
      <c r="K1486">
        <v>4</v>
      </c>
      <c r="L1486" t="s">
        <v>39</v>
      </c>
      <c r="M1486">
        <v>84</v>
      </c>
      <c r="N1486">
        <v>3</v>
      </c>
      <c r="O1486">
        <v>1</v>
      </c>
      <c r="P1486" t="s">
        <v>47</v>
      </c>
      <c r="Q1486">
        <v>1</v>
      </c>
      <c r="R1486" t="s">
        <v>52</v>
      </c>
      <c r="S1486">
        <v>3204</v>
      </c>
      <c r="T1486">
        <v>10415</v>
      </c>
      <c r="U1486">
        <v>5</v>
      </c>
      <c r="V1486" t="s">
        <v>42</v>
      </c>
      <c r="W1486" t="s">
        <v>43</v>
      </c>
      <c r="X1486">
        <v>14</v>
      </c>
      <c r="Y1486">
        <v>3</v>
      </c>
      <c r="Z1486">
        <v>4</v>
      </c>
      <c r="AA1486">
        <v>80</v>
      </c>
      <c r="AB1486">
        <v>1</v>
      </c>
      <c r="AC1486">
        <v>8</v>
      </c>
      <c r="AD1486">
        <v>3</v>
      </c>
      <c r="AE1486">
        <v>3</v>
      </c>
      <c r="AF1486">
        <v>3</v>
      </c>
      <c r="AG1486">
        <v>2</v>
      </c>
      <c r="AH1486">
        <v>2</v>
      </c>
      <c r="AI148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83A7-C94B-41F5-A2F2-391DAB1FF10A}">
  <dimension ref="A1:AV1471"/>
  <sheetViews>
    <sheetView workbookViewId="0">
      <pane ySplit="1" topLeftCell="A2" activePane="bottomLeft" state="frozen"/>
      <selection pane="bottomLeft"/>
    </sheetView>
  </sheetViews>
  <sheetFormatPr defaultRowHeight="14.4" x14ac:dyDescent="0.3"/>
  <sheetData>
    <row r="1" spans="1:48"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113</v>
      </c>
      <c r="AK1" s="12" t="s">
        <v>114</v>
      </c>
      <c r="AL1" s="12" t="s">
        <v>115</v>
      </c>
      <c r="AM1" s="12" t="s">
        <v>116</v>
      </c>
      <c r="AN1" s="12" t="s">
        <v>117</v>
      </c>
      <c r="AO1" s="12" t="s">
        <v>118</v>
      </c>
      <c r="AP1" s="12" t="s">
        <v>119</v>
      </c>
      <c r="AQ1" s="12" t="s">
        <v>120</v>
      </c>
      <c r="AR1" s="12" t="s">
        <v>121</v>
      </c>
      <c r="AS1" s="12" t="s">
        <v>122</v>
      </c>
      <c r="AU1" s="12" t="s">
        <v>123</v>
      </c>
      <c r="AV1">
        <f>_xlfn.QUARTILE.INC($S$2:$S$1471,1)</f>
        <v>2905.25</v>
      </c>
    </row>
    <row r="2" spans="1:48" x14ac:dyDescent="0.3">
      <c r="A2">
        <v>41</v>
      </c>
      <c r="B2" t="s">
        <v>35</v>
      </c>
      <c r="C2" t="s">
        <v>36</v>
      </c>
      <c r="D2">
        <v>1102</v>
      </c>
      <c r="E2" t="s">
        <v>37</v>
      </c>
      <c r="F2">
        <v>1</v>
      </c>
      <c r="G2">
        <v>2</v>
      </c>
      <c r="H2" t="s">
        <v>38</v>
      </c>
      <c r="I2">
        <v>1</v>
      </c>
      <c r="J2">
        <v>1</v>
      </c>
      <c r="K2">
        <v>2</v>
      </c>
      <c r="L2" t="s">
        <v>39</v>
      </c>
      <c r="M2">
        <v>94</v>
      </c>
      <c r="N2">
        <v>3</v>
      </c>
      <c r="O2">
        <v>2</v>
      </c>
      <c r="P2" t="s">
        <v>40</v>
      </c>
      <c r="Q2">
        <v>4</v>
      </c>
      <c r="R2" t="s">
        <v>41</v>
      </c>
      <c r="S2" s="20">
        <v>5993</v>
      </c>
      <c r="T2">
        <v>19479</v>
      </c>
      <c r="U2">
        <v>8</v>
      </c>
      <c r="V2" t="s">
        <v>42</v>
      </c>
      <c r="W2" t="s">
        <v>35</v>
      </c>
      <c r="X2" s="19">
        <v>11</v>
      </c>
      <c r="Y2">
        <v>3</v>
      </c>
      <c r="Z2">
        <v>1</v>
      </c>
      <c r="AA2">
        <v>80</v>
      </c>
      <c r="AB2">
        <v>0</v>
      </c>
      <c r="AC2">
        <v>8</v>
      </c>
      <c r="AD2">
        <v>0</v>
      </c>
      <c r="AE2">
        <v>1</v>
      </c>
      <c r="AF2">
        <v>6</v>
      </c>
      <c r="AG2">
        <v>4</v>
      </c>
      <c r="AH2">
        <v>0</v>
      </c>
      <c r="AI2">
        <v>5</v>
      </c>
      <c r="AJ2">
        <f>IF(B2="Yes",1,0)</f>
        <v>1</v>
      </c>
      <c r="AK2">
        <f>IF(W2="Yes",1,0)</f>
        <v>1</v>
      </c>
      <c r="AL2">
        <f>IF(L2="Male",1,0)</f>
        <v>0</v>
      </c>
      <c r="AM2">
        <f>AVERAGE(K2,Q2,Z2,AE2)</f>
        <v>2</v>
      </c>
      <c r="AN2">
        <f>(S2*12)/(AF2+1)</f>
        <v>10273.714285714286</v>
      </c>
      <c r="AO2">
        <f>AF2/(AC2+1)</f>
        <v>0.66666666666666663</v>
      </c>
      <c r="AP2" t="str">
        <f>IF(A2&lt;30,"Under 30",IF(A2&lt;40,"30-39",IF(A2&lt;50,"40-49","50+")))</f>
        <v>40-49</v>
      </c>
      <c r="AQ2" t="str">
        <f>IF(S2&lt;=$AV$1,"Low",IF(S2&lt;=$AV$2,"Medium",IF(S2&lt;=$AV$3,"High","Very High")))</f>
        <v>High</v>
      </c>
      <c r="AR2" t="str">
        <f>IF(F2&lt;=5,"Short",IF(F2&lt;=15,"Medium","Long"))</f>
        <v>Short</v>
      </c>
      <c r="AS2">
        <f>IF(C2="Travel_Frequently",1,0)</f>
        <v>0</v>
      </c>
      <c r="AU2" s="2" t="s">
        <v>124</v>
      </c>
      <c r="AV2">
        <f>_xlfn.QUARTILE.INC($S$2:$S$1471,2)</f>
        <v>4919</v>
      </c>
    </row>
    <row r="3" spans="1:48" x14ac:dyDescent="0.3">
      <c r="A3">
        <v>49</v>
      </c>
      <c r="B3" t="s">
        <v>43</v>
      </c>
      <c r="C3" t="s">
        <v>44</v>
      </c>
      <c r="D3">
        <v>279</v>
      </c>
      <c r="E3" t="s">
        <v>45</v>
      </c>
      <c r="F3">
        <v>8</v>
      </c>
      <c r="G3">
        <v>1</v>
      </c>
      <c r="H3" t="s">
        <v>38</v>
      </c>
      <c r="I3">
        <v>1</v>
      </c>
      <c r="J3">
        <v>2</v>
      </c>
      <c r="K3">
        <v>3</v>
      </c>
      <c r="L3" t="s">
        <v>46</v>
      </c>
      <c r="M3">
        <v>61</v>
      </c>
      <c r="N3">
        <v>2</v>
      </c>
      <c r="O3">
        <v>2</v>
      </c>
      <c r="P3" t="s">
        <v>47</v>
      </c>
      <c r="Q3">
        <v>2</v>
      </c>
      <c r="R3" t="s">
        <v>48</v>
      </c>
      <c r="S3" s="20">
        <v>5130</v>
      </c>
      <c r="T3">
        <v>24907</v>
      </c>
      <c r="U3">
        <v>1</v>
      </c>
      <c r="V3" t="s">
        <v>42</v>
      </c>
      <c r="W3" t="s">
        <v>43</v>
      </c>
      <c r="X3" s="19">
        <v>23</v>
      </c>
      <c r="Y3">
        <v>4</v>
      </c>
      <c r="Z3">
        <v>4</v>
      </c>
      <c r="AA3">
        <v>80</v>
      </c>
      <c r="AB3">
        <v>1</v>
      </c>
      <c r="AC3">
        <v>10</v>
      </c>
      <c r="AD3">
        <v>3</v>
      </c>
      <c r="AE3">
        <v>3</v>
      </c>
      <c r="AF3">
        <v>10</v>
      </c>
      <c r="AG3">
        <v>7</v>
      </c>
      <c r="AH3">
        <v>1</v>
      </c>
      <c r="AI3">
        <v>7</v>
      </c>
      <c r="AJ3">
        <f t="shared" ref="AJ3:AJ66" si="0">IF(B3="Yes",1,0)</f>
        <v>0</v>
      </c>
      <c r="AK3">
        <f t="shared" ref="AK3:AK66" si="1">IF(W3="Yes",1,0)</f>
        <v>0</v>
      </c>
      <c r="AL3">
        <f t="shared" ref="AL3:AL66" si="2">IF(L3="Male",1,0)</f>
        <v>1</v>
      </c>
      <c r="AM3">
        <f t="shared" ref="AM3:AM66" si="3">AVERAGE(K3,Q3,Z3,AE3)</f>
        <v>3</v>
      </c>
      <c r="AN3">
        <f t="shared" ref="AN3:AN66" si="4">(S3*12)/(AF3+1)</f>
        <v>5596.363636363636</v>
      </c>
      <c r="AO3">
        <f t="shared" ref="AO3:AO66" si="5">AF3/(AC3+1)</f>
        <v>0.90909090909090906</v>
      </c>
      <c r="AP3" t="str">
        <f t="shared" ref="AP3:AP66" si="6">IF(A3&lt;30,"Under 30",IF(A3&lt;40,"30-39",IF(A3&lt;50,"40-49","50+")))</f>
        <v>40-49</v>
      </c>
      <c r="AQ3" t="str">
        <f t="shared" ref="AQ3:AQ66" si="7">IF(S3&lt;=$AV$1,"Low",IF(S3&lt;=$AV$2,"Medium",IF(S3&lt;=$AV$3,"High","Very High")))</f>
        <v>High</v>
      </c>
      <c r="AR3" t="str">
        <f t="shared" ref="AR3:AR66" si="8">IF(F3&lt;=5,"Short",IF(F3&lt;=15,"Medium","Long"))</f>
        <v>Medium</v>
      </c>
      <c r="AS3">
        <f t="shared" ref="AS3:AS66" si="9">IF(C3="Travel_Frequently",1,0)</f>
        <v>1</v>
      </c>
      <c r="AU3" s="2" t="s">
        <v>125</v>
      </c>
      <c r="AV3">
        <f>_xlfn.QUARTILE.INC($S$2:$S$1471,3)</f>
        <v>8339.75</v>
      </c>
    </row>
    <row r="4" spans="1:48" x14ac:dyDescent="0.3">
      <c r="A4">
        <v>37</v>
      </c>
      <c r="B4" t="s">
        <v>35</v>
      </c>
      <c r="C4" t="s">
        <v>36</v>
      </c>
      <c r="D4">
        <v>1373</v>
      </c>
      <c r="E4" t="s">
        <v>45</v>
      </c>
      <c r="F4">
        <v>2</v>
      </c>
      <c r="G4">
        <v>2</v>
      </c>
      <c r="H4" t="s">
        <v>49</v>
      </c>
      <c r="I4">
        <v>1</v>
      </c>
      <c r="J4">
        <v>4</v>
      </c>
      <c r="K4">
        <v>4</v>
      </c>
      <c r="L4" t="s">
        <v>46</v>
      </c>
      <c r="M4">
        <v>92</v>
      </c>
      <c r="N4">
        <v>2</v>
      </c>
      <c r="O4">
        <v>1</v>
      </c>
      <c r="P4" t="s">
        <v>50</v>
      </c>
      <c r="Q4">
        <v>3</v>
      </c>
      <c r="R4" t="s">
        <v>41</v>
      </c>
      <c r="S4" s="20">
        <v>2090</v>
      </c>
      <c r="T4">
        <v>2396</v>
      </c>
      <c r="U4">
        <v>6</v>
      </c>
      <c r="V4" t="s">
        <v>42</v>
      </c>
      <c r="W4" t="s">
        <v>35</v>
      </c>
      <c r="X4" s="19">
        <v>15</v>
      </c>
      <c r="Y4">
        <v>3</v>
      </c>
      <c r="Z4">
        <v>2</v>
      </c>
      <c r="AA4">
        <v>80</v>
      </c>
      <c r="AB4">
        <v>0</v>
      </c>
      <c r="AC4">
        <v>7</v>
      </c>
      <c r="AD4">
        <v>3</v>
      </c>
      <c r="AE4">
        <v>3</v>
      </c>
      <c r="AF4">
        <v>0</v>
      </c>
      <c r="AG4">
        <v>0</v>
      </c>
      <c r="AH4">
        <v>0</v>
      </c>
      <c r="AI4">
        <v>0</v>
      </c>
      <c r="AJ4">
        <f t="shared" si="0"/>
        <v>1</v>
      </c>
      <c r="AK4">
        <f t="shared" si="1"/>
        <v>1</v>
      </c>
      <c r="AL4">
        <f t="shared" si="2"/>
        <v>1</v>
      </c>
      <c r="AM4">
        <f t="shared" si="3"/>
        <v>3</v>
      </c>
      <c r="AN4">
        <f t="shared" si="4"/>
        <v>25080</v>
      </c>
      <c r="AO4">
        <f t="shared" si="5"/>
        <v>0</v>
      </c>
      <c r="AP4" t="str">
        <f t="shared" si="6"/>
        <v>30-39</v>
      </c>
      <c r="AQ4" t="str">
        <f t="shared" si="7"/>
        <v>Low</v>
      </c>
      <c r="AR4" t="str">
        <f t="shared" si="8"/>
        <v>Short</v>
      </c>
      <c r="AS4">
        <f t="shared" si="9"/>
        <v>0</v>
      </c>
    </row>
    <row r="5" spans="1:48" x14ac:dyDescent="0.3">
      <c r="A5">
        <v>33</v>
      </c>
      <c r="B5" t="s">
        <v>43</v>
      </c>
      <c r="C5" t="s">
        <v>44</v>
      </c>
      <c r="D5">
        <v>1392</v>
      </c>
      <c r="E5" t="s">
        <v>45</v>
      </c>
      <c r="F5">
        <v>3</v>
      </c>
      <c r="G5">
        <v>4</v>
      </c>
      <c r="H5" t="s">
        <v>38</v>
      </c>
      <c r="I5">
        <v>1</v>
      </c>
      <c r="J5">
        <v>5</v>
      </c>
      <c r="K5">
        <v>4</v>
      </c>
      <c r="L5" t="s">
        <v>39</v>
      </c>
      <c r="M5">
        <v>56</v>
      </c>
      <c r="N5">
        <v>3</v>
      </c>
      <c r="O5">
        <v>1</v>
      </c>
      <c r="P5" t="s">
        <v>47</v>
      </c>
      <c r="Q5">
        <v>3</v>
      </c>
      <c r="R5" t="s">
        <v>48</v>
      </c>
      <c r="S5" s="20">
        <v>2909</v>
      </c>
      <c r="T5">
        <v>23159</v>
      </c>
      <c r="U5">
        <v>1</v>
      </c>
      <c r="V5" t="s">
        <v>42</v>
      </c>
      <c r="W5" t="s">
        <v>35</v>
      </c>
      <c r="X5" s="19">
        <v>11</v>
      </c>
      <c r="Y5">
        <v>3</v>
      </c>
      <c r="Z5">
        <v>3</v>
      </c>
      <c r="AA5">
        <v>80</v>
      </c>
      <c r="AB5">
        <v>0</v>
      </c>
      <c r="AC5">
        <v>8</v>
      </c>
      <c r="AD5">
        <v>3</v>
      </c>
      <c r="AE5">
        <v>3</v>
      </c>
      <c r="AF5">
        <v>8</v>
      </c>
      <c r="AG5">
        <v>7</v>
      </c>
      <c r="AH5">
        <v>3</v>
      </c>
      <c r="AI5">
        <v>0</v>
      </c>
      <c r="AJ5">
        <f t="shared" si="0"/>
        <v>0</v>
      </c>
      <c r="AK5">
        <f t="shared" si="1"/>
        <v>1</v>
      </c>
      <c r="AL5">
        <f t="shared" si="2"/>
        <v>0</v>
      </c>
      <c r="AM5">
        <f t="shared" si="3"/>
        <v>3.25</v>
      </c>
      <c r="AN5">
        <f t="shared" si="4"/>
        <v>3878.6666666666665</v>
      </c>
      <c r="AO5">
        <f t="shared" si="5"/>
        <v>0.88888888888888884</v>
      </c>
      <c r="AP5" t="str">
        <f t="shared" si="6"/>
        <v>30-39</v>
      </c>
      <c r="AQ5" t="str">
        <f t="shared" si="7"/>
        <v>Medium</v>
      </c>
      <c r="AR5" t="str">
        <f t="shared" si="8"/>
        <v>Short</v>
      </c>
      <c r="AS5">
        <f t="shared" si="9"/>
        <v>1</v>
      </c>
    </row>
    <row r="6" spans="1:48" x14ac:dyDescent="0.3">
      <c r="A6">
        <v>27</v>
      </c>
      <c r="B6" t="s">
        <v>43</v>
      </c>
      <c r="C6" t="s">
        <v>36</v>
      </c>
      <c r="D6">
        <v>591</v>
      </c>
      <c r="E6" t="s">
        <v>45</v>
      </c>
      <c r="F6">
        <v>2</v>
      </c>
      <c r="G6">
        <v>1</v>
      </c>
      <c r="H6" t="s">
        <v>51</v>
      </c>
      <c r="I6">
        <v>1</v>
      </c>
      <c r="J6">
        <v>7</v>
      </c>
      <c r="K6">
        <v>1</v>
      </c>
      <c r="L6" t="s">
        <v>46</v>
      </c>
      <c r="M6">
        <v>40</v>
      </c>
      <c r="N6">
        <v>3</v>
      </c>
      <c r="O6">
        <v>1</v>
      </c>
      <c r="P6" t="s">
        <v>50</v>
      </c>
      <c r="Q6">
        <v>2</v>
      </c>
      <c r="R6" t="s">
        <v>48</v>
      </c>
      <c r="S6" s="20">
        <v>3468</v>
      </c>
      <c r="T6">
        <v>16632</v>
      </c>
      <c r="U6">
        <v>9</v>
      </c>
      <c r="V6" t="s">
        <v>42</v>
      </c>
      <c r="W6" t="s">
        <v>43</v>
      </c>
      <c r="X6" s="19">
        <v>12</v>
      </c>
      <c r="Y6">
        <v>3</v>
      </c>
      <c r="Z6">
        <v>4</v>
      </c>
      <c r="AA6">
        <v>80</v>
      </c>
      <c r="AB6">
        <v>1</v>
      </c>
      <c r="AC6">
        <v>6</v>
      </c>
      <c r="AD6">
        <v>3</v>
      </c>
      <c r="AE6">
        <v>3</v>
      </c>
      <c r="AF6">
        <v>2</v>
      </c>
      <c r="AG6">
        <v>2</v>
      </c>
      <c r="AH6">
        <v>2</v>
      </c>
      <c r="AI6">
        <v>2</v>
      </c>
      <c r="AJ6">
        <f t="shared" si="0"/>
        <v>0</v>
      </c>
      <c r="AK6">
        <f t="shared" si="1"/>
        <v>0</v>
      </c>
      <c r="AL6">
        <f t="shared" si="2"/>
        <v>1</v>
      </c>
      <c r="AM6">
        <f t="shared" si="3"/>
        <v>2.5</v>
      </c>
      <c r="AN6">
        <f t="shared" si="4"/>
        <v>13872</v>
      </c>
      <c r="AO6">
        <f t="shared" si="5"/>
        <v>0.2857142857142857</v>
      </c>
      <c r="AP6" t="str">
        <f t="shared" si="6"/>
        <v>Under 30</v>
      </c>
      <c r="AQ6" t="str">
        <f t="shared" si="7"/>
        <v>Medium</v>
      </c>
      <c r="AR6" t="str">
        <f t="shared" si="8"/>
        <v>Short</v>
      </c>
      <c r="AS6">
        <f t="shared" si="9"/>
        <v>0</v>
      </c>
    </row>
    <row r="7" spans="1:48" x14ac:dyDescent="0.3">
      <c r="A7">
        <v>32</v>
      </c>
      <c r="B7" t="s">
        <v>43</v>
      </c>
      <c r="C7" t="s">
        <v>44</v>
      </c>
      <c r="D7">
        <v>1005</v>
      </c>
      <c r="E7" t="s">
        <v>45</v>
      </c>
      <c r="F7">
        <v>2</v>
      </c>
      <c r="G7">
        <v>2</v>
      </c>
      <c r="H7" t="s">
        <v>38</v>
      </c>
      <c r="I7">
        <v>1</v>
      </c>
      <c r="J7">
        <v>8</v>
      </c>
      <c r="K7">
        <v>4</v>
      </c>
      <c r="L7" t="s">
        <v>46</v>
      </c>
      <c r="M7">
        <v>79</v>
      </c>
      <c r="N7">
        <v>3</v>
      </c>
      <c r="O7">
        <v>1</v>
      </c>
      <c r="P7" t="s">
        <v>50</v>
      </c>
      <c r="Q7">
        <v>4</v>
      </c>
      <c r="R7" t="s">
        <v>41</v>
      </c>
      <c r="S7" s="20">
        <v>3068</v>
      </c>
      <c r="T7">
        <v>11864</v>
      </c>
      <c r="U7">
        <v>0</v>
      </c>
      <c r="V7" t="s">
        <v>42</v>
      </c>
      <c r="W7" t="s">
        <v>43</v>
      </c>
      <c r="X7" s="19">
        <v>13</v>
      </c>
      <c r="Y7">
        <v>3</v>
      </c>
      <c r="Z7">
        <v>3</v>
      </c>
      <c r="AA7">
        <v>80</v>
      </c>
      <c r="AB7">
        <v>0</v>
      </c>
      <c r="AC7">
        <v>8</v>
      </c>
      <c r="AD7">
        <v>2</v>
      </c>
      <c r="AE7">
        <v>2</v>
      </c>
      <c r="AF7">
        <v>7</v>
      </c>
      <c r="AG7">
        <v>7</v>
      </c>
      <c r="AH7">
        <v>3</v>
      </c>
      <c r="AI7">
        <v>6</v>
      </c>
      <c r="AJ7">
        <f t="shared" si="0"/>
        <v>0</v>
      </c>
      <c r="AK7">
        <f t="shared" si="1"/>
        <v>0</v>
      </c>
      <c r="AL7">
        <f t="shared" si="2"/>
        <v>1</v>
      </c>
      <c r="AM7">
        <f t="shared" si="3"/>
        <v>3.25</v>
      </c>
      <c r="AN7">
        <f t="shared" si="4"/>
        <v>4602</v>
      </c>
      <c r="AO7">
        <f t="shared" si="5"/>
        <v>0.77777777777777779</v>
      </c>
      <c r="AP7" t="str">
        <f t="shared" si="6"/>
        <v>30-39</v>
      </c>
      <c r="AQ7" t="str">
        <f t="shared" si="7"/>
        <v>Medium</v>
      </c>
      <c r="AR7" t="str">
        <f t="shared" si="8"/>
        <v>Short</v>
      </c>
      <c r="AS7">
        <f t="shared" si="9"/>
        <v>1</v>
      </c>
    </row>
    <row r="8" spans="1:48" x14ac:dyDescent="0.3">
      <c r="A8">
        <v>59</v>
      </c>
      <c r="B8" t="s">
        <v>43</v>
      </c>
      <c r="C8" t="s">
        <v>36</v>
      </c>
      <c r="D8">
        <v>1324</v>
      </c>
      <c r="E8" t="s">
        <v>45</v>
      </c>
      <c r="F8">
        <v>3</v>
      </c>
      <c r="G8">
        <v>3</v>
      </c>
      <c r="H8" t="s">
        <v>51</v>
      </c>
      <c r="I8">
        <v>1</v>
      </c>
      <c r="J8">
        <v>10</v>
      </c>
      <c r="K8">
        <v>3</v>
      </c>
      <c r="L8" t="s">
        <v>39</v>
      </c>
      <c r="M8">
        <v>81</v>
      </c>
      <c r="N8">
        <v>4</v>
      </c>
      <c r="O8">
        <v>1</v>
      </c>
      <c r="P8" t="s">
        <v>50</v>
      </c>
      <c r="Q8">
        <v>1</v>
      </c>
      <c r="R8" t="s">
        <v>48</v>
      </c>
      <c r="S8" s="20">
        <v>2670</v>
      </c>
      <c r="T8">
        <v>9964</v>
      </c>
      <c r="U8">
        <v>4</v>
      </c>
      <c r="V8" t="s">
        <v>42</v>
      </c>
      <c r="W8" t="s">
        <v>35</v>
      </c>
      <c r="X8" s="19">
        <v>20</v>
      </c>
      <c r="Y8">
        <v>4</v>
      </c>
      <c r="Z8">
        <v>1</v>
      </c>
      <c r="AA8">
        <v>80</v>
      </c>
      <c r="AB8">
        <v>3</v>
      </c>
      <c r="AC8">
        <v>12</v>
      </c>
      <c r="AD8">
        <v>3</v>
      </c>
      <c r="AE8">
        <v>2</v>
      </c>
      <c r="AF8">
        <v>1</v>
      </c>
      <c r="AG8">
        <v>0</v>
      </c>
      <c r="AH8">
        <v>0</v>
      </c>
      <c r="AI8">
        <v>0</v>
      </c>
      <c r="AJ8">
        <f t="shared" si="0"/>
        <v>0</v>
      </c>
      <c r="AK8">
        <f t="shared" si="1"/>
        <v>1</v>
      </c>
      <c r="AL8">
        <f t="shared" si="2"/>
        <v>0</v>
      </c>
      <c r="AM8">
        <f t="shared" si="3"/>
        <v>1.75</v>
      </c>
      <c r="AN8">
        <f t="shared" si="4"/>
        <v>16020</v>
      </c>
      <c r="AO8">
        <f t="shared" si="5"/>
        <v>7.6923076923076927E-2</v>
      </c>
      <c r="AP8" t="str">
        <f t="shared" si="6"/>
        <v>50+</v>
      </c>
      <c r="AQ8" t="str">
        <f t="shared" si="7"/>
        <v>Low</v>
      </c>
      <c r="AR8" t="str">
        <f t="shared" si="8"/>
        <v>Short</v>
      </c>
      <c r="AS8">
        <f t="shared" si="9"/>
        <v>0</v>
      </c>
    </row>
    <row r="9" spans="1:48" x14ac:dyDescent="0.3">
      <c r="A9">
        <v>30</v>
      </c>
      <c r="B9" t="s">
        <v>43</v>
      </c>
      <c r="C9" t="s">
        <v>36</v>
      </c>
      <c r="D9">
        <v>1358</v>
      </c>
      <c r="E9" t="s">
        <v>45</v>
      </c>
      <c r="F9">
        <v>24</v>
      </c>
      <c r="G9">
        <v>1</v>
      </c>
      <c r="H9" t="s">
        <v>38</v>
      </c>
      <c r="I9">
        <v>1</v>
      </c>
      <c r="J9">
        <v>11</v>
      </c>
      <c r="K9">
        <v>4</v>
      </c>
      <c r="L9" t="s">
        <v>46</v>
      </c>
      <c r="M9">
        <v>67</v>
      </c>
      <c r="N9">
        <v>3</v>
      </c>
      <c r="O9">
        <v>1</v>
      </c>
      <c r="P9" t="s">
        <v>50</v>
      </c>
      <c r="Q9">
        <v>3</v>
      </c>
      <c r="R9" t="s">
        <v>52</v>
      </c>
      <c r="S9" s="20">
        <v>2693</v>
      </c>
      <c r="T9">
        <v>13335</v>
      </c>
      <c r="U9">
        <v>1</v>
      </c>
      <c r="V9" t="s">
        <v>42</v>
      </c>
      <c r="W9" t="s">
        <v>43</v>
      </c>
      <c r="X9" s="19">
        <v>22</v>
      </c>
      <c r="Y9">
        <v>4</v>
      </c>
      <c r="Z9">
        <v>2</v>
      </c>
      <c r="AA9">
        <v>80</v>
      </c>
      <c r="AB9">
        <v>1</v>
      </c>
      <c r="AC9">
        <v>1</v>
      </c>
      <c r="AD9">
        <v>2</v>
      </c>
      <c r="AE9">
        <v>3</v>
      </c>
      <c r="AF9">
        <v>1</v>
      </c>
      <c r="AG9">
        <v>0</v>
      </c>
      <c r="AH9">
        <v>0</v>
      </c>
      <c r="AI9">
        <v>0</v>
      </c>
      <c r="AJ9">
        <f t="shared" si="0"/>
        <v>0</v>
      </c>
      <c r="AK9">
        <f t="shared" si="1"/>
        <v>0</v>
      </c>
      <c r="AL9">
        <f t="shared" si="2"/>
        <v>1</v>
      </c>
      <c r="AM9">
        <f t="shared" si="3"/>
        <v>3</v>
      </c>
      <c r="AN9">
        <f t="shared" si="4"/>
        <v>16158</v>
      </c>
      <c r="AO9">
        <f t="shared" si="5"/>
        <v>0.5</v>
      </c>
      <c r="AP9" t="str">
        <f t="shared" si="6"/>
        <v>30-39</v>
      </c>
      <c r="AQ9" t="str">
        <f t="shared" si="7"/>
        <v>Low</v>
      </c>
      <c r="AR9" t="str">
        <f t="shared" si="8"/>
        <v>Long</v>
      </c>
      <c r="AS9">
        <f t="shared" si="9"/>
        <v>0</v>
      </c>
    </row>
    <row r="10" spans="1:48"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s="20">
        <v>9526</v>
      </c>
      <c r="T10">
        <v>8787</v>
      </c>
      <c r="U10">
        <v>0</v>
      </c>
      <c r="V10" t="s">
        <v>42</v>
      </c>
      <c r="W10" t="s">
        <v>43</v>
      </c>
      <c r="X10" s="19">
        <v>21</v>
      </c>
      <c r="Y10">
        <v>4</v>
      </c>
      <c r="Z10">
        <v>2</v>
      </c>
      <c r="AA10">
        <v>80</v>
      </c>
      <c r="AB10">
        <v>0</v>
      </c>
      <c r="AC10">
        <v>10</v>
      </c>
      <c r="AD10">
        <v>2</v>
      </c>
      <c r="AE10">
        <v>3</v>
      </c>
      <c r="AF10">
        <v>9</v>
      </c>
      <c r="AG10">
        <v>7</v>
      </c>
      <c r="AH10">
        <v>1</v>
      </c>
      <c r="AI10">
        <v>8</v>
      </c>
      <c r="AJ10">
        <f t="shared" si="0"/>
        <v>0</v>
      </c>
      <c r="AK10">
        <f t="shared" si="1"/>
        <v>0</v>
      </c>
      <c r="AL10">
        <f t="shared" si="2"/>
        <v>1</v>
      </c>
      <c r="AM10">
        <f t="shared" si="3"/>
        <v>3</v>
      </c>
      <c r="AN10">
        <f t="shared" si="4"/>
        <v>11431.2</v>
      </c>
      <c r="AO10">
        <f t="shared" si="5"/>
        <v>0.81818181818181823</v>
      </c>
      <c r="AP10" t="str">
        <f t="shared" si="6"/>
        <v>30-39</v>
      </c>
      <c r="AQ10" t="str">
        <f t="shared" si="7"/>
        <v>Very High</v>
      </c>
      <c r="AR10" t="str">
        <f t="shared" si="8"/>
        <v>Long</v>
      </c>
      <c r="AS10">
        <f t="shared" si="9"/>
        <v>1</v>
      </c>
    </row>
    <row r="11" spans="1:48"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s="20">
        <v>5237</v>
      </c>
      <c r="T11">
        <v>16577</v>
      </c>
      <c r="U11">
        <v>6</v>
      </c>
      <c r="V11" t="s">
        <v>42</v>
      </c>
      <c r="W11" t="s">
        <v>43</v>
      </c>
      <c r="X11" s="19">
        <v>13</v>
      </c>
      <c r="Y11">
        <v>3</v>
      </c>
      <c r="Z11">
        <v>2</v>
      </c>
      <c r="AA11">
        <v>80</v>
      </c>
      <c r="AB11">
        <v>2</v>
      </c>
      <c r="AC11">
        <v>17</v>
      </c>
      <c r="AD11">
        <v>3</v>
      </c>
      <c r="AE11">
        <v>2</v>
      </c>
      <c r="AF11">
        <v>7</v>
      </c>
      <c r="AG11">
        <v>7</v>
      </c>
      <c r="AH11">
        <v>7</v>
      </c>
      <c r="AI11">
        <v>7</v>
      </c>
      <c r="AJ11">
        <f t="shared" si="0"/>
        <v>0</v>
      </c>
      <c r="AK11">
        <f t="shared" si="1"/>
        <v>0</v>
      </c>
      <c r="AL11">
        <f t="shared" si="2"/>
        <v>1</v>
      </c>
      <c r="AM11">
        <f t="shared" si="3"/>
        <v>2.5</v>
      </c>
      <c r="AN11">
        <f t="shared" si="4"/>
        <v>7855.5</v>
      </c>
      <c r="AO11">
        <f t="shared" si="5"/>
        <v>0.3888888888888889</v>
      </c>
      <c r="AP11" t="str">
        <f t="shared" si="6"/>
        <v>30-39</v>
      </c>
      <c r="AQ11" t="str">
        <f t="shared" si="7"/>
        <v>High</v>
      </c>
      <c r="AR11" t="str">
        <f t="shared" si="8"/>
        <v>Long</v>
      </c>
      <c r="AS11">
        <f t="shared" si="9"/>
        <v>0</v>
      </c>
    </row>
    <row r="12" spans="1:48"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s="20">
        <v>2674</v>
      </c>
      <c r="T12">
        <v>16479</v>
      </c>
      <c r="U12">
        <v>0</v>
      </c>
      <c r="V12" t="s">
        <v>42</v>
      </c>
      <c r="W12" t="s">
        <v>43</v>
      </c>
      <c r="X12" s="19">
        <v>13</v>
      </c>
      <c r="Y12">
        <v>3</v>
      </c>
      <c r="Z12">
        <v>3</v>
      </c>
      <c r="AA12">
        <v>80</v>
      </c>
      <c r="AB12">
        <v>1</v>
      </c>
      <c r="AC12">
        <v>6</v>
      </c>
      <c r="AD12">
        <v>5</v>
      </c>
      <c r="AE12">
        <v>3</v>
      </c>
      <c r="AF12">
        <v>5</v>
      </c>
      <c r="AG12">
        <v>4</v>
      </c>
      <c r="AH12">
        <v>0</v>
      </c>
      <c r="AI12">
        <v>3</v>
      </c>
      <c r="AJ12">
        <f t="shared" si="0"/>
        <v>0</v>
      </c>
      <c r="AK12">
        <f t="shared" si="1"/>
        <v>0</v>
      </c>
      <c r="AL12">
        <f t="shared" si="2"/>
        <v>1</v>
      </c>
      <c r="AM12">
        <f t="shared" si="3"/>
        <v>2.25</v>
      </c>
      <c r="AN12">
        <f t="shared" si="4"/>
        <v>5348</v>
      </c>
      <c r="AO12">
        <f t="shared" si="5"/>
        <v>0.7142857142857143</v>
      </c>
      <c r="AP12" t="str">
        <f t="shared" si="6"/>
        <v>30-39</v>
      </c>
      <c r="AQ12" t="str">
        <f t="shared" si="7"/>
        <v>Low</v>
      </c>
      <c r="AR12" t="str">
        <f t="shared" si="8"/>
        <v>Long</v>
      </c>
      <c r="AS12">
        <f t="shared" si="9"/>
        <v>0</v>
      </c>
    </row>
    <row r="13" spans="1:48"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s="20">
        <v>4193</v>
      </c>
      <c r="T13">
        <v>12682</v>
      </c>
      <c r="U13">
        <v>0</v>
      </c>
      <c r="V13" t="s">
        <v>42</v>
      </c>
      <c r="W13" t="s">
        <v>35</v>
      </c>
      <c r="X13" s="19">
        <v>12</v>
      </c>
      <c r="Y13">
        <v>3</v>
      </c>
      <c r="Z13">
        <v>4</v>
      </c>
      <c r="AA13">
        <v>80</v>
      </c>
      <c r="AB13">
        <v>0</v>
      </c>
      <c r="AC13">
        <v>10</v>
      </c>
      <c r="AD13">
        <v>3</v>
      </c>
      <c r="AE13">
        <v>3</v>
      </c>
      <c r="AF13">
        <v>9</v>
      </c>
      <c r="AG13">
        <v>5</v>
      </c>
      <c r="AH13">
        <v>0</v>
      </c>
      <c r="AI13">
        <v>8</v>
      </c>
      <c r="AJ13">
        <f t="shared" si="0"/>
        <v>0</v>
      </c>
      <c r="AK13">
        <f t="shared" si="1"/>
        <v>1</v>
      </c>
      <c r="AL13">
        <f t="shared" si="2"/>
        <v>0</v>
      </c>
      <c r="AM13">
        <f t="shared" si="3"/>
        <v>3.5</v>
      </c>
      <c r="AN13">
        <f t="shared" si="4"/>
        <v>5031.6000000000004</v>
      </c>
      <c r="AO13">
        <f t="shared" si="5"/>
        <v>0.81818181818181823</v>
      </c>
      <c r="AP13" t="str">
        <f t="shared" si="6"/>
        <v>Under 30</v>
      </c>
      <c r="AQ13" t="str">
        <f t="shared" si="7"/>
        <v>Medium</v>
      </c>
      <c r="AR13" t="str">
        <f t="shared" si="8"/>
        <v>Medium</v>
      </c>
      <c r="AS13">
        <f t="shared" si="9"/>
        <v>0</v>
      </c>
    </row>
    <row r="14" spans="1:48"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s="20">
        <v>2911</v>
      </c>
      <c r="T14">
        <v>15170</v>
      </c>
      <c r="U14">
        <v>1</v>
      </c>
      <c r="V14" t="s">
        <v>42</v>
      </c>
      <c r="W14" t="s">
        <v>43</v>
      </c>
      <c r="X14" s="19">
        <v>17</v>
      </c>
      <c r="Y14">
        <v>3</v>
      </c>
      <c r="Z14">
        <v>4</v>
      </c>
      <c r="AA14">
        <v>80</v>
      </c>
      <c r="AB14">
        <v>1</v>
      </c>
      <c r="AC14">
        <v>5</v>
      </c>
      <c r="AD14">
        <v>1</v>
      </c>
      <c r="AE14">
        <v>2</v>
      </c>
      <c r="AF14">
        <v>5</v>
      </c>
      <c r="AG14">
        <v>2</v>
      </c>
      <c r="AH14">
        <v>4</v>
      </c>
      <c r="AI14">
        <v>3</v>
      </c>
      <c r="AJ14">
        <f t="shared" si="0"/>
        <v>0</v>
      </c>
      <c r="AK14">
        <f t="shared" si="1"/>
        <v>0</v>
      </c>
      <c r="AL14">
        <f t="shared" si="2"/>
        <v>1</v>
      </c>
      <c r="AM14">
        <f t="shared" si="3"/>
        <v>2.5</v>
      </c>
      <c r="AN14">
        <f t="shared" si="4"/>
        <v>5822</v>
      </c>
      <c r="AO14">
        <f t="shared" si="5"/>
        <v>0.83333333333333337</v>
      </c>
      <c r="AP14" t="str">
        <f t="shared" si="6"/>
        <v>30-39</v>
      </c>
      <c r="AQ14" t="str">
        <f t="shared" si="7"/>
        <v>Medium</v>
      </c>
      <c r="AR14" t="str">
        <f t="shared" si="8"/>
        <v>Long</v>
      </c>
      <c r="AS14">
        <f t="shared" si="9"/>
        <v>0</v>
      </c>
    </row>
    <row r="15" spans="1:48"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s="20">
        <v>2661</v>
      </c>
      <c r="T15">
        <v>8758</v>
      </c>
      <c r="U15">
        <v>0</v>
      </c>
      <c r="V15" t="s">
        <v>42</v>
      </c>
      <c r="W15" t="s">
        <v>43</v>
      </c>
      <c r="X15" s="19">
        <v>11</v>
      </c>
      <c r="Y15">
        <v>3</v>
      </c>
      <c r="Z15">
        <v>3</v>
      </c>
      <c r="AA15">
        <v>80</v>
      </c>
      <c r="AB15">
        <v>1</v>
      </c>
      <c r="AC15">
        <v>3</v>
      </c>
      <c r="AD15">
        <v>2</v>
      </c>
      <c r="AE15">
        <v>3</v>
      </c>
      <c r="AF15">
        <v>2</v>
      </c>
      <c r="AG15">
        <v>2</v>
      </c>
      <c r="AH15">
        <v>1</v>
      </c>
      <c r="AI15">
        <v>2</v>
      </c>
      <c r="AJ15">
        <f t="shared" si="0"/>
        <v>0</v>
      </c>
      <c r="AK15">
        <f t="shared" si="1"/>
        <v>0</v>
      </c>
      <c r="AL15">
        <f t="shared" si="2"/>
        <v>1</v>
      </c>
      <c r="AM15">
        <f t="shared" si="3"/>
        <v>3</v>
      </c>
      <c r="AN15">
        <f t="shared" si="4"/>
        <v>10644</v>
      </c>
      <c r="AO15">
        <f t="shared" si="5"/>
        <v>0.5</v>
      </c>
      <c r="AP15" t="str">
        <f t="shared" si="6"/>
        <v>30-39</v>
      </c>
      <c r="AQ15" t="str">
        <f t="shared" si="7"/>
        <v>Low</v>
      </c>
      <c r="AR15" t="str">
        <f t="shared" si="8"/>
        <v>Long</v>
      </c>
      <c r="AS15">
        <f t="shared" si="9"/>
        <v>0</v>
      </c>
    </row>
    <row r="16" spans="1:48"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s="20">
        <v>2028</v>
      </c>
      <c r="T16">
        <v>12947</v>
      </c>
      <c r="U16">
        <v>5</v>
      </c>
      <c r="V16" t="s">
        <v>42</v>
      </c>
      <c r="W16" t="s">
        <v>35</v>
      </c>
      <c r="X16" s="19">
        <v>14</v>
      </c>
      <c r="Y16">
        <v>3</v>
      </c>
      <c r="Z16">
        <v>2</v>
      </c>
      <c r="AA16">
        <v>80</v>
      </c>
      <c r="AB16">
        <v>0</v>
      </c>
      <c r="AC16">
        <v>6</v>
      </c>
      <c r="AD16">
        <v>4</v>
      </c>
      <c r="AE16">
        <v>3</v>
      </c>
      <c r="AF16">
        <v>4</v>
      </c>
      <c r="AG16">
        <v>2</v>
      </c>
      <c r="AH16">
        <v>0</v>
      </c>
      <c r="AI16">
        <v>3</v>
      </c>
      <c r="AJ16">
        <f t="shared" si="0"/>
        <v>1</v>
      </c>
      <c r="AK16">
        <f t="shared" si="1"/>
        <v>1</v>
      </c>
      <c r="AL16">
        <f t="shared" si="2"/>
        <v>1</v>
      </c>
      <c r="AM16">
        <f t="shared" si="3"/>
        <v>2.75</v>
      </c>
      <c r="AN16">
        <f t="shared" si="4"/>
        <v>4867.2</v>
      </c>
      <c r="AO16">
        <f t="shared" si="5"/>
        <v>0.5714285714285714</v>
      </c>
      <c r="AP16" t="str">
        <f t="shared" si="6"/>
        <v>Under 30</v>
      </c>
      <c r="AQ16" t="str">
        <f t="shared" si="7"/>
        <v>Low</v>
      </c>
      <c r="AR16" t="str">
        <f t="shared" si="8"/>
        <v>Long</v>
      </c>
      <c r="AS16">
        <f t="shared" si="9"/>
        <v>0</v>
      </c>
    </row>
    <row r="17" spans="1:45" x14ac:dyDescent="0.3">
      <c r="A17">
        <v>29</v>
      </c>
      <c r="B17" t="s">
        <v>43</v>
      </c>
      <c r="C17" t="s">
        <v>36</v>
      </c>
      <c r="D17">
        <v>1389</v>
      </c>
      <c r="E17" t="s">
        <v>45</v>
      </c>
      <c r="F17">
        <v>21</v>
      </c>
      <c r="G17">
        <v>4</v>
      </c>
      <c r="H17" t="s">
        <v>38</v>
      </c>
      <c r="I17">
        <v>1</v>
      </c>
      <c r="J17">
        <v>20</v>
      </c>
      <c r="K17">
        <v>3</v>
      </c>
      <c r="L17" t="s">
        <v>39</v>
      </c>
      <c r="M17">
        <v>51</v>
      </c>
      <c r="N17">
        <v>4</v>
      </c>
      <c r="O17">
        <v>3</v>
      </c>
      <c r="P17" t="s">
        <v>53</v>
      </c>
      <c r="Q17">
        <v>1</v>
      </c>
      <c r="R17" t="s">
        <v>52</v>
      </c>
      <c r="S17" s="20">
        <v>9980</v>
      </c>
      <c r="T17">
        <v>10195</v>
      </c>
      <c r="U17">
        <v>1</v>
      </c>
      <c r="V17" t="s">
        <v>42</v>
      </c>
      <c r="W17" t="s">
        <v>43</v>
      </c>
      <c r="X17" s="19">
        <v>11</v>
      </c>
      <c r="Y17">
        <v>3</v>
      </c>
      <c r="Z17">
        <v>3</v>
      </c>
      <c r="AA17">
        <v>80</v>
      </c>
      <c r="AB17">
        <v>1</v>
      </c>
      <c r="AC17">
        <v>10</v>
      </c>
      <c r="AD17">
        <v>1</v>
      </c>
      <c r="AE17">
        <v>3</v>
      </c>
      <c r="AF17">
        <v>10</v>
      </c>
      <c r="AG17">
        <v>9</v>
      </c>
      <c r="AH17">
        <v>8</v>
      </c>
      <c r="AI17">
        <v>8</v>
      </c>
      <c r="AJ17">
        <f t="shared" si="0"/>
        <v>0</v>
      </c>
      <c r="AK17">
        <f t="shared" si="1"/>
        <v>0</v>
      </c>
      <c r="AL17">
        <f t="shared" si="2"/>
        <v>0</v>
      </c>
      <c r="AM17">
        <f t="shared" si="3"/>
        <v>2.5</v>
      </c>
      <c r="AN17">
        <f t="shared" si="4"/>
        <v>10887.272727272728</v>
      </c>
      <c r="AO17">
        <f t="shared" si="5"/>
        <v>0.90909090909090906</v>
      </c>
      <c r="AP17" t="str">
        <f t="shared" si="6"/>
        <v>Under 30</v>
      </c>
      <c r="AQ17" t="str">
        <f t="shared" si="7"/>
        <v>Very High</v>
      </c>
      <c r="AR17" t="str">
        <f t="shared" si="8"/>
        <v>Long</v>
      </c>
      <c r="AS17">
        <f t="shared" si="9"/>
        <v>0</v>
      </c>
    </row>
    <row r="18" spans="1:4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s="20">
        <v>3298</v>
      </c>
      <c r="T18">
        <v>15053</v>
      </c>
      <c r="U18">
        <v>0</v>
      </c>
      <c r="V18" t="s">
        <v>42</v>
      </c>
      <c r="W18" t="s">
        <v>35</v>
      </c>
      <c r="X18" s="19">
        <v>12</v>
      </c>
      <c r="Y18">
        <v>3</v>
      </c>
      <c r="Z18">
        <v>4</v>
      </c>
      <c r="AA18">
        <v>80</v>
      </c>
      <c r="AB18">
        <v>2</v>
      </c>
      <c r="AC18">
        <v>7</v>
      </c>
      <c r="AD18">
        <v>5</v>
      </c>
      <c r="AE18">
        <v>2</v>
      </c>
      <c r="AF18">
        <v>6</v>
      </c>
      <c r="AG18">
        <v>2</v>
      </c>
      <c r="AH18">
        <v>0</v>
      </c>
      <c r="AI18">
        <v>5</v>
      </c>
      <c r="AJ18">
        <f t="shared" si="0"/>
        <v>0</v>
      </c>
      <c r="AK18">
        <f t="shared" si="1"/>
        <v>1</v>
      </c>
      <c r="AL18">
        <f t="shared" si="2"/>
        <v>1</v>
      </c>
      <c r="AM18">
        <f t="shared" si="3"/>
        <v>2.25</v>
      </c>
      <c r="AN18">
        <f t="shared" si="4"/>
        <v>5653.7142857142853</v>
      </c>
      <c r="AO18">
        <f t="shared" si="5"/>
        <v>0.75</v>
      </c>
      <c r="AP18" t="str">
        <f t="shared" si="6"/>
        <v>30-39</v>
      </c>
      <c r="AQ18" t="str">
        <f t="shared" si="7"/>
        <v>Medium</v>
      </c>
      <c r="AR18" t="str">
        <f t="shared" si="8"/>
        <v>Short</v>
      </c>
      <c r="AS18">
        <f t="shared" si="9"/>
        <v>0</v>
      </c>
    </row>
    <row r="19" spans="1:4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s="20">
        <v>2935</v>
      </c>
      <c r="T19">
        <v>7324</v>
      </c>
      <c r="U19">
        <v>1</v>
      </c>
      <c r="V19" t="s">
        <v>42</v>
      </c>
      <c r="W19" t="s">
        <v>35</v>
      </c>
      <c r="X19" s="19">
        <v>13</v>
      </c>
      <c r="Y19">
        <v>3</v>
      </c>
      <c r="Z19">
        <v>2</v>
      </c>
      <c r="AA19">
        <v>80</v>
      </c>
      <c r="AB19">
        <v>2</v>
      </c>
      <c r="AC19">
        <v>1</v>
      </c>
      <c r="AD19">
        <v>2</v>
      </c>
      <c r="AE19">
        <v>2</v>
      </c>
      <c r="AF19">
        <v>1</v>
      </c>
      <c r="AG19">
        <v>0</v>
      </c>
      <c r="AH19">
        <v>0</v>
      </c>
      <c r="AI19">
        <v>0</v>
      </c>
      <c r="AJ19">
        <f t="shared" si="0"/>
        <v>0</v>
      </c>
      <c r="AK19">
        <f t="shared" si="1"/>
        <v>1</v>
      </c>
      <c r="AL19">
        <f t="shared" si="2"/>
        <v>1</v>
      </c>
      <c r="AM19">
        <f t="shared" si="3"/>
        <v>3</v>
      </c>
      <c r="AN19">
        <f t="shared" si="4"/>
        <v>17610</v>
      </c>
      <c r="AO19">
        <f t="shared" si="5"/>
        <v>0.5</v>
      </c>
      <c r="AP19" t="str">
        <f t="shared" si="6"/>
        <v>Under 30</v>
      </c>
      <c r="AQ19" t="str">
        <f t="shared" si="7"/>
        <v>Medium</v>
      </c>
      <c r="AR19" t="str">
        <f t="shared" si="8"/>
        <v>Long</v>
      </c>
      <c r="AS19">
        <f t="shared" si="9"/>
        <v>0</v>
      </c>
    </row>
    <row r="20" spans="1:4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s="20">
        <v>15427</v>
      </c>
      <c r="T20">
        <v>22021</v>
      </c>
      <c r="U20">
        <v>2</v>
      </c>
      <c r="V20" t="s">
        <v>42</v>
      </c>
      <c r="W20" t="s">
        <v>43</v>
      </c>
      <c r="X20" s="19">
        <v>16</v>
      </c>
      <c r="Y20">
        <v>3</v>
      </c>
      <c r="Z20">
        <v>3</v>
      </c>
      <c r="AA20">
        <v>80</v>
      </c>
      <c r="AB20">
        <v>0</v>
      </c>
      <c r="AC20">
        <v>31</v>
      </c>
      <c r="AD20">
        <v>3</v>
      </c>
      <c r="AE20">
        <v>3</v>
      </c>
      <c r="AF20">
        <v>25</v>
      </c>
      <c r="AG20">
        <v>8</v>
      </c>
      <c r="AH20">
        <v>3</v>
      </c>
      <c r="AI20">
        <v>7</v>
      </c>
      <c r="AJ20">
        <f t="shared" si="0"/>
        <v>0</v>
      </c>
      <c r="AK20">
        <f t="shared" si="1"/>
        <v>0</v>
      </c>
      <c r="AL20">
        <f t="shared" si="2"/>
        <v>0</v>
      </c>
      <c r="AM20">
        <f t="shared" si="3"/>
        <v>2.75</v>
      </c>
      <c r="AN20">
        <f t="shared" si="4"/>
        <v>7120.1538461538457</v>
      </c>
      <c r="AO20">
        <f t="shared" si="5"/>
        <v>0.78125</v>
      </c>
      <c r="AP20" t="str">
        <f t="shared" si="6"/>
        <v>50+</v>
      </c>
      <c r="AQ20" t="str">
        <f t="shared" si="7"/>
        <v>Very High</v>
      </c>
      <c r="AR20" t="str">
        <f t="shared" si="8"/>
        <v>Short</v>
      </c>
      <c r="AS20">
        <f t="shared" si="9"/>
        <v>0</v>
      </c>
    </row>
    <row r="21" spans="1:4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s="20">
        <v>3944</v>
      </c>
      <c r="T21">
        <v>4306</v>
      </c>
      <c r="U21">
        <v>5</v>
      </c>
      <c r="V21" t="s">
        <v>42</v>
      </c>
      <c r="W21" t="s">
        <v>35</v>
      </c>
      <c r="X21" s="19">
        <v>11</v>
      </c>
      <c r="Y21">
        <v>3</v>
      </c>
      <c r="Z21">
        <v>3</v>
      </c>
      <c r="AA21">
        <v>80</v>
      </c>
      <c r="AB21">
        <v>0</v>
      </c>
      <c r="AC21">
        <v>6</v>
      </c>
      <c r="AD21">
        <v>3</v>
      </c>
      <c r="AE21">
        <v>3</v>
      </c>
      <c r="AF21">
        <v>3</v>
      </c>
      <c r="AG21">
        <v>2</v>
      </c>
      <c r="AH21">
        <v>1</v>
      </c>
      <c r="AI21">
        <v>2</v>
      </c>
      <c r="AJ21">
        <f t="shared" si="0"/>
        <v>0</v>
      </c>
      <c r="AK21">
        <f t="shared" si="1"/>
        <v>1</v>
      </c>
      <c r="AL21">
        <f t="shared" si="2"/>
        <v>1</v>
      </c>
      <c r="AM21">
        <f t="shared" si="3"/>
        <v>3.5</v>
      </c>
      <c r="AN21">
        <f t="shared" si="4"/>
        <v>11832</v>
      </c>
      <c r="AO21">
        <f t="shared" si="5"/>
        <v>0.42857142857142855</v>
      </c>
      <c r="AP21" t="str">
        <f t="shared" si="6"/>
        <v>30-39</v>
      </c>
      <c r="AQ21" t="str">
        <f t="shared" si="7"/>
        <v>Medium</v>
      </c>
      <c r="AR21" t="str">
        <f t="shared" si="8"/>
        <v>Short</v>
      </c>
      <c r="AS21">
        <f t="shared" si="9"/>
        <v>0</v>
      </c>
    </row>
    <row r="22" spans="1:4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s="20">
        <v>4011</v>
      </c>
      <c r="T22">
        <v>8232</v>
      </c>
      <c r="U22">
        <v>0</v>
      </c>
      <c r="V22" t="s">
        <v>42</v>
      </c>
      <c r="W22" t="s">
        <v>43</v>
      </c>
      <c r="X22" s="19">
        <v>18</v>
      </c>
      <c r="Y22">
        <v>3</v>
      </c>
      <c r="Z22">
        <v>4</v>
      </c>
      <c r="AA22">
        <v>80</v>
      </c>
      <c r="AB22">
        <v>1</v>
      </c>
      <c r="AC22">
        <v>5</v>
      </c>
      <c r="AD22">
        <v>5</v>
      </c>
      <c r="AE22">
        <v>2</v>
      </c>
      <c r="AF22">
        <v>4</v>
      </c>
      <c r="AG22">
        <v>2</v>
      </c>
      <c r="AH22">
        <v>1</v>
      </c>
      <c r="AI22">
        <v>3</v>
      </c>
      <c r="AJ22">
        <f t="shared" si="0"/>
        <v>0</v>
      </c>
      <c r="AK22">
        <f t="shared" si="1"/>
        <v>0</v>
      </c>
      <c r="AL22">
        <f t="shared" si="2"/>
        <v>0</v>
      </c>
      <c r="AM22">
        <f t="shared" si="3"/>
        <v>2.5</v>
      </c>
      <c r="AN22">
        <f t="shared" si="4"/>
        <v>9626.4</v>
      </c>
      <c r="AO22">
        <f t="shared" si="5"/>
        <v>0.66666666666666663</v>
      </c>
      <c r="AP22" t="str">
        <f t="shared" si="6"/>
        <v>Under 30</v>
      </c>
      <c r="AQ22" t="str">
        <f t="shared" si="7"/>
        <v>Medium</v>
      </c>
      <c r="AR22" t="str">
        <f t="shared" si="8"/>
        <v>Medium</v>
      </c>
      <c r="AS22">
        <f t="shared" si="9"/>
        <v>0</v>
      </c>
    </row>
    <row r="23" spans="1:4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s="20">
        <v>3407</v>
      </c>
      <c r="T23">
        <v>6986</v>
      </c>
      <c r="U23">
        <v>7</v>
      </c>
      <c r="V23" t="s">
        <v>42</v>
      </c>
      <c r="W23" t="s">
        <v>43</v>
      </c>
      <c r="X23" s="19">
        <v>23</v>
      </c>
      <c r="Y23">
        <v>4</v>
      </c>
      <c r="Z23">
        <v>2</v>
      </c>
      <c r="AA23">
        <v>80</v>
      </c>
      <c r="AB23">
        <v>0</v>
      </c>
      <c r="AC23">
        <v>10</v>
      </c>
      <c r="AD23">
        <v>4</v>
      </c>
      <c r="AE23">
        <v>3</v>
      </c>
      <c r="AF23">
        <v>5</v>
      </c>
      <c r="AG23">
        <v>3</v>
      </c>
      <c r="AH23">
        <v>0</v>
      </c>
      <c r="AI23">
        <v>3</v>
      </c>
      <c r="AJ23">
        <f t="shared" si="0"/>
        <v>1</v>
      </c>
      <c r="AK23">
        <f t="shared" si="1"/>
        <v>0</v>
      </c>
      <c r="AL23">
        <f t="shared" si="2"/>
        <v>1</v>
      </c>
      <c r="AM23">
        <f t="shared" si="3"/>
        <v>2.25</v>
      </c>
      <c r="AN23">
        <f t="shared" si="4"/>
        <v>6814</v>
      </c>
      <c r="AO23">
        <f t="shared" si="5"/>
        <v>0.45454545454545453</v>
      </c>
      <c r="AP23" t="str">
        <f t="shared" si="6"/>
        <v>30-39</v>
      </c>
      <c r="AQ23" t="str">
        <f t="shared" si="7"/>
        <v>Medium</v>
      </c>
      <c r="AR23" t="str">
        <f t="shared" si="8"/>
        <v>Medium</v>
      </c>
      <c r="AS23">
        <f t="shared" si="9"/>
        <v>0</v>
      </c>
    </row>
    <row r="24" spans="1:4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s="20">
        <v>11994</v>
      </c>
      <c r="T24">
        <v>21293</v>
      </c>
      <c r="U24">
        <v>0</v>
      </c>
      <c r="V24" t="s">
        <v>42</v>
      </c>
      <c r="W24" t="s">
        <v>43</v>
      </c>
      <c r="X24" s="19">
        <v>11</v>
      </c>
      <c r="Y24">
        <v>3</v>
      </c>
      <c r="Z24">
        <v>3</v>
      </c>
      <c r="AA24">
        <v>80</v>
      </c>
      <c r="AB24">
        <v>0</v>
      </c>
      <c r="AC24">
        <v>13</v>
      </c>
      <c r="AD24">
        <v>4</v>
      </c>
      <c r="AE24">
        <v>3</v>
      </c>
      <c r="AF24">
        <v>12</v>
      </c>
      <c r="AG24">
        <v>6</v>
      </c>
      <c r="AH24">
        <v>2</v>
      </c>
      <c r="AI24">
        <v>11</v>
      </c>
      <c r="AJ24">
        <f t="shared" si="0"/>
        <v>0</v>
      </c>
      <c r="AK24">
        <f t="shared" si="1"/>
        <v>0</v>
      </c>
      <c r="AL24">
        <f t="shared" si="2"/>
        <v>0</v>
      </c>
      <c r="AM24">
        <f t="shared" si="3"/>
        <v>2.25</v>
      </c>
      <c r="AN24">
        <f t="shared" si="4"/>
        <v>11071.384615384615</v>
      </c>
      <c r="AO24">
        <f t="shared" si="5"/>
        <v>0.8571428571428571</v>
      </c>
      <c r="AP24" t="str">
        <f t="shared" si="6"/>
        <v>30-39</v>
      </c>
      <c r="AQ24" t="str">
        <f t="shared" si="7"/>
        <v>Very High</v>
      </c>
      <c r="AR24" t="str">
        <f t="shared" si="8"/>
        <v>Medium</v>
      </c>
      <c r="AS24">
        <f t="shared" si="9"/>
        <v>0</v>
      </c>
    </row>
    <row r="25" spans="1:4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s="20">
        <v>1232</v>
      </c>
      <c r="T25">
        <v>19281</v>
      </c>
      <c r="U25">
        <v>1</v>
      </c>
      <c r="V25" t="s">
        <v>42</v>
      </c>
      <c r="W25" t="s">
        <v>43</v>
      </c>
      <c r="X25" s="19">
        <v>14</v>
      </c>
      <c r="Y25">
        <v>3</v>
      </c>
      <c r="Z25">
        <v>4</v>
      </c>
      <c r="AA25">
        <v>80</v>
      </c>
      <c r="AB25">
        <v>0</v>
      </c>
      <c r="AC25">
        <v>0</v>
      </c>
      <c r="AD25">
        <v>6</v>
      </c>
      <c r="AE25">
        <v>3</v>
      </c>
      <c r="AF25">
        <v>0</v>
      </c>
      <c r="AG25">
        <v>0</v>
      </c>
      <c r="AH25">
        <v>0</v>
      </c>
      <c r="AI25">
        <v>0</v>
      </c>
      <c r="AJ25">
        <f t="shared" si="0"/>
        <v>0</v>
      </c>
      <c r="AK25">
        <f t="shared" si="1"/>
        <v>0</v>
      </c>
      <c r="AL25">
        <f t="shared" si="2"/>
        <v>1</v>
      </c>
      <c r="AM25">
        <f t="shared" si="3"/>
        <v>3.5</v>
      </c>
      <c r="AN25">
        <f t="shared" si="4"/>
        <v>14784</v>
      </c>
      <c r="AO25">
        <f t="shared" si="5"/>
        <v>0</v>
      </c>
      <c r="AP25" t="str">
        <f t="shared" si="6"/>
        <v>Under 30</v>
      </c>
      <c r="AQ25" t="str">
        <f t="shared" si="7"/>
        <v>Low</v>
      </c>
      <c r="AR25" t="str">
        <f t="shared" si="8"/>
        <v>Medium</v>
      </c>
      <c r="AS25">
        <f t="shared" si="9"/>
        <v>0</v>
      </c>
    </row>
    <row r="26" spans="1:4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s="20">
        <v>2960</v>
      </c>
      <c r="T26">
        <v>17102</v>
      </c>
      <c r="U26">
        <v>2</v>
      </c>
      <c r="V26" t="s">
        <v>42</v>
      </c>
      <c r="W26" t="s">
        <v>43</v>
      </c>
      <c r="X26" s="19">
        <v>11</v>
      </c>
      <c r="Y26">
        <v>3</v>
      </c>
      <c r="Z26">
        <v>3</v>
      </c>
      <c r="AA26">
        <v>80</v>
      </c>
      <c r="AB26">
        <v>0</v>
      </c>
      <c r="AC26">
        <v>8</v>
      </c>
      <c r="AD26">
        <v>2</v>
      </c>
      <c r="AE26">
        <v>3</v>
      </c>
      <c r="AF26">
        <v>4</v>
      </c>
      <c r="AG26">
        <v>2</v>
      </c>
      <c r="AH26">
        <v>1</v>
      </c>
      <c r="AI26">
        <v>3</v>
      </c>
      <c r="AJ26">
        <f t="shared" si="0"/>
        <v>1</v>
      </c>
      <c r="AK26">
        <f t="shared" si="1"/>
        <v>0</v>
      </c>
      <c r="AL26">
        <f t="shared" si="2"/>
        <v>1</v>
      </c>
      <c r="AM26">
        <f t="shared" si="3"/>
        <v>2.25</v>
      </c>
      <c r="AN26">
        <f t="shared" si="4"/>
        <v>7104</v>
      </c>
      <c r="AO26">
        <f t="shared" si="5"/>
        <v>0.44444444444444442</v>
      </c>
      <c r="AP26" t="str">
        <f t="shared" si="6"/>
        <v>30-39</v>
      </c>
      <c r="AQ26" t="str">
        <f t="shared" si="7"/>
        <v>Medium</v>
      </c>
      <c r="AR26" t="str">
        <f t="shared" si="8"/>
        <v>Medium</v>
      </c>
      <c r="AS26">
        <f t="shared" si="9"/>
        <v>0</v>
      </c>
    </row>
    <row r="27" spans="1:45" x14ac:dyDescent="0.3">
      <c r="A27">
        <v>35</v>
      </c>
      <c r="B27" t="s">
        <v>43</v>
      </c>
      <c r="C27" t="s">
        <v>36</v>
      </c>
      <c r="D27">
        <v>1282</v>
      </c>
      <c r="E27" t="s">
        <v>45</v>
      </c>
      <c r="F27">
        <v>5</v>
      </c>
      <c r="G27">
        <v>3</v>
      </c>
      <c r="H27" t="s">
        <v>49</v>
      </c>
      <c r="I27">
        <v>1</v>
      </c>
      <c r="J27">
        <v>32</v>
      </c>
      <c r="K27">
        <v>3</v>
      </c>
      <c r="L27" t="s">
        <v>39</v>
      </c>
      <c r="M27">
        <v>58</v>
      </c>
      <c r="N27">
        <v>3</v>
      </c>
      <c r="O27">
        <v>5</v>
      </c>
      <c r="P27" t="s">
        <v>56</v>
      </c>
      <c r="Q27">
        <v>3</v>
      </c>
      <c r="R27" t="s">
        <v>52</v>
      </c>
      <c r="S27" s="20">
        <v>19094</v>
      </c>
      <c r="T27">
        <v>10735</v>
      </c>
      <c r="U27">
        <v>4</v>
      </c>
      <c r="V27" t="s">
        <v>42</v>
      </c>
      <c r="W27" t="s">
        <v>43</v>
      </c>
      <c r="X27" s="19">
        <v>11</v>
      </c>
      <c r="Y27">
        <v>3</v>
      </c>
      <c r="Z27">
        <v>4</v>
      </c>
      <c r="AA27">
        <v>80</v>
      </c>
      <c r="AB27">
        <v>1</v>
      </c>
      <c r="AC27">
        <v>26</v>
      </c>
      <c r="AD27">
        <v>3</v>
      </c>
      <c r="AE27">
        <v>2</v>
      </c>
      <c r="AF27">
        <v>14</v>
      </c>
      <c r="AG27">
        <v>13</v>
      </c>
      <c r="AH27">
        <v>4</v>
      </c>
      <c r="AI27">
        <v>8</v>
      </c>
      <c r="AJ27">
        <f t="shared" si="0"/>
        <v>0</v>
      </c>
      <c r="AK27">
        <f t="shared" si="1"/>
        <v>0</v>
      </c>
      <c r="AL27">
        <f t="shared" si="2"/>
        <v>0</v>
      </c>
      <c r="AM27">
        <f t="shared" si="3"/>
        <v>3</v>
      </c>
      <c r="AN27">
        <f t="shared" si="4"/>
        <v>15275.2</v>
      </c>
      <c r="AO27">
        <f t="shared" si="5"/>
        <v>0.51851851851851849</v>
      </c>
      <c r="AP27" t="str">
        <f t="shared" si="6"/>
        <v>30-39</v>
      </c>
      <c r="AQ27" t="str">
        <f t="shared" si="7"/>
        <v>Very High</v>
      </c>
      <c r="AR27" t="str">
        <f t="shared" si="8"/>
        <v>Short</v>
      </c>
      <c r="AS27">
        <f t="shared" si="9"/>
        <v>0</v>
      </c>
    </row>
    <row r="28" spans="1:4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s="20">
        <v>3919</v>
      </c>
      <c r="T28">
        <v>4681</v>
      </c>
      <c r="U28">
        <v>1</v>
      </c>
      <c r="V28" t="s">
        <v>42</v>
      </c>
      <c r="W28" t="s">
        <v>35</v>
      </c>
      <c r="X28" s="19">
        <v>22</v>
      </c>
      <c r="Y28">
        <v>4</v>
      </c>
      <c r="Z28">
        <v>2</v>
      </c>
      <c r="AA28">
        <v>80</v>
      </c>
      <c r="AB28">
        <v>0</v>
      </c>
      <c r="AC28">
        <v>10</v>
      </c>
      <c r="AD28">
        <v>5</v>
      </c>
      <c r="AE28">
        <v>3</v>
      </c>
      <c r="AF28">
        <v>10</v>
      </c>
      <c r="AG28">
        <v>2</v>
      </c>
      <c r="AH28">
        <v>6</v>
      </c>
      <c r="AI28">
        <v>7</v>
      </c>
      <c r="AJ28">
        <f t="shared" si="0"/>
        <v>1</v>
      </c>
      <c r="AK28">
        <f t="shared" si="1"/>
        <v>1</v>
      </c>
      <c r="AL28">
        <f t="shared" si="2"/>
        <v>0</v>
      </c>
      <c r="AM28">
        <f t="shared" si="3"/>
        <v>2</v>
      </c>
      <c r="AN28">
        <f t="shared" si="4"/>
        <v>4275.272727272727</v>
      </c>
      <c r="AO28">
        <f t="shared" si="5"/>
        <v>0.90909090909090906</v>
      </c>
      <c r="AP28" t="str">
        <f t="shared" si="6"/>
        <v>30-39</v>
      </c>
      <c r="AQ28" t="str">
        <f t="shared" si="7"/>
        <v>Medium</v>
      </c>
      <c r="AR28" t="str">
        <f t="shared" si="8"/>
        <v>Long</v>
      </c>
      <c r="AS28">
        <f t="shared" si="9"/>
        <v>1</v>
      </c>
    </row>
    <row r="29" spans="1:4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s="20">
        <v>6825</v>
      </c>
      <c r="T29">
        <v>21173</v>
      </c>
      <c r="U29">
        <v>0</v>
      </c>
      <c r="V29" t="s">
        <v>42</v>
      </c>
      <c r="W29" t="s">
        <v>43</v>
      </c>
      <c r="X29" s="19">
        <v>11</v>
      </c>
      <c r="Y29">
        <v>3</v>
      </c>
      <c r="Z29">
        <v>4</v>
      </c>
      <c r="AA29">
        <v>80</v>
      </c>
      <c r="AB29">
        <v>1</v>
      </c>
      <c r="AC29">
        <v>10</v>
      </c>
      <c r="AD29">
        <v>2</v>
      </c>
      <c r="AE29">
        <v>3</v>
      </c>
      <c r="AF29">
        <v>9</v>
      </c>
      <c r="AG29">
        <v>7</v>
      </c>
      <c r="AH29">
        <v>4</v>
      </c>
      <c r="AI29">
        <v>2</v>
      </c>
      <c r="AJ29">
        <f t="shared" si="0"/>
        <v>0</v>
      </c>
      <c r="AK29">
        <f t="shared" si="1"/>
        <v>0</v>
      </c>
      <c r="AL29">
        <f t="shared" si="2"/>
        <v>1</v>
      </c>
      <c r="AM29">
        <f t="shared" si="3"/>
        <v>3</v>
      </c>
      <c r="AN29">
        <f t="shared" si="4"/>
        <v>8190</v>
      </c>
      <c r="AO29">
        <f t="shared" si="5"/>
        <v>0.81818181818181823</v>
      </c>
      <c r="AP29" t="str">
        <f t="shared" si="6"/>
        <v>40-49</v>
      </c>
      <c r="AQ29" t="str">
        <f t="shared" si="7"/>
        <v>High</v>
      </c>
      <c r="AR29" t="str">
        <f t="shared" si="8"/>
        <v>Medium</v>
      </c>
      <c r="AS29">
        <f t="shared" si="9"/>
        <v>0</v>
      </c>
    </row>
    <row r="30" spans="1:4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s="20">
        <v>10248</v>
      </c>
      <c r="T30">
        <v>2094</v>
      </c>
      <c r="U30">
        <v>3</v>
      </c>
      <c r="V30" t="s">
        <v>42</v>
      </c>
      <c r="W30" t="s">
        <v>43</v>
      </c>
      <c r="X30" s="19">
        <v>14</v>
      </c>
      <c r="Y30">
        <v>3</v>
      </c>
      <c r="Z30">
        <v>4</v>
      </c>
      <c r="AA30">
        <v>80</v>
      </c>
      <c r="AB30">
        <v>1</v>
      </c>
      <c r="AC30">
        <v>24</v>
      </c>
      <c r="AD30">
        <v>4</v>
      </c>
      <c r="AE30">
        <v>3</v>
      </c>
      <c r="AF30">
        <v>22</v>
      </c>
      <c r="AG30">
        <v>6</v>
      </c>
      <c r="AH30">
        <v>5</v>
      </c>
      <c r="AI30">
        <v>17</v>
      </c>
      <c r="AJ30">
        <f t="shared" si="0"/>
        <v>0</v>
      </c>
      <c r="AK30">
        <f t="shared" si="1"/>
        <v>0</v>
      </c>
      <c r="AL30">
        <f t="shared" si="2"/>
        <v>0</v>
      </c>
      <c r="AM30">
        <f t="shared" si="3"/>
        <v>3</v>
      </c>
      <c r="AN30">
        <f t="shared" si="4"/>
        <v>5346.782608695652</v>
      </c>
      <c r="AO30">
        <f t="shared" si="5"/>
        <v>0.88</v>
      </c>
      <c r="AP30" t="str">
        <f t="shared" si="6"/>
        <v>40-49</v>
      </c>
      <c r="AQ30" t="str">
        <f t="shared" si="7"/>
        <v>Very High</v>
      </c>
      <c r="AR30" t="str">
        <f t="shared" si="8"/>
        <v>Medium</v>
      </c>
      <c r="AS30">
        <f t="shared" si="9"/>
        <v>0</v>
      </c>
    </row>
    <row r="31" spans="1:4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s="20">
        <v>18947</v>
      </c>
      <c r="T31">
        <v>22822</v>
      </c>
      <c r="U31">
        <v>3</v>
      </c>
      <c r="V31" t="s">
        <v>42</v>
      </c>
      <c r="W31" t="s">
        <v>43</v>
      </c>
      <c r="X31" s="19">
        <v>12</v>
      </c>
      <c r="Y31">
        <v>3</v>
      </c>
      <c r="Z31">
        <v>4</v>
      </c>
      <c r="AA31">
        <v>80</v>
      </c>
      <c r="AB31">
        <v>0</v>
      </c>
      <c r="AC31">
        <v>22</v>
      </c>
      <c r="AD31">
        <v>2</v>
      </c>
      <c r="AE31">
        <v>2</v>
      </c>
      <c r="AF31">
        <v>2</v>
      </c>
      <c r="AG31">
        <v>2</v>
      </c>
      <c r="AH31">
        <v>2</v>
      </c>
      <c r="AI31">
        <v>1</v>
      </c>
      <c r="AJ31">
        <f t="shared" si="0"/>
        <v>0</v>
      </c>
      <c r="AK31">
        <f t="shared" si="1"/>
        <v>0</v>
      </c>
      <c r="AL31">
        <f t="shared" si="2"/>
        <v>0</v>
      </c>
      <c r="AM31">
        <f t="shared" si="3"/>
        <v>2.25</v>
      </c>
      <c r="AN31">
        <f t="shared" si="4"/>
        <v>75788</v>
      </c>
      <c r="AO31">
        <f t="shared" si="5"/>
        <v>8.6956521739130432E-2</v>
      </c>
      <c r="AP31" t="str">
        <f t="shared" si="6"/>
        <v>40-49</v>
      </c>
      <c r="AQ31" t="str">
        <f t="shared" si="7"/>
        <v>Very High</v>
      </c>
      <c r="AR31" t="str">
        <f t="shared" si="8"/>
        <v>Short</v>
      </c>
      <c r="AS31">
        <f t="shared" si="9"/>
        <v>0</v>
      </c>
    </row>
    <row r="32" spans="1:4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s="20">
        <v>2496</v>
      </c>
      <c r="T32">
        <v>6670</v>
      </c>
      <c r="U32">
        <v>4</v>
      </c>
      <c r="V32" t="s">
        <v>42</v>
      </c>
      <c r="W32" t="s">
        <v>43</v>
      </c>
      <c r="X32" s="19">
        <v>11</v>
      </c>
      <c r="Y32">
        <v>3</v>
      </c>
      <c r="Z32">
        <v>4</v>
      </c>
      <c r="AA32">
        <v>80</v>
      </c>
      <c r="AB32">
        <v>0</v>
      </c>
      <c r="AC32">
        <v>7</v>
      </c>
      <c r="AD32">
        <v>3</v>
      </c>
      <c r="AE32">
        <v>3</v>
      </c>
      <c r="AF32">
        <v>1</v>
      </c>
      <c r="AG32">
        <v>1</v>
      </c>
      <c r="AH32">
        <v>0</v>
      </c>
      <c r="AI32">
        <v>0</v>
      </c>
      <c r="AJ32">
        <f t="shared" si="0"/>
        <v>0</v>
      </c>
      <c r="AK32">
        <f t="shared" si="1"/>
        <v>0</v>
      </c>
      <c r="AL32">
        <f t="shared" si="2"/>
        <v>1</v>
      </c>
      <c r="AM32">
        <f t="shared" si="3"/>
        <v>3.5</v>
      </c>
      <c r="AN32">
        <f t="shared" si="4"/>
        <v>14976</v>
      </c>
      <c r="AO32">
        <f t="shared" si="5"/>
        <v>0.125</v>
      </c>
      <c r="AP32" t="str">
        <f t="shared" si="6"/>
        <v>30-39</v>
      </c>
      <c r="AQ32" t="str">
        <f t="shared" si="7"/>
        <v>Low</v>
      </c>
      <c r="AR32" t="str">
        <f t="shared" si="8"/>
        <v>Short</v>
      </c>
      <c r="AS32">
        <f t="shared" si="9"/>
        <v>0</v>
      </c>
    </row>
    <row r="33" spans="1:4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s="20">
        <v>6465</v>
      </c>
      <c r="T33">
        <v>19121</v>
      </c>
      <c r="U33">
        <v>2</v>
      </c>
      <c r="V33" t="s">
        <v>42</v>
      </c>
      <c r="W33" t="s">
        <v>35</v>
      </c>
      <c r="X33" s="19">
        <v>13</v>
      </c>
      <c r="Y33">
        <v>3</v>
      </c>
      <c r="Z33">
        <v>4</v>
      </c>
      <c r="AA33">
        <v>80</v>
      </c>
      <c r="AB33">
        <v>0</v>
      </c>
      <c r="AC33">
        <v>9</v>
      </c>
      <c r="AD33">
        <v>5</v>
      </c>
      <c r="AE33">
        <v>4</v>
      </c>
      <c r="AF33">
        <v>4</v>
      </c>
      <c r="AG33">
        <v>2</v>
      </c>
      <c r="AH33">
        <v>1</v>
      </c>
      <c r="AI33">
        <v>3</v>
      </c>
      <c r="AJ33">
        <f t="shared" si="0"/>
        <v>0</v>
      </c>
      <c r="AK33">
        <f t="shared" si="1"/>
        <v>1</v>
      </c>
      <c r="AL33">
        <f t="shared" si="2"/>
        <v>1</v>
      </c>
      <c r="AM33">
        <f t="shared" si="3"/>
        <v>4</v>
      </c>
      <c r="AN33">
        <f t="shared" si="4"/>
        <v>15516</v>
      </c>
      <c r="AO33">
        <f t="shared" si="5"/>
        <v>0.4</v>
      </c>
      <c r="AP33" t="str">
        <f t="shared" si="6"/>
        <v>40-49</v>
      </c>
      <c r="AQ33" t="str">
        <f t="shared" si="7"/>
        <v>High</v>
      </c>
      <c r="AR33" t="str">
        <f t="shared" si="8"/>
        <v>Medium</v>
      </c>
      <c r="AS33">
        <f t="shared" si="9"/>
        <v>0</v>
      </c>
    </row>
    <row r="34" spans="1:4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s="20">
        <v>2206</v>
      </c>
      <c r="T34">
        <v>16117</v>
      </c>
      <c r="U34">
        <v>1</v>
      </c>
      <c r="V34" t="s">
        <v>42</v>
      </c>
      <c r="W34" t="s">
        <v>43</v>
      </c>
      <c r="X34" s="19">
        <v>13</v>
      </c>
      <c r="Y34">
        <v>3</v>
      </c>
      <c r="Z34">
        <v>1</v>
      </c>
      <c r="AA34">
        <v>80</v>
      </c>
      <c r="AB34">
        <v>0</v>
      </c>
      <c r="AC34">
        <v>10</v>
      </c>
      <c r="AD34">
        <v>5</v>
      </c>
      <c r="AE34">
        <v>3</v>
      </c>
      <c r="AF34">
        <v>10</v>
      </c>
      <c r="AG34">
        <v>0</v>
      </c>
      <c r="AH34">
        <v>1</v>
      </c>
      <c r="AI34">
        <v>8</v>
      </c>
      <c r="AJ34">
        <f t="shared" si="0"/>
        <v>0</v>
      </c>
      <c r="AK34">
        <f t="shared" si="1"/>
        <v>0</v>
      </c>
      <c r="AL34">
        <f t="shared" si="2"/>
        <v>1</v>
      </c>
      <c r="AM34">
        <f t="shared" si="3"/>
        <v>2.75</v>
      </c>
      <c r="AN34">
        <f t="shared" si="4"/>
        <v>2406.5454545454545</v>
      </c>
      <c r="AO34">
        <f t="shared" si="5"/>
        <v>0.90909090909090906</v>
      </c>
      <c r="AP34" t="str">
        <f t="shared" si="6"/>
        <v>30-39</v>
      </c>
      <c r="AQ34" t="str">
        <f t="shared" si="7"/>
        <v>Low</v>
      </c>
      <c r="AR34" t="str">
        <f t="shared" si="8"/>
        <v>Medium</v>
      </c>
      <c r="AS34">
        <f t="shared" si="9"/>
        <v>0</v>
      </c>
    </row>
    <row r="35" spans="1:4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s="20">
        <v>2086</v>
      </c>
      <c r="T35">
        <v>3335</v>
      </c>
      <c r="U35">
        <v>3</v>
      </c>
      <c r="V35" t="s">
        <v>42</v>
      </c>
      <c r="W35" t="s">
        <v>43</v>
      </c>
      <c r="X35" s="19">
        <v>14</v>
      </c>
      <c r="Y35">
        <v>3</v>
      </c>
      <c r="Z35">
        <v>3</v>
      </c>
      <c r="AA35">
        <v>80</v>
      </c>
      <c r="AB35">
        <v>1</v>
      </c>
      <c r="AC35">
        <v>19</v>
      </c>
      <c r="AD35">
        <v>6</v>
      </c>
      <c r="AE35">
        <v>4</v>
      </c>
      <c r="AF35">
        <v>1</v>
      </c>
      <c r="AG35">
        <v>0</v>
      </c>
      <c r="AH35">
        <v>0</v>
      </c>
      <c r="AI35">
        <v>0</v>
      </c>
      <c r="AJ35">
        <f t="shared" si="0"/>
        <v>1</v>
      </c>
      <c r="AK35">
        <f t="shared" si="1"/>
        <v>0</v>
      </c>
      <c r="AL35">
        <f t="shared" si="2"/>
        <v>1</v>
      </c>
      <c r="AM35">
        <f t="shared" si="3"/>
        <v>3.75</v>
      </c>
      <c r="AN35">
        <f t="shared" si="4"/>
        <v>12516</v>
      </c>
      <c r="AO35">
        <f t="shared" si="5"/>
        <v>0.05</v>
      </c>
      <c r="AP35" t="str">
        <f t="shared" si="6"/>
        <v>30-39</v>
      </c>
      <c r="AQ35" t="str">
        <f t="shared" si="7"/>
        <v>Low</v>
      </c>
      <c r="AR35" t="str">
        <f t="shared" si="8"/>
        <v>Short</v>
      </c>
      <c r="AS35">
        <f t="shared" si="9"/>
        <v>0</v>
      </c>
    </row>
    <row r="36" spans="1:4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s="20">
        <v>2293</v>
      </c>
      <c r="T36">
        <v>3020</v>
      </c>
      <c r="U36">
        <v>2</v>
      </c>
      <c r="V36" t="s">
        <v>42</v>
      </c>
      <c r="W36" t="s">
        <v>35</v>
      </c>
      <c r="X36" s="19">
        <v>16</v>
      </c>
      <c r="Y36">
        <v>3</v>
      </c>
      <c r="Z36">
        <v>1</v>
      </c>
      <c r="AA36">
        <v>80</v>
      </c>
      <c r="AB36">
        <v>1</v>
      </c>
      <c r="AC36">
        <v>6</v>
      </c>
      <c r="AD36">
        <v>2</v>
      </c>
      <c r="AE36">
        <v>2</v>
      </c>
      <c r="AF36">
        <v>2</v>
      </c>
      <c r="AG36">
        <v>0</v>
      </c>
      <c r="AH36">
        <v>2</v>
      </c>
      <c r="AI36">
        <v>0</v>
      </c>
      <c r="AJ36">
        <f t="shared" si="0"/>
        <v>1</v>
      </c>
      <c r="AK36">
        <f t="shared" si="1"/>
        <v>1</v>
      </c>
      <c r="AL36">
        <f t="shared" si="2"/>
        <v>1</v>
      </c>
      <c r="AM36">
        <f t="shared" si="3"/>
        <v>2.25</v>
      </c>
      <c r="AN36">
        <f t="shared" si="4"/>
        <v>9172</v>
      </c>
      <c r="AO36">
        <f t="shared" si="5"/>
        <v>0.2857142857142857</v>
      </c>
      <c r="AP36" t="str">
        <f t="shared" si="6"/>
        <v>Under 30</v>
      </c>
      <c r="AQ36" t="str">
        <f t="shared" si="7"/>
        <v>Low</v>
      </c>
      <c r="AR36" t="str">
        <f t="shared" si="8"/>
        <v>Short</v>
      </c>
      <c r="AS36">
        <f t="shared" si="9"/>
        <v>0</v>
      </c>
    </row>
    <row r="37" spans="1:45" x14ac:dyDescent="0.3">
      <c r="A37">
        <v>29</v>
      </c>
      <c r="B37" t="s">
        <v>43</v>
      </c>
      <c r="C37" t="s">
        <v>36</v>
      </c>
      <c r="D37">
        <v>1273</v>
      </c>
      <c r="E37" t="s">
        <v>45</v>
      </c>
      <c r="F37">
        <v>2</v>
      </c>
      <c r="G37">
        <v>2</v>
      </c>
      <c r="H37" t="s">
        <v>51</v>
      </c>
      <c r="I37">
        <v>1</v>
      </c>
      <c r="J37">
        <v>46</v>
      </c>
      <c r="K37">
        <v>4</v>
      </c>
      <c r="L37" t="s">
        <v>39</v>
      </c>
      <c r="M37">
        <v>72</v>
      </c>
      <c r="N37">
        <v>4</v>
      </c>
      <c r="O37">
        <v>1</v>
      </c>
      <c r="P37" t="s">
        <v>47</v>
      </c>
      <c r="Q37">
        <v>3</v>
      </c>
      <c r="R37" t="s">
        <v>52</v>
      </c>
      <c r="S37" s="20">
        <v>2645</v>
      </c>
      <c r="T37">
        <v>21923</v>
      </c>
      <c r="U37">
        <v>1</v>
      </c>
      <c r="V37" t="s">
        <v>42</v>
      </c>
      <c r="W37" t="s">
        <v>43</v>
      </c>
      <c r="X37" s="19">
        <v>12</v>
      </c>
      <c r="Y37">
        <v>3</v>
      </c>
      <c r="Z37">
        <v>4</v>
      </c>
      <c r="AA37">
        <v>80</v>
      </c>
      <c r="AB37">
        <v>2</v>
      </c>
      <c r="AC37">
        <v>6</v>
      </c>
      <c r="AD37">
        <v>3</v>
      </c>
      <c r="AE37">
        <v>2</v>
      </c>
      <c r="AF37">
        <v>5</v>
      </c>
      <c r="AG37">
        <v>3</v>
      </c>
      <c r="AH37">
        <v>1</v>
      </c>
      <c r="AI37">
        <v>4</v>
      </c>
      <c r="AJ37">
        <f t="shared" si="0"/>
        <v>0</v>
      </c>
      <c r="AK37">
        <f t="shared" si="1"/>
        <v>0</v>
      </c>
      <c r="AL37">
        <f t="shared" si="2"/>
        <v>0</v>
      </c>
      <c r="AM37">
        <f t="shared" si="3"/>
        <v>3.25</v>
      </c>
      <c r="AN37">
        <f t="shared" si="4"/>
        <v>5290</v>
      </c>
      <c r="AO37">
        <f t="shared" si="5"/>
        <v>0.7142857142857143</v>
      </c>
      <c r="AP37" t="str">
        <f t="shared" si="6"/>
        <v>Under 30</v>
      </c>
      <c r="AQ37" t="str">
        <f t="shared" si="7"/>
        <v>Low</v>
      </c>
      <c r="AR37" t="str">
        <f t="shared" si="8"/>
        <v>Short</v>
      </c>
      <c r="AS37">
        <f t="shared" si="9"/>
        <v>0</v>
      </c>
    </row>
    <row r="38" spans="1:4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s="20">
        <v>2683</v>
      </c>
      <c r="T38">
        <v>3810</v>
      </c>
      <c r="U38">
        <v>1</v>
      </c>
      <c r="V38" t="s">
        <v>42</v>
      </c>
      <c r="W38" t="s">
        <v>35</v>
      </c>
      <c r="X38" s="19">
        <v>14</v>
      </c>
      <c r="Y38">
        <v>3</v>
      </c>
      <c r="Z38">
        <v>3</v>
      </c>
      <c r="AA38">
        <v>80</v>
      </c>
      <c r="AB38">
        <v>0</v>
      </c>
      <c r="AC38">
        <v>3</v>
      </c>
      <c r="AD38">
        <v>2</v>
      </c>
      <c r="AE38">
        <v>3</v>
      </c>
      <c r="AF38">
        <v>3</v>
      </c>
      <c r="AG38">
        <v>2</v>
      </c>
      <c r="AH38">
        <v>0</v>
      </c>
      <c r="AI38">
        <v>2</v>
      </c>
      <c r="AJ38">
        <f t="shared" si="0"/>
        <v>1</v>
      </c>
      <c r="AK38">
        <f t="shared" si="1"/>
        <v>1</v>
      </c>
      <c r="AL38">
        <f t="shared" si="2"/>
        <v>1</v>
      </c>
      <c r="AM38">
        <f t="shared" si="3"/>
        <v>2.5</v>
      </c>
      <c r="AN38">
        <f t="shared" si="4"/>
        <v>8049</v>
      </c>
      <c r="AO38">
        <f t="shared" si="5"/>
        <v>0.75</v>
      </c>
      <c r="AP38" t="str">
        <f t="shared" si="6"/>
        <v>50+</v>
      </c>
      <c r="AQ38" t="str">
        <f t="shared" si="7"/>
        <v>Low</v>
      </c>
      <c r="AR38" t="str">
        <f t="shared" si="8"/>
        <v>Short</v>
      </c>
      <c r="AS38">
        <f t="shared" si="9"/>
        <v>0</v>
      </c>
    </row>
    <row r="39" spans="1:4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s="20">
        <v>2014</v>
      </c>
      <c r="T39">
        <v>9687</v>
      </c>
      <c r="U39">
        <v>1</v>
      </c>
      <c r="V39" t="s">
        <v>42</v>
      </c>
      <c r="W39" t="s">
        <v>43</v>
      </c>
      <c r="X39" s="19">
        <v>13</v>
      </c>
      <c r="Y39">
        <v>3</v>
      </c>
      <c r="Z39">
        <v>1</v>
      </c>
      <c r="AA39">
        <v>80</v>
      </c>
      <c r="AB39">
        <v>0</v>
      </c>
      <c r="AC39">
        <v>2</v>
      </c>
      <c r="AD39">
        <v>3</v>
      </c>
      <c r="AE39">
        <v>3</v>
      </c>
      <c r="AF39">
        <v>2</v>
      </c>
      <c r="AG39">
        <v>2</v>
      </c>
      <c r="AH39">
        <v>2</v>
      </c>
      <c r="AI39">
        <v>2</v>
      </c>
      <c r="AJ39">
        <f t="shared" si="0"/>
        <v>0</v>
      </c>
      <c r="AK39">
        <f t="shared" si="1"/>
        <v>0</v>
      </c>
      <c r="AL39">
        <f t="shared" si="2"/>
        <v>0</v>
      </c>
      <c r="AM39">
        <f t="shared" si="3"/>
        <v>3</v>
      </c>
      <c r="AN39">
        <f t="shared" si="4"/>
        <v>8056</v>
      </c>
      <c r="AO39">
        <f t="shared" si="5"/>
        <v>0.66666666666666663</v>
      </c>
      <c r="AP39" t="str">
        <f t="shared" si="6"/>
        <v>30-39</v>
      </c>
      <c r="AQ39" t="str">
        <f t="shared" si="7"/>
        <v>Low</v>
      </c>
      <c r="AR39" t="str">
        <f t="shared" si="8"/>
        <v>Short</v>
      </c>
      <c r="AS39">
        <f t="shared" si="9"/>
        <v>0</v>
      </c>
    </row>
    <row r="40" spans="1:4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s="20">
        <v>3419</v>
      </c>
      <c r="T40">
        <v>13072</v>
      </c>
      <c r="U40">
        <v>9</v>
      </c>
      <c r="V40" t="s">
        <v>42</v>
      </c>
      <c r="W40" t="s">
        <v>35</v>
      </c>
      <c r="X40" s="19">
        <v>14</v>
      </c>
      <c r="Y40">
        <v>3</v>
      </c>
      <c r="Z40">
        <v>4</v>
      </c>
      <c r="AA40">
        <v>80</v>
      </c>
      <c r="AB40">
        <v>1</v>
      </c>
      <c r="AC40">
        <v>6</v>
      </c>
      <c r="AD40">
        <v>3</v>
      </c>
      <c r="AE40">
        <v>4</v>
      </c>
      <c r="AF40">
        <v>1</v>
      </c>
      <c r="AG40">
        <v>1</v>
      </c>
      <c r="AH40">
        <v>0</v>
      </c>
      <c r="AI40">
        <v>0</v>
      </c>
      <c r="AJ40">
        <f t="shared" si="0"/>
        <v>0</v>
      </c>
      <c r="AK40">
        <f t="shared" si="1"/>
        <v>1</v>
      </c>
      <c r="AL40">
        <f t="shared" si="2"/>
        <v>0</v>
      </c>
      <c r="AM40">
        <f t="shared" si="3"/>
        <v>2.75</v>
      </c>
      <c r="AN40">
        <f t="shared" si="4"/>
        <v>20514</v>
      </c>
      <c r="AO40">
        <f t="shared" si="5"/>
        <v>0.14285714285714285</v>
      </c>
      <c r="AP40" t="str">
        <f t="shared" si="6"/>
        <v>30-39</v>
      </c>
      <c r="AQ40" t="str">
        <f t="shared" si="7"/>
        <v>Medium</v>
      </c>
      <c r="AR40" t="str">
        <f t="shared" si="8"/>
        <v>Short</v>
      </c>
      <c r="AS40">
        <f t="shared" si="9"/>
        <v>0</v>
      </c>
    </row>
    <row r="41" spans="1:4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s="20">
        <v>5376</v>
      </c>
      <c r="T41">
        <v>3193</v>
      </c>
      <c r="U41">
        <v>2</v>
      </c>
      <c r="V41" t="s">
        <v>42</v>
      </c>
      <c r="W41" t="s">
        <v>43</v>
      </c>
      <c r="X41" s="19">
        <v>19</v>
      </c>
      <c r="Y41">
        <v>3</v>
      </c>
      <c r="Z41">
        <v>1</v>
      </c>
      <c r="AA41">
        <v>80</v>
      </c>
      <c r="AB41">
        <v>2</v>
      </c>
      <c r="AC41">
        <v>10</v>
      </c>
      <c r="AD41">
        <v>3</v>
      </c>
      <c r="AE41">
        <v>3</v>
      </c>
      <c r="AF41">
        <v>5</v>
      </c>
      <c r="AG41">
        <v>3</v>
      </c>
      <c r="AH41">
        <v>1</v>
      </c>
      <c r="AI41">
        <v>3</v>
      </c>
      <c r="AJ41">
        <f t="shared" si="0"/>
        <v>0</v>
      </c>
      <c r="AK41">
        <f t="shared" si="1"/>
        <v>0</v>
      </c>
      <c r="AL41">
        <f t="shared" si="2"/>
        <v>0</v>
      </c>
      <c r="AM41">
        <f t="shared" si="3"/>
        <v>2</v>
      </c>
      <c r="AN41">
        <f t="shared" si="4"/>
        <v>10752</v>
      </c>
      <c r="AO41">
        <f t="shared" si="5"/>
        <v>0.45454545454545453</v>
      </c>
      <c r="AP41" t="str">
        <f t="shared" si="6"/>
        <v>30-39</v>
      </c>
      <c r="AQ41" t="str">
        <f t="shared" si="7"/>
        <v>High</v>
      </c>
      <c r="AR41" t="str">
        <f t="shared" si="8"/>
        <v>Short</v>
      </c>
      <c r="AS41">
        <f t="shared" si="9"/>
        <v>1</v>
      </c>
    </row>
    <row r="42" spans="1:4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s="20">
        <v>1951</v>
      </c>
      <c r="T42">
        <v>10910</v>
      </c>
      <c r="U42">
        <v>1</v>
      </c>
      <c r="V42" t="s">
        <v>42</v>
      </c>
      <c r="W42" t="s">
        <v>43</v>
      </c>
      <c r="X42" s="19">
        <v>12</v>
      </c>
      <c r="Y42">
        <v>3</v>
      </c>
      <c r="Z42">
        <v>3</v>
      </c>
      <c r="AA42">
        <v>80</v>
      </c>
      <c r="AB42">
        <v>1</v>
      </c>
      <c r="AC42">
        <v>1</v>
      </c>
      <c r="AD42">
        <v>3</v>
      </c>
      <c r="AE42">
        <v>3</v>
      </c>
      <c r="AF42">
        <v>1</v>
      </c>
      <c r="AG42">
        <v>0</v>
      </c>
      <c r="AH42">
        <v>0</v>
      </c>
      <c r="AI42">
        <v>0</v>
      </c>
      <c r="AJ42">
        <f t="shared" si="0"/>
        <v>0</v>
      </c>
      <c r="AK42">
        <f t="shared" si="1"/>
        <v>0</v>
      </c>
      <c r="AL42">
        <f t="shared" si="2"/>
        <v>1</v>
      </c>
      <c r="AM42">
        <f t="shared" si="3"/>
        <v>3.25</v>
      </c>
      <c r="AN42">
        <f t="shared" si="4"/>
        <v>11706</v>
      </c>
      <c r="AO42">
        <f t="shared" si="5"/>
        <v>0.5</v>
      </c>
      <c r="AP42" t="str">
        <f t="shared" si="6"/>
        <v>30-39</v>
      </c>
      <c r="AQ42" t="str">
        <f t="shared" si="7"/>
        <v>Low</v>
      </c>
      <c r="AR42" t="str">
        <f t="shared" si="8"/>
        <v>Short</v>
      </c>
      <c r="AS42">
        <f t="shared" si="9"/>
        <v>0</v>
      </c>
    </row>
    <row r="43" spans="1:4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s="20">
        <v>2341</v>
      </c>
      <c r="T43">
        <v>19715</v>
      </c>
      <c r="U43">
        <v>1</v>
      </c>
      <c r="V43" t="s">
        <v>42</v>
      </c>
      <c r="W43" t="s">
        <v>43</v>
      </c>
      <c r="X43" s="19">
        <v>13</v>
      </c>
      <c r="Y43">
        <v>3</v>
      </c>
      <c r="Z43">
        <v>4</v>
      </c>
      <c r="AA43">
        <v>80</v>
      </c>
      <c r="AB43">
        <v>1</v>
      </c>
      <c r="AC43">
        <v>1</v>
      </c>
      <c r="AD43">
        <v>6</v>
      </c>
      <c r="AE43">
        <v>3</v>
      </c>
      <c r="AF43">
        <v>1</v>
      </c>
      <c r="AG43">
        <v>0</v>
      </c>
      <c r="AH43">
        <v>0</v>
      </c>
      <c r="AI43">
        <v>0</v>
      </c>
      <c r="AJ43">
        <f t="shared" si="0"/>
        <v>0</v>
      </c>
      <c r="AK43">
        <f t="shared" si="1"/>
        <v>0</v>
      </c>
      <c r="AL43">
        <f t="shared" si="2"/>
        <v>0</v>
      </c>
      <c r="AM43">
        <f t="shared" si="3"/>
        <v>3</v>
      </c>
      <c r="AN43">
        <f t="shared" si="4"/>
        <v>14046</v>
      </c>
      <c r="AO43">
        <f t="shared" si="5"/>
        <v>0.5</v>
      </c>
      <c r="AP43" t="str">
        <f t="shared" si="6"/>
        <v>Under 30</v>
      </c>
      <c r="AQ43" t="str">
        <f t="shared" si="7"/>
        <v>Low</v>
      </c>
      <c r="AR43" t="str">
        <f t="shared" si="8"/>
        <v>Short</v>
      </c>
      <c r="AS43">
        <f t="shared" si="9"/>
        <v>0</v>
      </c>
    </row>
    <row r="44" spans="1:4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s="20">
        <v>2293</v>
      </c>
      <c r="T44">
        <v>10558</v>
      </c>
      <c r="U44">
        <v>1</v>
      </c>
      <c r="V44" t="s">
        <v>42</v>
      </c>
      <c r="W44" t="s">
        <v>43</v>
      </c>
      <c r="X44" s="19">
        <v>12</v>
      </c>
      <c r="Y44">
        <v>3</v>
      </c>
      <c r="Z44">
        <v>3</v>
      </c>
      <c r="AA44">
        <v>80</v>
      </c>
      <c r="AB44">
        <v>0</v>
      </c>
      <c r="AC44">
        <v>1</v>
      </c>
      <c r="AD44">
        <v>2</v>
      </c>
      <c r="AE44">
        <v>2</v>
      </c>
      <c r="AF44">
        <v>1</v>
      </c>
      <c r="AG44">
        <v>0</v>
      </c>
      <c r="AH44">
        <v>0</v>
      </c>
      <c r="AI44">
        <v>1</v>
      </c>
      <c r="AJ44">
        <f t="shared" si="0"/>
        <v>1</v>
      </c>
      <c r="AK44">
        <f t="shared" si="1"/>
        <v>0</v>
      </c>
      <c r="AL44">
        <f t="shared" si="2"/>
        <v>1</v>
      </c>
      <c r="AM44">
        <f t="shared" si="3"/>
        <v>2.25</v>
      </c>
      <c r="AN44">
        <f t="shared" si="4"/>
        <v>13758</v>
      </c>
      <c r="AO44">
        <f t="shared" si="5"/>
        <v>0.5</v>
      </c>
      <c r="AP44" t="str">
        <f t="shared" si="6"/>
        <v>Under 30</v>
      </c>
      <c r="AQ44" t="str">
        <f t="shared" si="7"/>
        <v>Low</v>
      </c>
      <c r="AR44" t="str">
        <f t="shared" si="8"/>
        <v>Long</v>
      </c>
      <c r="AS44">
        <f t="shared" si="9"/>
        <v>0</v>
      </c>
    </row>
    <row r="45" spans="1:4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s="20">
        <v>8726</v>
      </c>
      <c r="T45">
        <v>2975</v>
      </c>
      <c r="U45">
        <v>1</v>
      </c>
      <c r="V45" t="s">
        <v>42</v>
      </c>
      <c r="W45" t="s">
        <v>43</v>
      </c>
      <c r="X45" s="19">
        <v>15</v>
      </c>
      <c r="Y45">
        <v>3</v>
      </c>
      <c r="Z45">
        <v>4</v>
      </c>
      <c r="AA45">
        <v>80</v>
      </c>
      <c r="AB45">
        <v>0</v>
      </c>
      <c r="AC45">
        <v>9</v>
      </c>
      <c r="AD45">
        <v>0</v>
      </c>
      <c r="AE45">
        <v>3</v>
      </c>
      <c r="AF45">
        <v>9</v>
      </c>
      <c r="AG45">
        <v>8</v>
      </c>
      <c r="AH45">
        <v>1</v>
      </c>
      <c r="AI45">
        <v>7</v>
      </c>
      <c r="AJ45">
        <f t="shared" si="0"/>
        <v>0</v>
      </c>
      <c r="AK45">
        <f t="shared" si="1"/>
        <v>0</v>
      </c>
      <c r="AL45">
        <f t="shared" si="2"/>
        <v>1</v>
      </c>
      <c r="AM45">
        <f t="shared" si="3"/>
        <v>3.5</v>
      </c>
      <c r="AN45">
        <f t="shared" si="4"/>
        <v>10471.200000000001</v>
      </c>
      <c r="AO45">
        <f t="shared" si="5"/>
        <v>0.9</v>
      </c>
      <c r="AP45" t="str">
        <f t="shared" si="6"/>
        <v>Under 30</v>
      </c>
      <c r="AQ45" t="str">
        <f t="shared" si="7"/>
        <v>Very High</v>
      </c>
      <c r="AR45" t="str">
        <f t="shared" si="8"/>
        <v>Medium</v>
      </c>
      <c r="AS45">
        <f t="shared" si="9"/>
        <v>1</v>
      </c>
    </row>
    <row r="46" spans="1:4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s="20">
        <v>4011</v>
      </c>
      <c r="T46">
        <v>10781</v>
      </c>
      <c r="U46">
        <v>1</v>
      </c>
      <c r="V46" t="s">
        <v>42</v>
      </c>
      <c r="W46" t="s">
        <v>43</v>
      </c>
      <c r="X46" s="19">
        <v>23</v>
      </c>
      <c r="Y46">
        <v>4</v>
      </c>
      <c r="Z46">
        <v>4</v>
      </c>
      <c r="AA46">
        <v>80</v>
      </c>
      <c r="AB46">
        <v>0</v>
      </c>
      <c r="AC46">
        <v>12</v>
      </c>
      <c r="AD46">
        <v>2</v>
      </c>
      <c r="AE46">
        <v>3</v>
      </c>
      <c r="AF46">
        <v>12</v>
      </c>
      <c r="AG46">
        <v>8</v>
      </c>
      <c r="AH46">
        <v>3</v>
      </c>
      <c r="AI46">
        <v>7</v>
      </c>
      <c r="AJ46">
        <f t="shared" si="0"/>
        <v>0</v>
      </c>
      <c r="AK46">
        <f t="shared" si="1"/>
        <v>0</v>
      </c>
      <c r="AL46">
        <f t="shared" si="2"/>
        <v>0</v>
      </c>
      <c r="AM46">
        <f t="shared" si="3"/>
        <v>3.5</v>
      </c>
      <c r="AN46">
        <f t="shared" si="4"/>
        <v>3702.4615384615386</v>
      </c>
      <c r="AO46">
        <f t="shared" si="5"/>
        <v>0.92307692307692313</v>
      </c>
      <c r="AP46" t="str">
        <f t="shared" si="6"/>
        <v>30-39</v>
      </c>
      <c r="AQ46" t="str">
        <f t="shared" si="7"/>
        <v>Medium</v>
      </c>
      <c r="AR46" t="str">
        <f t="shared" si="8"/>
        <v>Short</v>
      </c>
      <c r="AS46">
        <f t="shared" si="9"/>
        <v>1</v>
      </c>
    </row>
    <row r="47" spans="1:45" x14ac:dyDescent="0.3">
      <c r="A47">
        <v>44</v>
      </c>
      <c r="B47" t="s">
        <v>35</v>
      </c>
      <c r="C47" t="s">
        <v>36</v>
      </c>
      <c r="D47">
        <v>1360</v>
      </c>
      <c r="E47" t="s">
        <v>45</v>
      </c>
      <c r="F47">
        <v>12</v>
      </c>
      <c r="G47">
        <v>3</v>
      </c>
      <c r="H47" t="s">
        <v>60</v>
      </c>
      <c r="I47">
        <v>1</v>
      </c>
      <c r="J47">
        <v>58</v>
      </c>
      <c r="K47">
        <v>2</v>
      </c>
      <c r="L47" t="s">
        <v>39</v>
      </c>
      <c r="M47">
        <v>49</v>
      </c>
      <c r="N47">
        <v>3</v>
      </c>
      <c r="O47">
        <v>5</v>
      </c>
      <c r="P47" t="s">
        <v>58</v>
      </c>
      <c r="Q47">
        <v>3</v>
      </c>
      <c r="R47" t="s">
        <v>48</v>
      </c>
      <c r="S47" s="20">
        <v>19545</v>
      </c>
      <c r="T47">
        <v>16280</v>
      </c>
      <c r="U47">
        <v>1</v>
      </c>
      <c r="V47" t="s">
        <v>42</v>
      </c>
      <c r="W47" t="s">
        <v>43</v>
      </c>
      <c r="X47" s="19">
        <v>12</v>
      </c>
      <c r="Y47">
        <v>3</v>
      </c>
      <c r="Z47">
        <v>4</v>
      </c>
      <c r="AA47">
        <v>80</v>
      </c>
      <c r="AB47">
        <v>0</v>
      </c>
      <c r="AC47">
        <v>23</v>
      </c>
      <c r="AD47">
        <v>0</v>
      </c>
      <c r="AE47">
        <v>3</v>
      </c>
      <c r="AF47">
        <v>22</v>
      </c>
      <c r="AG47">
        <v>15</v>
      </c>
      <c r="AH47">
        <v>15</v>
      </c>
      <c r="AI47">
        <v>8</v>
      </c>
      <c r="AJ47">
        <f t="shared" si="0"/>
        <v>1</v>
      </c>
      <c r="AK47">
        <f t="shared" si="1"/>
        <v>0</v>
      </c>
      <c r="AL47">
        <f t="shared" si="2"/>
        <v>0</v>
      </c>
      <c r="AM47">
        <f t="shared" si="3"/>
        <v>3</v>
      </c>
      <c r="AN47">
        <f t="shared" si="4"/>
        <v>10197.391304347826</v>
      </c>
      <c r="AO47">
        <f t="shared" si="5"/>
        <v>0.91666666666666663</v>
      </c>
      <c r="AP47" t="str">
        <f t="shared" si="6"/>
        <v>40-49</v>
      </c>
      <c r="AQ47" t="str">
        <f t="shared" si="7"/>
        <v>Very High</v>
      </c>
      <c r="AR47" t="str">
        <f t="shared" si="8"/>
        <v>Medium</v>
      </c>
      <c r="AS47">
        <f t="shared" si="9"/>
        <v>0</v>
      </c>
    </row>
    <row r="48" spans="1:4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s="20">
        <v>4568</v>
      </c>
      <c r="T48">
        <v>10034</v>
      </c>
      <c r="U48">
        <v>0</v>
      </c>
      <c r="V48" t="s">
        <v>42</v>
      </c>
      <c r="W48" t="s">
        <v>43</v>
      </c>
      <c r="X48" s="19">
        <v>20</v>
      </c>
      <c r="Y48">
        <v>4</v>
      </c>
      <c r="Z48">
        <v>3</v>
      </c>
      <c r="AA48">
        <v>80</v>
      </c>
      <c r="AB48">
        <v>0</v>
      </c>
      <c r="AC48">
        <v>10</v>
      </c>
      <c r="AD48">
        <v>2</v>
      </c>
      <c r="AE48">
        <v>3</v>
      </c>
      <c r="AF48">
        <v>9</v>
      </c>
      <c r="AG48">
        <v>5</v>
      </c>
      <c r="AH48">
        <v>8</v>
      </c>
      <c r="AI48">
        <v>7</v>
      </c>
      <c r="AJ48">
        <f t="shared" si="0"/>
        <v>0</v>
      </c>
      <c r="AK48">
        <f t="shared" si="1"/>
        <v>0</v>
      </c>
      <c r="AL48">
        <f t="shared" si="2"/>
        <v>1</v>
      </c>
      <c r="AM48">
        <f t="shared" si="3"/>
        <v>2.75</v>
      </c>
      <c r="AN48">
        <f t="shared" si="4"/>
        <v>5481.6</v>
      </c>
      <c r="AO48">
        <f t="shared" si="5"/>
        <v>0.81818181818181823</v>
      </c>
      <c r="AP48" t="str">
        <f t="shared" si="6"/>
        <v>30-39</v>
      </c>
      <c r="AQ48" t="str">
        <f t="shared" si="7"/>
        <v>Medium</v>
      </c>
      <c r="AR48" t="str">
        <f t="shared" si="8"/>
        <v>Long</v>
      </c>
      <c r="AS48">
        <f t="shared" si="9"/>
        <v>0</v>
      </c>
    </row>
    <row r="49" spans="1:4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s="20">
        <v>3022</v>
      </c>
      <c r="T49">
        <v>10227</v>
      </c>
      <c r="U49">
        <v>4</v>
      </c>
      <c r="V49" t="s">
        <v>42</v>
      </c>
      <c r="W49" t="s">
        <v>43</v>
      </c>
      <c r="X49" s="19">
        <v>21</v>
      </c>
      <c r="Y49">
        <v>4</v>
      </c>
      <c r="Z49">
        <v>1</v>
      </c>
      <c r="AA49">
        <v>80</v>
      </c>
      <c r="AB49">
        <v>0</v>
      </c>
      <c r="AC49">
        <v>8</v>
      </c>
      <c r="AD49">
        <v>1</v>
      </c>
      <c r="AE49">
        <v>3</v>
      </c>
      <c r="AF49">
        <v>1</v>
      </c>
      <c r="AG49">
        <v>0</v>
      </c>
      <c r="AH49">
        <v>0</v>
      </c>
      <c r="AI49">
        <v>0</v>
      </c>
      <c r="AJ49">
        <f t="shared" si="0"/>
        <v>0</v>
      </c>
      <c r="AK49">
        <f t="shared" si="1"/>
        <v>0</v>
      </c>
      <c r="AL49">
        <f t="shared" si="2"/>
        <v>1</v>
      </c>
      <c r="AM49">
        <f t="shared" si="3"/>
        <v>2</v>
      </c>
      <c r="AN49">
        <f t="shared" si="4"/>
        <v>18132</v>
      </c>
      <c r="AO49">
        <f t="shared" si="5"/>
        <v>0.1111111111111111</v>
      </c>
      <c r="AP49" t="str">
        <f t="shared" si="6"/>
        <v>30-39</v>
      </c>
      <c r="AQ49" t="str">
        <f t="shared" si="7"/>
        <v>Medium</v>
      </c>
      <c r="AR49" t="str">
        <f t="shared" si="8"/>
        <v>Long</v>
      </c>
      <c r="AS49">
        <f t="shared" si="9"/>
        <v>0</v>
      </c>
    </row>
    <row r="50" spans="1:4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s="20">
        <v>5772</v>
      </c>
      <c r="T50">
        <v>20445</v>
      </c>
      <c r="U50">
        <v>4</v>
      </c>
      <c r="V50" t="s">
        <v>42</v>
      </c>
      <c r="W50" t="s">
        <v>35</v>
      </c>
      <c r="X50" s="19">
        <v>21</v>
      </c>
      <c r="Y50">
        <v>4</v>
      </c>
      <c r="Z50">
        <v>3</v>
      </c>
      <c r="AA50">
        <v>80</v>
      </c>
      <c r="AB50">
        <v>0</v>
      </c>
      <c r="AC50">
        <v>14</v>
      </c>
      <c r="AD50">
        <v>4</v>
      </c>
      <c r="AE50">
        <v>3</v>
      </c>
      <c r="AF50">
        <v>9</v>
      </c>
      <c r="AG50">
        <v>6</v>
      </c>
      <c r="AH50">
        <v>0</v>
      </c>
      <c r="AI50">
        <v>8</v>
      </c>
      <c r="AJ50">
        <f t="shared" si="0"/>
        <v>0</v>
      </c>
      <c r="AK50">
        <f t="shared" si="1"/>
        <v>1</v>
      </c>
      <c r="AL50">
        <f t="shared" si="2"/>
        <v>1</v>
      </c>
      <c r="AM50">
        <f t="shared" si="3"/>
        <v>2.75</v>
      </c>
      <c r="AN50">
        <f t="shared" si="4"/>
        <v>6926.4</v>
      </c>
      <c r="AO50">
        <f t="shared" si="5"/>
        <v>0.6</v>
      </c>
      <c r="AP50" t="str">
        <f t="shared" si="6"/>
        <v>40-49</v>
      </c>
      <c r="AQ50" t="str">
        <f t="shared" si="7"/>
        <v>High</v>
      </c>
      <c r="AR50" t="str">
        <f t="shared" si="8"/>
        <v>Short</v>
      </c>
      <c r="AS50">
        <f t="shared" si="9"/>
        <v>1</v>
      </c>
    </row>
    <row r="51" spans="1:4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s="20">
        <v>2269</v>
      </c>
      <c r="T51">
        <v>4892</v>
      </c>
      <c r="U51">
        <v>1</v>
      </c>
      <c r="V51" t="s">
        <v>42</v>
      </c>
      <c r="W51" t="s">
        <v>43</v>
      </c>
      <c r="X51" s="19">
        <v>19</v>
      </c>
      <c r="Y51">
        <v>3</v>
      </c>
      <c r="Z51">
        <v>4</v>
      </c>
      <c r="AA51">
        <v>80</v>
      </c>
      <c r="AB51">
        <v>0</v>
      </c>
      <c r="AC51">
        <v>1</v>
      </c>
      <c r="AD51">
        <v>2</v>
      </c>
      <c r="AE51">
        <v>3</v>
      </c>
      <c r="AF51">
        <v>1</v>
      </c>
      <c r="AG51">
        <v>0</v>
      </c>
      <c r="AH51">
        <v>0</v>
      </c>
      <c r="AI51">
        <v>1</v>
      </c>
      <c r="AJ51">
        <f t="shared" si="0"/>
        <v>0</v>
      </c>
      <c r="AK51">
        <f t="shared" si="1"/>
        <v>0</v>
      </c>
      <c r="AL51">
        <f t="shared" si="2"/>
        <v>1</v>
      </c>
      <c r="AM51">
        <f t="shared" si="3"/>
        <v>3.75</v>
      </c>
      <c r="AN51">
        <f t="shared" si="4"/>
        <v>13614</v>
      </c>
      <c r="AO51">
        <f t="shared" si="5"/>
        <v>0.5</v>
      </c>
      <c r="AP51" t="str">
        <f t="shared" si="6"/>
        <v>30-39</v>
      </c>
      <c r="AQ51" t="str">
        <f t="shared" si="7"/>
        <v>Low</v>
      </c>
      <c r="AR51" t="str">
        <f t="shared" si="8"/>
        <v>Medium</v>
      </c>
      <c r="AS51">
        <f t="shared" si="9"/>
        <v>0</v>
      </c>
    </row>
    <row r="52" spans="1:4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s="20">
        <v>5381</v>
      </c>
      <c r="T52">
        <v>19294</v>
      </c>
      <c r="U52">
        <v>9</v>
      </c>
      <c r="V52" t="s">
        <v>42</v>
      </c>
      <c r="W52" t="s">
        <v>35</v>
      </c>
      <c r="X52" s="19">
        <v>13</v>
      </c>
      <c r="Y52">
        <v>3</v>
      </c>
      <c r="Z52">
        <v>4</v>
      </c>
      <c r="AA52">
        <v>80</v>
      </c>
      <c r="AB52">
        <v>0</v>
      </c>
      <c r="AC52">
        <v>23</v>
      </c>
      <c r="AD52">
        <v>2</v>
      </c>
      <c r="AE52">
        <v>3</v>
      </c>
      <c r="AF52">
        <v>1</v>
      </c>
      <c r="AG52">
        <v>0</v>
      </c>
      <c r="AH52">
        <v>0</v>
      </c>
      <c r="AI52">
        <v>0</v>
      </c>
      <c r="AJ52">
        <f t="shared" si="0"/>
        <v>1</v>
      </c>
      <c r="AK52">
        <f t="shared" si="1"/>
        <v>1</v>
      </c>
      <c r="AL52">
        <f t="shared" si="2"/>
        <v>1</v>
      </c>
      <c r="AM52">
        <f t="shared" si="3"/>
        <v>2.75</v>
      </c>
      <c r="AN52">
        <f t="shared" si="4"/>
        <v>32286</v>
      </c>
      <c r="AO52">
        <f t="shared" si="5"/>
        <v>4.1666666666666664E-2</v>
      </c>
      <c r="AP52" t="str">
        <f t="shared" si="6"/>
        <v>40-49</v>
      </c>
      <c r="AQ52" t="str">
        <f t="shared" si="7"/>
        <v>High</v>
      </c>
      <c r="AR52" t="str">
        <f t="shared" si="8"/>
        <v>Short</v>
      </c>
      <c r="AS52">
        <f t="shared" si="9"/>
        <v>0</v>
      </c>
    </row>
    <row r="53" spans="1:4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s="20">
        <v>3441</v>
      </c>
      <c r="T53">
        <v>11179</v>
      </c>
      <c r="U53">
        <v>1</v>
      </c>
      <c r="V53" t="s">
        <v>42</v>
      </c>
      <c r="W53" t="s">
        <v>35</v>
      </c>
      <c r="X53" s="19">
        <v>13</v>
      </c>
      <c r="Y53">
        <v>3</v>
      </c>
      <c r="Z53">
        <v>3</v>
      </c>
      <c r="AA53">
        <v>80</v>
      </c>
      <c r="AB53">
        <v>0</v>
      </c>
      <c r="AC53">
        <v>2</v>
      </c>
      <c r="AD53">
        <v>3</v>
      </c>
      <c r="AE53">
        <v>2</v>
      </c>
      <c r="AF53">
        <v>2</v>
      </c>
      <c r="AG53">
        <v>2</v>
      </c>
      <c r="AH53">
        <v>2</v>
      </c>
      <c r="AI53">
        <v>2</v>
      </c>
      <c r="AJ53">
        <f t="shared" si="0"/>
        <v>1</v>
      </c>
      <c r="AK53">
        <f t="shared" si="1"/>
        <v>1</v>
      </c>
      <c r="AL53">
        <f t="shared" si="2"/>
        <v>1</v>
      </c>
      <c r="AM53">
        <f t="shared" si="3"/>
        <v>2.75</v>
      </c>
      <c r="AN53">
        <f t="shared" si="4"/>
        <v>13764</v>
      </c>
      <c r="AO53">
        <f t="shared" si="5"/>
        <v>0.66666666666666663</v>
      </c>
      <c r="AP53" t="str">
        <f t="shared" si="6"/>
        <v>Under 30</v>
      </c>
      <c r="AQ53" t="str">
        <f t="shared" si="7"/>
        <v>Medium</v>
      </c>
      <c r="AR53" t="str">
        <f t="shared" si="8"/>
        <v>Short</v>
      </c>
      <c r="AS53">
        <f t="shared" si="9"/>
        <v>0</v>
      </c>
    </row>
    <row r="54" spans="1:4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s="20">
        <v>5454</v>
      </c>
      <c r="T54">
        <v>4009</v>
      </c>
      <c r="U54">
        <v>5</v>
      </c>
      <c r="V54" t="s">
        <v>42</v>
      </c>
      <c r="W54" t="s">
        <v>35</v>
      </c>
      <c r="X54" s="19">
        <v>21</v>
      </c>
      <c r="Y54">
        <v>4</v>
      </c>
      <c r="Z54">
        <v>3</v>
      </c>
      <c r="AA54">
        <v>80</v>
      </c>
      <c r="AB54">
        <v>1</v>
      </c>
      <c r="AC54">
        <v>9</v>
      </c>
      <c r="AD54">
        <v>2</v>
      </c>
      <c r="AE54">
        <v>2</v>
      </c>
      <c r="AF54">
        <v>4</v>
      </c>
      <c r="AG54">
        <v>3</v>
      </c>
      <c r="AH54">
        <v>1</v>
      </c>
      <c r="AI54">
        <v>3</v>
      </c>
      <c r="AJ54">
        <f t="shared" si="0"/>
        <v>0</v>
      </c>
      <c r="AK54">
        <f t="shared" si="1"/>
        <v>1</v>
      </c>
      <c r="AL54">
        <f t="shared" si="2"/>
        <v>0</v>
      </c>
      <c r="AM54">
        <f t="shared" si="3"/>
        <v>2</v>
      </c>
      <c r="AN54">
        <f t="shared" si="4"/>
        <v>13089.6</v>
      </c>
      <c r="AO54">
        <f t="shared" si="5"/>
        <v>0.4</v>
      </c>
      <c r="AP54" t="str">
        <f t="shared" si="6"/>
        <v>40-49</v>
      </c>
      <c r="AQ54" t="str">
        <f t="shared" si="7"/>
        <v>High</v>
      </c>
      <c r="AR54" t="str">
        <f t="shared" si="8"/>
        <v>Short</v>
      </c>
      <c r="AS54">
        <f t="shared" si="9"/>
        <v>0</v>
      </c>
    </row>
    <row r="55" spans="1:4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s="20">
        <v>9884</v>
      </c>
      <c r="T55">
        <v>8302</v>
      </c>
      <c r="U55">
        <v>2</v>
      </c>
      <c r="V55" t="s">
        <v>42</v>
      </c>
      <c r="W55" t="s">
        <v>35</v>
      </c>
      <c r="X55" s="19">
        <v>13</v>
      </c>
      <c r="Y55">
        <v>3</v>
      </c>
      <c r="Z55">
        <v>3</v>
      </c>
      <c r="AA55">
        <v>80</v>
      </c>
      <c r="AB55">
        <v>1</v>
      </c>
      <c r="AC55">
        <v>10</v>
      </c>
      <c r="AD55">
        <v>3</v>
      </c>
      <c r="AE55">
        <v>3</v>
      </c>
      <c r="AF55">
        <v>4</v>
      </c>
      <c r="AG55">
        <v>0</v>
      </c>
      <c r="AH55">
        <v>2</v>
      </c>
      <c r="AI55">
        <v>3</v>
      </c>
      <c r="AJ55">
        <f t="shared" si="0"/>
        <v>0</v>
      </c>
      <c r="AK55">
        <f t="shared" si="1"/>
        <v>1</v>
      </c>
      <c r="AL55">
        <f t="shared" si="2"/>
        <v>1</v>
      </c>
      <c r="AM55">
        <f t="shared" si="3"/>
        <v>2.5</v>
      </c>
      <c r="AN55">
        <f t="shared" si="4"/>
        <v>23721.599999999999</v>
      </c>
      <c r="AO55">
        <f t="shared" si="5"/>
        <v>0.36363636363636365</v>
      </c>
      <c r="AP55" t="str">
        <f t="shared" si="6"/>
        <v>30-39</v>
      </c>
      <c r="AQ55" t="str">
        <f t="shared" si="7"/>
        <v>Very High</v>
      </c>
      <c r="AR55" t="str">
        <f t="shared" si="8"/>
        <v>Medium</v>
      </c>
      <c r="AS55">
        <f t="shared" si="9"/>
        <v>0</v>
      </c>
    </row>
    <row r="56" spans="1:4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s="20">
        <v>4157</v>
      </c>
      <c r="T56">
        <v>21436</v>
      </c>
      <c r="U56">
        <v>7</v>
      </c>
      <c r="V56" t="s">
        <v>42</v>
      </c>
      <c r="W56" t="s">
        <v>35</v>
      </c>
      <c r="X56" s="19">
        <v>19</v>
      </c>
      <c r="Y56">
        <v>3</v>
      </c>
      <c r="Z56">
        <v>3</v>
      </c>
      <c r="AA56">
        <v>80</v>
      </c>
      <c r="AB56">
        <v>1</v>
      </c>
      <c r="AC56">
        <v>5</v>
      </c>
      <c r="AD56">
        <v>2</v>
      </c>
      <c r="AE56">
        <v>2</v>
      </c>
      <c r="AF56">
        <v>2</v>
      </c>
      <c r="AG56">
        <v>2</v>
      </c>
      <c r="AH56">
        <v>0</v>
      </c>
      <c r="AI56">
        <v>0</v>
      </c>
      <c r="AJ56">
        <f t="shared" si="0"/>
        <v>0</v>
      </c>
      <c r="AK56">
        <f t="shared" si="1"/>
        <v>1</v>
      </c>
      <c r="AL56">
        <f t="shared" si="2"/>
        <v>0</v>
      </c>
      <c r="AM56">
        <f t="shared" si="3"/>
        <v>3</v>
      </c>
      <c r="AN56">
        <f t="shared" si="4"/>
        <v>16628</v>
      </c>
      <c r="AO56">
        <f t="shared" si="5"/>
        <v>0.33333333333333331</v>
      </c>
      <c r="AP56" t="str">
        <f t="shared" si="6"/>
        <v>Under 30</v>
      </c>
      <c r="AQ56" t="str">
        <f t="shared" si="7"/>
        <v>Medium</v>
      </c>
      <c r="AR56" t="str">
        <f t="shared" si="8"/>
        <v>Long</v>
      </c>
      <c r="AS56">
        <f t="shared" si="9"/>
        <v>0</v>
      </c>
    </row>
    <row r="57" spans="1:4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s="20">
        <v>5993</v>
      </c>
      <c r="T57">
        <v>15146</v>
      </c>
      <c r="U57">
        <v>1</v>
      </c>
      <c r="V57" t="s">
        <v>42</v>
      </c>
      <c r="W57" t="s">
        <v>35</v>
      </c>
      <c r="X57" s="19">
        <v>12</v>
      </c>
      <c r="Y57">
        <v>3</v>
      </c>
      <c r="Z57">
        <v>3</v>
      </c>
      <c r="AA57">
        <v>80</v>
      </c>
      <c r="AB57">
        <v>0</v>
      </c>
      <c r="AC57">
        <v>15</v>
      </c>
      <c r="AD57">
        <v>1</v>
      </c>
      <c r="AE57">
        <v>3</v>
      </c>
      <c r="AF57">
        <v>15</v>
      </c>
      <c r="AG57">
        <v>14</v>
      </c>
      <c r="AH57">
        <v>8</v>
      </c>
      <c r="AI57">
        <v>12</v>
      </c>
      <c r="AJ57">
        <f t="shared" si="0"/>
        <v>0</v>
      </c>
      <c r="AK57">
        <f t="shared" si="1"/>
        <v>1</v>
      </c>
      <c r="AL57">
        <f t="shared" si="2"/>
        <v>0</v>
      </c>
      <c r="AM57">
        <f t="shared" si="3"/>
        <v>2.75</v>
      </c>
      <c r="AN57">
        <f t="shared" si="4"/>
        <v>4494.75</v>
      </c>
      <c r="AO57">
        <f t="shared" si="5"/>
        <v>0.9375</v>
      </c>
      <c r="AP57" t="str">
        <f t="shared" si="6"/>
        <v>30-39</v>
      </c>
      <c r="AQ57" t="str">
        <f t="shared" si="7"/>
        <v>High</v>
      </c>
      <c r="AR57" t="str">
        <f t="shared" si="8"/>
        <v>Short</v>
      </c>
      <c r="AS57">
        <f t="shared" si="9"/>
        <v>1</v>
      </c>
    </row>
    <row r="58" spans="1:4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s="20">
        <v>9069</v>
      </c>
      <c r="T58">
        <v>11031</v>
      </c>
      <c r="U58">
        <v>1</v>
      </c>
      <c r="V58" t="s">
        <v>42</v>
      </c>
      <c r="W58" t="s">
        <v>43</v>
      </c>
      <c r="X58" s="19">
        <v>22</v>
      </c>
      <c r="Y58">
        <v>4</v>
      </c>
      <c r="Z58">
        <v>4</v>
      </c>
      <c r="AA58">
        <v>80</v>
      </c>
      <c r="AB58">
        <v>1</v>
      </c>
      <c r="AC58">
        <v>9</v>
      </c>
      <c r="AD58">
        <v>3</v>
      </c>
      <c r="AE58">
        <v>2</v>
      </c>
      <c r="AF58">
        <v>9</v>
      </c>
      <c r="AG58">
        <v>8</v>
      </c>
      <c r="AH58">
        <v>1</v>
      </c>
      <c r="AI58">
        <v>8</v>
      </c>
      <c r="AJ58">
        <f t="shared" si="0"/>
        <v>0</v>
      </c>
      <c r="AK58">
        <f t="shared" si="1"/>
        <v>0</v>
      </c>
      <c r="AL58">
        <f t="shared" si="2"/>
        <v>1</v>
      </c>
      <c r="AM58">
        <f t="shared" si="3"/>
        <v>2.25</v>
      </c>
      <c r="AN58">
        <f t="shared" si="4"/>
        <v>10882.8</v>
      </c>
      <c r="AO58">
        <f t="shared" si="5"/>
        <v>0.9</v>
      </c>
      <c r="AP58" t="str">
        <f t="shared" si="6"/>
        <v>30-39</v>
      </c>
      <c r="AQ58" t="str">
        <f t="shared" si="7"/>
        <v>Very High</v>
      </c>
      <c r="AR58" t="str">
        <f t="shared" si="8"/>
        <v>Long</v>
      </c>
      <c r="AS58">
        <f t="shared" si="9"/>
        <v>1</v>
      </c>
    </row>
    <row r="59" spans="1:4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s="20">
        <v>4014</v>
      </c>
      <c r="T59">
        <v>16002</v>
      </c>
      <c r="U59">
        <v>3</v>
      </c>
      <c r="V59" t="s">
        <v>42</v>
      </c>
      <c r="W59" t="s">
        <v>35</v>
      </c>
      <c r="X59" s="19">
        <v>15</v>
      </c>
      <c r="Y59">
        <v>3</v>
      </c>
      <c r="Z59">
        <v>3</v>
      </c>
      <c r="AA59">
        <v>80</v>
      </c>
      <c r="AB59">
        <v>1</v>
      </c>
      <c r="AC59">
        <v>4</v>
      </c>
      <c r="AD59">
        <v>3</v>
      </c>
      <c r="AE59">
        <v>3</v>
      </c>
      <c r="AF59">
        <v>2</v>
      </c>
      <c r="AG59">
        <v>2</v>
      </c>
      <c r="AH59">
        <v>2</v>
      </c>
      <c r="AI59">
        <v>2</v>
      </c>
      <c r="AJ59">
        <f t="shared" si="0"/>
        <v>0</v>
      </c>
      <c r="AK59">
        <f t="shared" si="1"/>
        <v>1</v>
      </c>
      <c r="AL59">
        <f t="shared" si="2"/>
        <v>0</v>
      </c>
      <c r="AM59">
        <f t="shared" si="3"/>
        <v>2.5</v>
      </c>
      <c r="AN59">
        <f t="shared" si="4"/>
        <v>16056</v>
      </c>
      <c r="AO59">
        <f t="shared" si="5"/>
        <v>0.4</v>
      </c>
      <c r="AP59" t="str">
        <f t="shared" si="6"/>
        <v>30-39</v>
      </c>
      <c r="AQ59" t="str">
        <f t="shared" si="7"/>
        <v>Medium</v>
      </c>
      <c r="AR59" t="str">
        <f t="shared" si="8"/>
        <v>Long</v>
      </c>
      <c r="AS59">
        <f t="shared" si="9"/>
        <v>0</v>
      </c>
    </row>
    <row r="60" spans="1:4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s="20">
        <v>5915</v>
      </c>
      <c r="T60">
        <v>9528</v>
      </c>
      <c r="U60">
        <v>3</v>
      </c>
      <c r="V60" t="s">
        <v>42</v>
      </c>
      <c r="W60" t="s">
        <v>43</v>
      </c>
      <c r="X60" s="19">
        <v>22</v>
      </c>
      <c r="Y60">
        <v>4</v>
      </c>
      <c r="Z60">
        <v>4</v>
      </c>
      <c r="AA60">
        <v>80</v>
      </c>
      <c r="AB60">
        <v>1</v>
      </c>
      <c r="AC60">
        <v>10</v>
      </c>
      <c r="AD60">
        <v>3</v>
      </c>
      <c r="AE60">
        <v>2</v>
      </c>
      <c r="AF60">
        <v>7</v>
      </c>
      <c r="AG60">
        <v>7</v>
      </c>
      <c r="AH60">
        <v>1</v>
      </c>
      <c r="AI60">
        <v>7</v>
      </c>
      <c r="AJ60">
        <f t="shared" si="0"/>
        <v>0</v>
      </c>
      <c r="AK60">
        <f t="shared" si="1"/>
        <v>0</v>
      </c>
      <c r="AL60">
        <f t="shared" si="2"/>
        <v>1</v>
      </c>
      <c r="AM60">
        <f t="shared" si="3"/>
        <v>3.5</v>
      </c>
      <c r="AN60">
        <f t="shared" si="4"/>
        <v>8872.5</v>
      </c>
      <c r="AO60">
        <f t="shared" si="5"/>
        <v>0.63636363636363635</v>
      </c>
      <c r="AP60" t="str">
        <f t="shared" si="6"/>
        <v>30-39</v>
      </c>
      <c r="AQ60" t="str">
        <f t="shared" si="7"/>
        <v>High</v>
      </c>
      <c r="AR60" t="str">
        <f t="shared" si="8"/>
        <v>Medium</v>
      </c>
      <c r="AS60">
        <f t="shared" si="9"/>
        <v>0</v>
      </c>
    </row>
    <row r="61" spans="1:4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s="20">
        <v>5993</v>
      </c>
      <c r="T61">
        <v>2689</v>
      </c>
      <c r="U61">
        <v>1</v>
      </c>
      <c r="V61" t="s">
        <v>42</v>
      </c>
      <c r="W61" t="s">
        <v>43</v>
      </c>
      <c r="X61" s="19">
        <v>18</v>
      </c>
      <c r="Y61">
        <v>3</v>
      </c>
      <c r="Z61">
        <v>3</v>
      </c>
      <c r="AA61">
        <v>80</v>
      </c>
      <c r="AB61">
        <v>1</v>
      </c>
      <c r="AC61">
        <v>7</v>
      </c>
      <c r="AD61">
        <v>2</v>
      </c>
      <c r="AE61">
        <v>4</v>
      </c>
      <c r="AF61">
        <v>7</v>
      </c>
      <c r="AG61">
        <v>5</v>
      </c>
      <c r="AH61">
        <v>0</v>
      </c>
      <c r="AI61">
        <v>7</v>
      </c>
      <c r="AJ61">
        <f t="shared" si="0"/>
        <v>0</v>
      </c>
      <c r="AK61">
        <f t="shared" si="1"/>
        <v>0</v>
      </c>
      <c r="AL61">
        <f t="shared" si="2"/>
        <v>1</v>
      </c>
      <c r="AM61">
        <f t="shared" si="3"/>
        <v>2.75</v>
      </c>
      <c r="AN61">
        <f t="shared" si="4"/>
        <v>8989.5</v>
      </c>
      <c r="AO61">
        <f t="shared" si="5"/>
        <v>0.875</v>
      </c>
      <c r="AP61" t="str">
        <f t="shared" si="6"/>
        <v>30-39</v>
      </c>
      <c r="AQ61" t="str">
        <f t="shared" si="7"/>
        <v>High</v>
      </c>
      <c r="AR61" t="str">
        <f t="shared" si="8"/>
        <v>Short</v>
      </c>
      <c r="AS61">
        <f t="shared" si="9"/>
        <v>0</v>
      </c>
    </row>
    <row r="62" spans="1:4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s="20">
        <v>6162</v>
      </c>
      <c r="T62">
        <v>10877</v>
      </c>
      <c r="U62">
        <v>1</v>
      </c>
      <c r="V62" t="s">
        <v>42</v>
      </c>
      <c r="W62" t="s">
        <v>35</v>
      </c>
      <c r="X62" s="19">
        <v>22</v>
      </c>
      <c r="Y62">
        <v>4</v>
      </c>
      <c r="Z62">
        <v>2</v>
      </c>
      <c r="AA62">
        <v>80</v>
      </c>
      <c r="AB62">
        <v>1</v>
      </c>
      <c r="AC62">
        <v>10</v>
      </c>
      <c r="AD62">
        <v>3</v>
      </c>
      <c r="AE62">
        <v>3</v>
      </c>
      <c r="AF62">
        <v>9</v>
      </c>
      <c r="AG62">
        <v>8</v>
      </c>
      <c r="AH62">
        <v>7</v>
      </c>
      <c r="AI62">
        <v>8</v>
      </c>
      <c r="AJ62">
        <f t="shared" si="0"/>
        <v>0</v>
      </c>
      <c r="AK62">
        <f t="shared" si="1"/>
        <v>1</v>
      </c>
      <c r="AL62">
        <f t="shared" si="2"/>
        <v>1</v>
      </c>
      <c r="AM62">
        <f t="shared" si="3"/>
        <v>2.5</v>
      </c>
      <c r="AN62">
        <f t="shared" si="4"/>
        <v>7394.4</v>
      </c>
      <c r="AO62">
        <f t="shared" si="5"/>
        <v>0.81818181818181823</v>
      </c>
      <c r="AP62" t="str">
        <f t="shared" si="6"/>
        <v>30-39</v>
      </c>
      <c r="AQ62" t="str">
        <f t="shared" si="7"/>
        <v>High</v>
      </c>
      <c r="AR62" t="str">
        <f t="shared" si="8"/>
        <v>Short</v>
      </c>
      <c r="AS62">
        <f t="shared" si="9"/>
        <v>0</v>
      </c>
    </row>
    <row r="63" spans="1:4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s="20">
        <v>2406</v>
      </c>
      <c r="T63">
        <v>5456</v>
      </c>
      <c r="U63">
        <v>1</v>
      </c>
      <c r="V63" t="s">
        <v>42</v>
      </c>
      <c r="W63" t="s">
        <v>43</v>
      </c>
      <c r="X63" s="19">
        <v>11</v>
      </c>
      <c r="Y63">
        <v>3</v>
      </c>
      <c r="Z63">
        <v>4</v>
      </c>
      <c r="AA63">
        <v>80</v>
      </c>
      <c r="AB63">
        <v>0</v>
      </c>
      <c r="AC63">
        <v>10</v>
      </c>
      <c r="AD63">
        <v>2</v>
      </c>
      <c r="AE63">
        <v>3</v>
      </c>
      <c r="AF63">
        <v>10</v>
      </c>
      <c r="AG63">
        <v>3</v>
      </c>
      <c r="AH63">
        <v>9</v>
      </c>
      <c r="AI63">
        <v>9</v>
      </c>
      <c r="AJ63">
        <f t="shared" si="0"/>
        <v>0</v>
      </c>
      <c r="AK63">
        <f t="shared" si="1"/>
        <v>0</v>
      </c>
      <c r="AL63">
        <f t="shared" si="2"/>
        <v>0</v>
      </c>
      <c r="AM63">
        <f t="shared" si="3"/>
        <v>3.75</v>
      </c>
      <c r="AN63">
        <f t="shared" si="4"/>
        <v>2624.7272727272725</v>
      </c>
      <c r="AO63">
        <f t="shared" si="5"/>
        <v>0.90909090909090906</v>
      </c>
      <c r="AP63" t="str">
        <f t="shared" si="6"/>
        <v>30-39</v>
      </c>
      <c r="AQ63" t="str">
        <f t="shared" si="7"/>
        <v>Low</v>
      </c>
      <c r="AR63" t="str">
        <f t="shared" si="8"/>
        <v>Long</v>
      </c>
      <c r="AS63">
        <f t="shared" si="9"/>
        <v>1</v>
      </c>
    </row>
    <row r="64" spans="1:4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s="20">
        <v>18740</v>
      </c>
      <c r="T64">
        <v>16701</v>
      </c>
      <c r="U64">
        <v>5</v>
      </c>
      <c r="V64" t="s">
        <v>42</v>
      </c>
      <c r="W64" t="s">
        <v>35</v>
      </c>
      <c r="X64" s="19">
        <v>12</v>
      </c>
      <c r="Y64">
        <v>3</v>
      </c>
      <c r="Z64">
        <v>4</v>
      </c>
      <c r="AA64">
        <v>80</v>
      </c>
      <c r="AB64">
        <v>1</v>
      </c>
      <c r="AC64">
        <v>29</v>
      </c>
      <c r="AD64">
        <v>2</v>
      </c>
      <c r="AE64">
        <v>2</v>
      </c>
      <c r="AF64">
        <v>27</v>
      </c>
      <c r="AG64">
        <v>3</v>
      </c>
      <c r="AH64">
        <v>13</v>
      </c>
      <c r="AI64">
        <v>8</v>
      </c>
      <c r="AJ64">
        <f t="shared" si="0"/>
        <v>0</v>
      </c>
      <c r="AK64">
        <f t="shared" si="1"/>
        <v>1</v>
      </c>
      <c r="AL64">
        <f t="shared" si="2"/>
        <v>0</v>
      </c>
      <c r="AM64">
        <f t="shared" si="3"/>
        <v>2.75</v>
      </c>
      <c r="AN64">
        <f t="shared" si="4"/>
        <v>8031.4285714285716</v>
      </c>
      <c r="AO64">
        <f t="shared" si="5"/>
        <v>0.9</v>
      </c>
      <c r="AP64" t="str">
        <f t="shared" si="6"/>
        <v>50+</v>
      </c>
      <c r="AQ64" t="str">
        <f t="shared" si="7"/>
        <v>Very High</v>
      </c>
      <c r="AR64" t="str">
        <f t="shared" si="8"/>
        <v>Medium</v>
      </c>
      <c r="AS64">
        <f t="shared" si="9"/>
        <v>0</v>
      </c>
    </row>
    <row r="65" spans="1:4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s="20">
        <v>7637</v>
      </c>
      <c r="T65">
        <v>2354</v>
      </c>
      <c r="U65">
        <v>7</v>
      </c>
      <c r="V65" t="s">
        <v>42</v>
      </c>
      <c r="W65" t="s">
        <v>43</v>
      </c>
      <c r="X65" s="19">
        <v>11</v>
      </c>
      <c r="Y65">
        <v>3</v>
      </c>
      <c r="Z65">
        <v>4</v>
      </c>
      <c r="AA65">
        <v>80</v>
      </c>
      <c r="AB65">
        <v>0</v>
      </c>
      <c r="AC65">
        <v>28</v>
      </c>
      <c r="AD65">
        <v>3</v>
      </c>
      <c r="AE65">
        <v>2</v>
      </c>
      <c r="AF65">
        <v>21</v>
      </c>
      <c r="AG65">
        <v>16</v>
      </c>
      <c r="AH65">
        <v>7</v>
      </c>
      <c r="AI65">
        <v>9</v>
      </c>
      <c r="AJ65">
        <f t="shared" si="0"/>
        <v>0</v>
      </c>
      <c r="AK65">
        <f t="shared" si="1"/>
        <v>0</v>
      </c>
      <c r="AL65">
        <f t="shared" si="2"/>
        <v>0</v>
      </c>
      <c r="AM65">
        <f t="shared" si="3"/>
        <v>2</v>
      </c>
      <c r="AN65">
        <f t="shared" si="4"/>
        <v>4165.636363636364</v>
      </c>
      <c r="AO65">
        <f t="shared" si="5"/>
        <v>0.72413793103448276</v>
      </c>
      <c r="AP65" t="str">
        <f t="shared" si="6"/>
        <v>50+</v>
      </c>
      <c r="AQ65" t="str">
        <f t="shared" si="7"/>
        <v>High</v>
      </c>
      <c r="AR65" t="str">
        <f t="shared" si="8"/>
        <v>Long</v>
      </c>
      <c r="AS65">
        <f t="shared" si="9"/>
        <v>0</v>
      </c>
    </row>
    <row r="66" spans="1:4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s="20">
        <v>10096</v>
      </c>
      <c r="T66">
        <v>8202</v>
      </c>
      <c r="U66">
        <v>1</v>
      </c>
      <c r="V66" t="s">
        <v>42</v>
      </c>
      <c r="W66" t="s">
        <v>43</v>
      </c>
      <c r="X66" s="19">
        <v>13</v>
      </c>
      <c r="Y66">
        <v>3</v>
      </c>
      <c r="Z66">
        <v>2</v>
      </c>
      <c r="AA66">
        <v>80</v>
      </c>
      <c r="AB66">
        <v>3</v>
      </c>
      <c r="AC66">
        <v>17</v>
      </c>
      <c r="AD66">
        <v>2</v>
      </c>
      <c r="AE66">
        <v>3</v>
      </c>
      <c r="AF66">
        <v>17</v>
      </c>
      <c r="AG66">
        <v>14</v>
      </c>
      <c r="AH66">
        <v>12</v>
      </c>
      <c r="AI66">
        <v>8</v>
      </c>
      <c r="AJ66">
        <f t="shared" si="0"/>
        <v>0</v>
      </c>
      <c r="AK66">
        <f t="shared" si="1"/>
        <v>0</v>
      </c>
      <c r="AL66">
        <f t="shared" si="2"/>
        <v>0</v>
      </c>
      <c r="AM66">
        <f t="shared" si="3"/>
        <v>2.75</v>
      </c>
      <c r="AN66">
        <f t="shared" si="4"/>
        <v>6730.666666666667</v>
      </c>
      <c r="AO66">
        <f t="shared" si="5"/>
        <v>0.94444444444444442</v>
      </c>
      <c r="AP66" t="str">
        <f t="shared" si="6"/>
        <v>30-39</v>
      </c>
      <c r="AQ66" t="str">
        <f t="shared" si="7"/>
        <v>Very High</v>
      </c>
      <c r="AR66" t="str">
        <f t="shared" si="8"/>
        <v>Medium</v>
      </c>
      <c r="AS66">
        <f t="shared" si="9"/>
        <v>0</v>
      </c>
    </row>
    <row r="67" spans="1:4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s="20">
        <v>4200</v>
      </c>
      <c r="T67">
        <v>19730</v>
      </c>
      <c r="U67">
        <v>2</v>
      </c>
      <c r="V67" t="s">
        <v>42</v>
      </c>
      <c r="W67" t="s">
        <v>35</v>
      </c>
      <c r="X67" s="19">
        <v>14</v>
      </c>
      <c r="Y67">
        <v>3</v>
      </c>
      <c r="Z67">
        <v>3</v>
      </c>
      <c r="AA67">
        <v>80</v>
      </c>
      <c r="AB67">
        <v>3</v>
      </c>
      <c r="AC67">
        <v>21</v>
      </c>
      <c r="AD67">
        <v>2</v>
      </c>
      <c r="AE67">
        <v>3</v>
      </c>
      <c r="AF67">
        <v>5</v>
      </c>
      <c r="AG67">
        <v>0</v>
      </c>
      <c r="AH67">
        <v>0</v>
      </c>
      <c r="AI67">
        <v>2</v>
      </c>
      <c r="AJ67">
        <f t="shared" ref="AJ67:AJ130" si="10">IF(B67="Yes",1,0)</f>
        <v>0</v>
      </c>
      <c r="AK67">
        <f t="shared" ref="AK67:AK130" si="11">IF(W67="Yes",1,0)</f>
        <v>1</v>
      </c>
      <c r="AL67">
        <f t="shared" ref="AL67:AL130" si="12">IF(L67="Male",1,0)</f>
        <v>0</v>
      </c>
      <c r="AM67">
        <f t="shared" ref="AM67:AM130" si="13">AVERAGE(K67,Q67,Z67,AE67)</f>
        <v>3.25</v>
      </c>
      <c r="AN67">
        <f t="shared" ref="AN67:AN130" si="14">(S67*12)/(AF67+1)</f>
        <v>8400</v>
      </c>
      <c r="AO67">
        <f t="shared" ref="AO67:AO130" si="15">AF67/(AC67+1)</f>
        <v>0.22727272727272727</v>
      </c>
      <c r="AP67" t="str">
        <f t="shared" ref="AP67:AP130" si="16">IF(A67&lt;30,"Under 30",IF(A67&lt;40,"30-39",IF(A67&lt;50,"40-49","50+")))</f>
        <v>50+</v>
      </c>
      <c r="AQ67" t="str">
        <f t="shared" ref="AQ67:AQ130" si="17">IF(S67&lt;=$AV$1,"Low",IF(S67&lt;=$AV$2,"Medium",IF(S67&lt;=$AV$3,"High","Very High")))</f>
        <v>Medium</v>
      </c>
      <c r="AR67" t="str">
        <f t="shared" ref="AR67:AR130" si="18">IF(F67&lt;=5,"Short",IF(F67&lt;=15,"Medium","Long"))</f>
        <v>Medium</v>
      </c>
      <c r="AS67">
        <f t="shared" ref="AS67:AS130" si="19">IF(C67="Travel_Frequently",1,0)</f>
        <v>0</v>
      </c>
    </row>
    <row r="68" spans="1:4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s="20">
        <v>6499</v>
      </c>
      <c r="T68">
        <v>22656</v>
      </c>
      <c r="U68">
        <v>1</v>
      </c>
      <c r="V68" t="s">
        <v>42</v>
      </c>
      <c r="W68" t="s">
        <v>43</v>
      </c>
      <c r="X68" s="19">
        <v>13</v>
      </c>
      <c r="Y68">
        <v>3</v>
      </c>
      <c r="Z68">
        <v>3</v>
      </c>
      <c r="AA68">
        <v>80</v>
      </c>
      <c r="AB68">
        <v>0</v>
      </c>
      <c r="AC68">
        <v>6</v>
      </c>
      <c r="AD68">
        <v>3</v>
      </c>
      <c r="AE68">
        <v>3</v>
      </c>
      <c r="AF68">
        <v>6</v>
      </c>
      <c r="AG68">
        <v>5</v>
      </c>
      <c r="AH68">
        <v>0</v>
      </c>
      <c r="AI68">
        <v>3</v>
      </c>
      <c r="AJ68">
        <f t="shared" si="10"/>
        <v>0</v>
      </c>
      <c r="AK68">
        <f t="shared" si="11"/>
        <v>0</v>
      </c>
      <c r="AL68">
        <f t="shared" si="12"/>
        <v>1</v>
      </c>
      <c r="AM68">
        <f t="shared" si="13"/>
        <v>2.5</v>
      </c>
      <c r="AN68">
        <f t="shared" si="14"/>
        <v>11141.142857142857</v>
      </c>
      <c r="AO68">
        <f t="shared" si="15"/>
        <v>0.8571428571428571</v>
      </c>
      <c r="AP68" t="str">
        <f t="shared" si="16"/>
        <v>30-39</v>
      </c>
      <c r="AQ68" t="str">
        <f t="shared" si="17"/>
        <v>High</v>
      </c>
      <c r="AR68" t="str">
        <f t="shared" si="18"/>
        <v>Medium</v>
      </c>
      <c r="AS68">
        <f t="shared" si="19"/>
        <v>1</v>
      </c>
    </row>
    <row r="69" spans="1:4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s="20">
        <v>9724</v>
      </c>
      <c r="T69">
        <v>18787</v>
      </c>
      <c r="U69">
        <v>2</v>
      </c>
      <c r="V69" t="s">
        <v>42</v>
      </c>
      <c r="W69" t="s">
        <v>43</v>
      </c>
      <c r="X69" s="19">
        <v>17</v>
      </c>
      <c r="Y69">
        <v>3</v>
      </c>
      <c r="Z69">
        <v>3</v>
      </c>
      <c r="AA69">
        <v>80</v>
      </c>
      <c r="AB69">
        <v>1</v>
      </c>
      <c r="AC69">
        <v>25</v>
      </c>
      <c r="AD69">
        <v>2</v>
      </c>
      <c r="AE69">
        <v>3</v>
      </c>
      <c r="AF69">
        <v>1</v>
      </c>
      <c r="AG69">
        <v>0</v>
      </c>
      <c r="AH69">
        <v>0</v>
      </c>
      <c r="AI69">
        <v>0</v>
      </c>
      <c r="AJ69">
        <f t="shared" si="10"/>
        <v>0</v>
      </c>
      <c r="AK69">
        <f t="shared" si="11"/>
        <v>0</v>
      </c>
      <c r="AL69">
        <f t="shared" si="12"/>
        <v>1</v>
      </c>
      <c r="AM69">
        <f t="shared" si="13"/>
        <v>2.25</v>
      </c>
      <c r="AN69">
        <f t="shared" si="14"/>
        <v>58344</v>
      </c>
      <c r="AO69">
        <f t="shared" si="15"/>
        <v>3.8461538461538464E-2</v>
      </c>
      <c r="AP69" t="str">
        <f t="shared" si="16"/>
        <v>40-49</v>
      </c>
      <c r="AQ69" t="str">
        <f t="shared" si="17"/>
        <v>Very High</v>
      </c>
      <c r="AR69" t="str">
        <f t="shared" si="18"/>
        <v>Medium</v>
      </c>
      <c r="AS69">
        <f t="shared" si="19"/>
        <v>0</v>
      </c>
    </row>
    <row r="70" spans="1:4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s="20">
        <v>2194</v>
      </c>
      <c r="T70">
        <v>5868</v>
      </c>
      <c r="U70">
        <v>4</v>
      </c>
      <c r="V70" t="s">
        <v>42</v>
      </c>
      <c r="W70" t="s">
        <v>43</v>
      </c>
      <c r="X70" s="19">
        <v>13</v>
      </c>
      <c r="Y70">
        <v>3</v>
      </c>
      <c r="Z70">
        <v>4</v>
      </c>
      <c r="AA70">
        <v>80</v>
      </c>
      <c r="AB70">
        <v>1</v>
      </c>
      <c r="AC70">
        <v>5</v>
      </c>
      <c r="AD70">
        <v>2</v>
      </c>
      <c r="AE70">
        <v>2</v>
      </c>
      <c r="AF70">
        <v>3</v>
      </c>
      <c r="AG70">
        <v>2</v>
      </c>
      <c r="AH70">
        <v>1</v>
      </c>
      <c r="AI70">
        <v>2</v>
      </c>
      <c r="AJ70">
        <f t="shared" si="10"/>
        <v>0</v>
      </c>
      <c r="AK70">
        <f t="shared" si="11"/>
        <v>0</v>
      </c>
      <c r="AL70">
        <f t="shared" si="12"/>
        <v>1</v>
      </c>
      <c r="AM70">
        <f t="shared" si="13"/>
        <v>2.25</v>
      </c>
      <c r="AN70">
        <f t="shared" si="14"/>
        <v>6582</v>
      </c>
      <c r="AO70">
        <f t="shared" si="15"/>
        <v>0.5</v>
      </c>
      <c r="AP70" t="str">
        <f t="shared" si="16"/>
        <v>30-39</v>
      </c>
      <c r="AQ70" t="str">
        <f t="shared" si="17"/>
        <v>Low</v>
      </c>
      <c r="AR70" t="str">
        <f t="shared" si="18"/>
        <v>Short</v>
      </c>
      <c r="AS70">
        <f t="shared" si="19"/>
        <v>1</v>
      </c>
    </row>
    <row r="71" spans="1:4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s="20">
        <v>3388</v>
      </c>
      <c r="T71">
        <v>21777</v>
      </c>
      <c r="U71">
        <v>0</v>
      </c>
      <c r="V71" t="s">
        <v>42</v>
      </c>
      <c r="W71" t="s">
        <v>35</v>
      </c>
      <c r="X71" s="19">
        <v>17</v>
      </c>
      <c r="Y71">
        <v>3</v>
      </c>
      <c r="Z71">
        <v>1</v>
      </c>
      <c r="AA71">
        <v>80</v>
      </c>
      <c r="AB71">
        <v>1</v>
      </c>
      <c r="AC71">
        <v>2</v>
      </c>
      <c r="AD71">
        <v>0</v>
      </c>
      <c r="AE71">
        <v>2</v>
      </c>
      <c r="AF71">
        <v>1</v>
      </c>
      <c r="AG71">
        <v>0</v>
      </c>
      <c r="AH71">
        <v>0</v>
      </c>
      <c r="AI71">
        <v>0</v>
      </c>
      <c r="AJ71">
        <f t="shared" si="10"/>
        <v>1</v>
      </c>
      <c r="AK71">
        <f t="shared" si="11"/>
        <v>1</v>
      </c>
      <c r="AL71">
        <f t="shared" si="12"/>
        <v>1</v>
      </c>
      <c r="AM71">
        <f t="shared" si="13"/>
        <v>2.5</v>
      </c>
      <c r="AN71">
        <f t="shared" si="14"/>
        <v>20328</v>
      </c>
      <c r="AO71">
        <f t="shared" si="15"/>
        <v>0.33333333333333331</v>
      </c>
      <c r="AP71" t="str">
        <f t="shared" si="16"/>
        <v>30-39</v>
      </c>
      <c r="AQ71" t="str">
        <f t="shared" si="17"/>
        <v>Medium</v>
      </c>
      <c r="AR71" t="str">
        <f t="shared" si="18"/>
        <v>Medium</v>
      </c>
      <c r="AS71">
        <f t="shared" si="19"/>
        <v>0</v>
      </c>
    </row>
    <row r="72" spans="1:45" x14ac:dyDescent="0.3">
      <c r="A72">
        <v>59</v>
      </c>
      <c r="B72" t="s">
        <v>43</v>
      </c>
      <c r="C72" t="s">
        <v>36</v>
      </c>
      <c r="D72">
        <v>1225</v>
      </c>
      <c r="E72" t="s">
        <v>37</v>
      </c>
      <c r="F72">
        <v>1</v>
      </c>
      <c r="G72">
        <v>1</v>
      </c>
      <c r="H72" t="s">
        <v>38</v>
      </c>
      <c r="I72">
        <v>1</v>
      </c>
      <c r="J72">
        <v>91</v>
      </c>
      <c r="K72">
        <v>1</v>
      </c>
      <c r="L72" t="s">
        <v>39</v>
      </c>
      <c r="M72">
        <v>57</v>
      </c>
      <c r="N72">
        <v>2</v>
      </c>
      <c r="O72">
        <v>2</v>
      </c>
      <c r="P72" t="s">
        <v>40</v>
      </c>
      <c r="Q72">
        <v>3</v>
      </c>
      <c r="R72" t="s">
        <v>41</v>
      </c>
      <c r="S72" s="20">
        <v>5473</v>
      </c>
      <c r="T72">
        <v>24668</v>
      </c>
      <c r="U72">
        <v>7</v>
      </c>
      <c r="V72" t="s">
        <v>42</v>
      </c>
      <c r="W72" t="s">
        <v>43</v>
      </c>
      <c r="X72" s="19">
        <v>11</v>
      </c>
      <c r="Y72">
        <v>3</v>
      </c>
      <c r="Z72">
        <v>4</v>
      </c>
      <c r="AA72">
        <v>80</v>
      </c>
      <c r="AB72">
        <v>0</v>
      </c>
      <c r="AC72">
        <v>20</v>
      </c>
      <c r="AD72">
        <v>2</v>
      </c>
      <c r="AE72">
        <v>2</v>
      </c>
      <c r="AF72">
        <v>4</v>
      </c>
      <c r="AG72">
        <v>3</v>
      </c>
      <c r="AH72">
        <v>1</v>
      </c>
      <c r="AI72">
        <v>3</v>
      </c>
      <c r="AJ72">
        <f t="shared" si="10"/>
        <v>0</v>
      </c>
      <c r="AK72">
        <f t="shared" si="11"/>
        <v>0</v>
      </c>
      <c r="AL72">
        <f t="shared" si="12"/>
        <v>0</v>
      </c>
      <c r="AM72">
        <f t="shared" si="13"/>
        <v>2.5</v>
      </c>
      <c r="AN72">
        <f t="shared" si="14"/>
        <v>13135.2</v>
      </c>
      <c r="AO72">
        <f t="shared" si="15"/>
        <v>0.19047619047619047</v>
      </c>
      <c r="AP72" t="str">
        <f t="shared" si="16"/>
        <v>50+</v>
      </c>
      <c r="AQ72" t="str">
        <f t="shared" si="17"/>
        <v>High</v>
      </c>
      <c r="AR72" t="str">
        <f t="shared" si="18"/>
        <v>Short</v>
      </c>
      <c r="AS72">
        <f t="shared" si="19"/>
        <v>0</v>
      </c>
    </row>
    <row r="73" spans="1:4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s="20">
        <v>2703</v>
      </c>
      <c r="T73">
        <v>4956</v>
      </c>
      <c r="U73">
        <v>0</v>
      </c>
      <c r="V73" t="s">
        <v>42</v>
      </c>
      <c r="W73" t="s">
        <v>43</v>
      </c>
      <c r="X73" s="19">
        <v>23</v>
      </c>
      <c r="Y73">
        <v>4</v>
      </c>
      <c r="Z73">
        <v>4</v>
      </c>
      <c r="AA73">
        <v>80</v>
      </c>
      <c r="AB73">
        <v>1</v>
      </c>
      <c r="AC73">
        <v>6</v>
      </c>
      <c r="AD73">
        <v>3</v>
      </c>
      <c r="AE73">
        <v>3</v>
      </c>
      <c r="AF73">
        <v>5</v>
      </c>
      <c r="AG73">
        <v>4</v>
      </c>
      <c r="AH73">
        <v>0</v>
      </c>
      <c r="AI73">
        <v>4</v>
      </c>
      <c r="AJ73">
        <f t="shared" si="10"/>
        <v>0</v>
      </c>
      <c r="AK73">
        <f t="shared" si="11"/>
        <v>0</v>
      </c>
      <c r="AL73">
        <f t="shared" si="12"/>
        <v>1</v>
      </c>
      <c r="AM73">
        <f t="shared" si="13"/>
        <v>3</v>
      </c>
      <c r="AN73">
        <f t="shared" si="14"/>
        <v>5406</v>
      </c>
      <c r="AO73">
        <f t="shared" si="15"/>
        <v>0.7142857142857143</v>
      </c>
      <c r="AP73" t="str">
        <f t="shared" si="16"/>
        <v>Under 30</v>
      </c>
      <c r="AQ73" t="str">
        <f t="shared" si="17"/>
        <v>Low</v>
      </c>
      <c r="AR73" t="str">
        <f t="shared" si="18"/>
        <v>Short</v>
      </c>
      <c r="AS73">
        <f t="shared" si="19"/>
        <v>0</v>
      </c>
    </row>
    <row r="74" spans="1:4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s="20">
        <v>2501</v>
      </c>
      <c r="T74">
        <v>18775</v>
      </c>
      <c r="U74">
        <v>1</v>
      </c>
      <c r="V74" t="s">
        <v>42</v>
      </c>
      <c r="W74" t="s">
        <v>43</v>
      </c>
      <c r="X74" s="19">
        <v>17</v>
      </c>
      <c r="Y74">
        <v>3</v>
      </c>
      <c r="Z74">
        <v>2</v>
      </c>
      <c r="AA74">
        <v>80</v>
      </c>
      <c r="AB74">
        <v>0</v>
      </c>
      <c r="AC74">
        <v>1</v>
      </c>
      <c r="AD74">
        <v>4</v>
      </c>
      <c r="AE74">
        <v>3</v>
      </c>
      <c r="AF74">
        <v>1</v>
      </c>
      <c r="AG74">
        <v>1</v>
      </c>
      <c r="AH74">
        <v>1</v>
      </c>
      <c r="AI74">
        <v>0</v>
      </c>
      <c r="AJ74">
        <f t="shared" si="10"/>
        <v>0</v>
      </c>
      <c r="AK74">
        <f t="shared" si="11"/>
        <v>0</v>
      </c>
      <c r="AL74">
        <f t="shared" si="12"/>
        <v>1</v>
      </c>
      <c r="AM74">
        <f t="shared" si="13"/>
        <v>2.5</v>
      </c>
      <c r="AN74">
        <f t="shared" si="14"/>
        <v>15006</v>
      </c>
      <c r="AO74">
        <f t="shared" si="15"/>
        <v>0.5</v>
      </c>
      <c r="AP74" t="str">
        <f t="shared" si="16"/>
        <v>30-39</v>
      </c>
      <c r="AQ74" t="str">
        <f t="shared" si="17"/>
        <v>Low</v>
      </c>
      <c r="AR74" t="str">
        <f t="shared" si="18"/>
        <v>Short</v>
      </c>
      <c r="AS74">
        <f t="shared" si="19"/>
        <v>0</v>
      </c>
    </row>
    <row r="75" spans="1:4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s="20">
        <v>6220</v>
      </c>
      <c r="T75">
        <v>7346</v>
      </c>
      <c r="U75">
        <v>1</v>
      </c>
      <c r="V75" t="s">
        <v>42</v>
      </c>
      <c r="W75" t="s">
        <v>43</v>
      </c>
      <c r="X75" s="19">
        <v>17</v>
      </c>
      <c r="Y75">
        <v>3</v>
      </c>
      <c r="Z75">
        <v>2</v>
      </c>
      <c r="AA75">
        <v>80</v>
      </c>
      <c r="AB75">
        <v>2</v>
      </c>
      <c r="AC75">
        <v>10</v>
      </c>
      <c r="AD75">
        <v>3</v>
      </c>
      <c r="AE75">
        <v>3</v>
      </c>
      <c r="AF75">
        <v>10</v>
      </c>
      <c r="AG75">
        <v>4</v>
      </c>
      <c r="AH75">
        <v>0</v>
      </c>
      <c r="AI75">
        <v>9</v>
      </c>
      <c r="AJ75">
        <f t="shared" si="10"/>
        <v>0</v>
      </c>
      <c r="AK75">
        <f t="shared" si="11"/>
        <v>0</v>
      </c>
      <c r="AL75">
        <f t="shared" si="12"/>
        <v>1</v>
      </c>
      <c r="AM75">
        <f t="shared" si="13"/>
        <v>2.25</v>
      </c>
      <c r="AN75">
        <f t="shared" si="14"/>
        <v>6785.454545454545</v>
      </c>
      <c r="AO75">
        <f t="shared" si="15"/>
        <v>0.90909090909090906</v>
      </c>
      <c r="AP75" t="str">
        <f t="shared" si="16"/>
        <v>30-39</v>
      </c>
      <c r="AQ75" t="str">
        <f t="shared" si="17"/>
        <v>High</v>
      </c>
      <c r="AR75" t="str">
        <f t="shared" si="18"/>
        <v>Short</v>
      </c>
      <c r="AS75">
        <f t="shared" si="19"/>
        <v>0</v>
      </c>
    </row>
    <row r="76" spans="1:4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s="20">
        <v>3038</v>
      </c>
      <c r="T76">
        <v>22002</v>
      </c>
      <c r="U76">
        <v>3</v>
      </c>
      <c r="V76" t="s">
        <v>42</v>
      </c>
      <c r="W76" t="s">
        <v>43</v>
      </c>
      <c r="X76" s="19">
        <v>12</v>
      </c>
      <c r="Y76">
        <v>3</v>
      </c>
      <c r="Z76">
        <v>2</v>
      </c>
      <c r="AA76">
        <v>80</v>
      </c>
      <c r="AB76">
        <v>0</v>
      </c>
      <c r="AC76">
        <v>5</v>
      </c>
      <c r="AD76">
        <v>3</v>
      </c>
      <c r="AE76">
        <v>3</v>
      </c>
      <c r="AF76">
        <v>1</v>
      </c>
      <c r="AG76">
        <v>0</v>
      </c>
      <c r="AH76">
        <v>0</v>
      </c>
      <c r="AI76">
        <v>0</v>
      </c>
      <c r="AJ76">
        <f t="shared" si="10"/>
        <v>0</v>
      </c>
      <c r="AK76">
        <f t="shared" si="11"/>
        <v>0</v>
      </c>
      <c r="AL76">
        <f t="shared" si="12"/>
        <v>0</v>
      </c>
      <c r="AM76">
        <f t="shared" si="13"/>
        <v>2.75</v>
      </c>
      <c r="AN76">
        <f t="shared" si="14"/>
        <v>18228</v>
      </c>
      <c r="AO76">
        <f t="shared" si="15"/>
        <v>0.16666666666666666</v>
      </c>
      <c r="AP76" t="str">
        <f t="shared" si="16"/>
        <v>30-39</v>
      </c>
      <c r="AQ76" t="str">
        <f t="shared" si="17"/>
        <v>Medium</v>
      </c>
      <c r="AR76" t="str">
        <f t="shared" si="18"/>
        <v>Medium</v>
      </c>
      <c r="AS76">
        <f t="shared" si="19"/>
        <v>0</v>
      </c>
    </row>
    <row r="77" spans="1:4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s="20">
        <v>6500</v>
      </c>
      <c r="T77">
        <v>20682</v>
      </c>
      <c r="U77">
        <v>1</v>
      </c>
      <c r="V77" t="s">
        <v>42</v>
      </c>
      <c r="W77" t="s">
        <v>43</v>
      </c>
      <c r="X77" s="19">
        <v>23</v>
      </c>
      <c r="Y77">
        <v>4</v>
      </c>
      <c r="Z77">
        <v>4</v>
      </c>
      <c r="AA77">
        <v>80</v>
      </c>
      <c r="AB77">
        <v>0</v>
      </c>
      <c r="AC77">
        <v>11</v>
      </c>
      <c r="AD77">
        <v>2</v>
      </c>
      <c r="AE77">
        <v>3</v>
      </c>
      <c r="AF77">
        <v>11</v>
      </c>
      <c r="AG77">
        <v>7</v>
      </c>
      <c r="AH77">
        <v>1</v>
      </c>
      <c r="AI77">
        <v>8</v>
      </c>
      <c r="AJ77">
        <f t="shared" si="10"/>
        <v>0</v>
      </c>
      <c r="AK77">
        <f t="shared" si="11"/>
        <v>0</v>
      </c>
      <c r="AL77">
        <f t="shared" si="12"/>
        <v>0</v>
      </c>
      <c r="AM77">
        <f t="shared" si="13"/>
        <v>3.5</v>
      </c>
      <c r="AN77">
        <f t="shared" si="14"/>
        <v>6500</v>
      </c>
      <c r="AO77">
        <f t="shared" si="15"/>
        <v>0.91666666666666663</v>
      </c>
      <c r="AP77" t="str">
        <f t="shared" si="16"/>
        <v>30-39</v>
      </c>
      <c r="AQ77" t="str">
        <f t="shared" si="17"/>
        <v>High</v>
      </c>
      <c r="AR77" t="str">
        <f t="shared" si="18"/>
        <v>Medium</v>
      </c>
      <c r="AS77">
        <f t="shared" si="19"/>
        <v>0</v>
      </c>
    </row>
    <row r="78" spans="1:4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s="20">
        <v>4312</v>
      </c>
      <c r="T78">
        <v>23016</v>
      </c>
      <c r="U78">
        <v>0</v>
      </c>
      <c r="V78" t="s">
        <v>42</v>
      </c>
      <c r="W78" t="s">
        <v>43</v>
      </c>
      <c r="X78" s="19">
        <v>14</v>
      </c>
      <c r="Y78">
        <v>3</v>
      </c>
      <c r="Z78">
        <v>2</v>
      </c>
      <c r="AA78">
        <v>80</v>
      </c>
      <c r="AB78">
        <v>0</v>
      </c>
      <c r="AC78">
        <v>16</v>
      </c>
      <c r="AD78">
        <v>2</v>
      </c>
      <c r="AE78">
        <v>3</v>
      </c>
      <c r="AF78">
        <v>15</v>
      </c>
      <c r="AG78">
        <v>13</v>
      </c>
      <c r="AH78">
        <v>2</v>
      </c>
      <c r="AI78">
        <v>8</v>
      </c>
      <c r="AJ78">
        <f t="shared" si="10"/>
        <v>0</v>
      </c>
      <c r="AK78">
        <f t="shared" si="11"/>
        <v>0</v>
      </c>
      <c r="AL78">
        <f t="shared" si="12"/>
        <v>1</v>
      </c>
      <c r="AM78">
        <f t="shared" si="13"/>
        <v>2.25</v>
      </c>
      <c r="AN78">
        <f t="shared" si="14"/>
        <v>3234</v>
      </c>
      <c r="AO78">
        <f t="shared" si="15"/>
        <v>0.88235294117647056</v>
      </c>
      <c r="AP78" t="str">
        <f t="shared" si="16"/>
        <v>30-39</v>
      </c>
      <c r="AQ78" t="str">
        <f t="shared" si="17"/>
        <v>Medium</v>
      </c>
      <c r="AR78" t="str">
        <f t="shared" si="18"/>
        <v>Short</v>
      </c>
      <c r="AS78">
        <f t="shared" si="19"/>
        <v>0</v>
      </c>
    </row>
    <row r="79" spans="1:4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s="20">
        <v>13245</v>
      </c>
      <c r="T79">
        <v>15067</v>
      </c>
      <c r="U79">
        <v>4</v>
      </c>
      <c r="V79" t="s">
        <v>42</v>
      </c>
      <c r="W79" t="s">
        <v>35</v>
      </c>
      <c r="X79" s="19">
        <v>14</v>
      </c>
      <c r="Y79">
        <v>3</v>
      </c>
      <c r="Z79">
        <v>2</v>
      </c>
      <c r="AA79">
        <v>80</v>
      </c>
      <c r="AB79">
        <v>0</v>
      </c>
      <c r="AC79">
        <v>17</v>
      </c>
      <c r="AD79">
        <v>3</v>
      </c>
      <c r="AE79">
        <v>4</v>
      </c>
      <c r="AF79">
        <v>0</v>
      </c>
      <c r="AG79">
        <v>0</v>
      </c>
      <c r="AH79">
        <v>0</v>
      </c>
      <c r="AI79">
        <v>0</v>
      </c>
      <c r="AJ79">
        <f t="shared" si="10"/>
        <v>0</v>
      </c>
      <c r="AK79">
        <f t="shared" si="11"/>
        <v>1</v>
      </c>
      <c r="AL79">
        <f t="shared" si="12"/>
        <v>1</v>
      </c>
      <c r="AM79">
        <f t="shared" si="13"/>
        <v>2.75</v>
      </c>
      <c r="AN79">
        <f t="shared" si="14"/>
        <v>158940</v>
      </c>
      <c r="AO79">
        <f t="shared" si="15"/>
        <v>0</v>
      </c>
      <c r="AP79" t="str">
        <f t="shared" si="16"/>
        <v>40-49</v>
      </c>
      <c r="AQ79" t="str">
        <f t="shared" si="17"/>
        <v>Very High</v>
      </c>
      <c r="AR79" t="str">
        <f t="shared" si="18"/>
        <v>Medium</v>
      </c>
      <c r="AS79">
        <f t="shared" si="19"/>
        <v>0</v>
      </c>
    </row>
    <row r="80" spans="1:4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s="20">
        <v>13664</v>
      </c>
      <c r="T80">
        <v>25258</v>
      </c>
      <c r="U80">
        <v>4</v>
      </c>
      <c r="V80" t="s">
        <v>42</v>
      </c>
      <c r="W80" t="s">
        <v>43</v>
      </c>
      <c r="X80" s="19">
        <v>13</v>
      </c>
      <c r="Y80">
        <v>3</v>
      </c>
      <c r="Z80">
        <v>1</v>
      </c>
      <c r="AA80">
        <v>80</v>
      </c>
      <c r="AB80">
        <v>0</v>
      </c>
      <c r="AC80">
        <v>16</v>
      </c>
      <c r="AD80">
        <v>3</v>
      </c>
      <c r="AE80">
        <v>4</v>
      </c>
      <c r="AF80">
        <v>5</v>
      </c>
      <c r="AG80">
        <v>2</v>
      </c>
      <c r="AH80">
        <v>0</v>
      </c>
      <c r="AI80">
        <v>2</v>
      </c>
      <c r="AJ80">
        <f t="shared" si="10"/>
        <v>0</v>
      </c>
      <c r="AK80">
        <f t="shared" si="11"/>
        <v>0</v>
      </c>
      <c r="AL80">
        <f t="shared" si="12"/>
        <v>1</v>
      </c>
      <c r="AM80">
        <f t="shared" si="13"/>
        <v>2.25</v>
      </c>
      <c r="AN80">
        <f t="shared" si="14"/>
        <v>27328</v>
      </c>
      <c r="AO80">
        <f t="shared" si="15"/>
        <v>0.29411764705882354</v>
      </c>
      <c r="AP80" t="str">
        <f t="shared" si="16"/>
        <v>30-39</v>
      </c>
      <c r="AQ80" t="str">
        <f t="shared" si="17"/>
        <v>Very High</v>
      </c>
      <c r="AR80" t="str">
        <f t="shared" si="18"/>
        <v>Medium</v>
      </c>
      <c r="AS80">
        <f t="shared" si="19"/>
        <v>0</v>
      </c>
    </row>
    <row r="81" spans="1:4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s="20">
        <v>5021</v>
      </c>
      <c r="T81">
        <v>10425</v>
      </c>
      <c r="U81">
        <v>8</v>
      </c>
      <c r="V81" t="s">
        <v>42</v>
      </c>
      <c r="W81" t="s">
        <v>35</v>
      </c>
      <c r="X81" s="19">
        <v>22</v>
      </c>
      <c r="Y81">
        <v>4</v>
      </c>
      <c r="Z81">
        <v>4</v>
      </c>
      <c r="AA81">
        <v>80</v>
      </c>
      <c r="AB81">
        <v>1</v>
      </c>
      <c r="AC81">
        <v>16</v>
      </c>
      <c r="AD81">
        <v>2</v>
      </c>
      <c r="AE81">
        <v>3</v>
      </c>
      <c r="AF81">
        <v>4</v>
      </c>
      <c r="AG81">
        <v>2</v>
      </c>
      <c r="AH81">
        <v>0</v>
      </c>
      <c r="AI81">
        <v>2</v>
      </c>
      <c r="AJ81">
        <f t="shared" si="10"/>
        <v>0</v>
      </c>
      <c r="AK81">
        <f t="shared" si="11"/>
        <v>1</v>
      </c>
      <c r="AL81">
        <f t="shared" si="12"/>
        <v>1</v>
      </c>
      <c r="AM81">
        <f t="shared" si="13"/>
        <v>2.75</v>
      </c>
      <c r="AN81">
        <f t="shared" si="14"/>
        <v>12050.4</v>
      </c>
      <c r="AO81">
        <f t="shared" si="15"/>
        <v>0.23529411764705882</v>
      </c>
      <c r="AP81" t="str">
        <f t="shared" si="16"/>
        <v>40-49</v>
      </c>
      <c r="AQ81" t="str">
        <f t="shared" si="17"/>
        <v>High</v>
      </c>
      <c r="AR81" t="str">
        <f t="shared" si="18"/>
        <v>Short</v>
      </c>
      <c r="AS81">
        <f t="shared" si="19"/>
        <v>0</v>
      </c>
    </row>
    <row r="82" spans="1:4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s="20">
        <v>5126</v>
      </c>
      <c r="T82">
        <v>15998</v>
      </c>
      <c r="U82">
        <v>1</v>
      </c>
      <c r="V82" t="s">
        <v>42</v>
      </c>
      <c r="W82" t="s">
        <v>35</v>
      </c>
      <c r="X82" s="19">
        <v>12</v>
      </c>
      <c r="Y82">
        <v>3</v>
      </c>
      <c r="Z82">
        <v>3</v>
      </c>
      <c r="AA82">
        <v>80</v>
      </c>
      <c r="AB82">
        <v>2</v>
      </c>
      <c r="AC82">
        <v>10</v>
      </c>
      <c r="AD82">
        <v>1</v>
      </c>
      <c r="AE82">
        <v>2</v>
      </c>
      <c r="AF82">
        <v>10</v>
      </c>
      <c r="AG82">
        <v>8</v>
      </c>
      <c r="AH82">
        <v>3</v>
      </c>
      <c r="AI82">
        <v>0</v>
      </c>
      <c r="AJ82">
        <f t="shared" si="10"/>
        <v>0</v>
      </c>
      <c r="AK82">
        <f t="shared" si="11"/>
        <v>1</v>
      </c>
      <c r="AL82">
        <f t="shared" si="12"/>
        <v>1</v>
      </c>
      <c r="AM82">
        <f t="shared" si="13"/>
        <v>3.25</v>
      </c>
      <c r="AN82">
        <f t="shared" si="14"/>
        <v>5592</v>
      </c>
      <c r="AO82">
        <f t="shared" si="15"/>
        <v>0.90909090909090906</v>
      </c>
      <c r="AP82" t="str">
        <f t="shared" si="16"/>
        <v>30-39</v>
      </c>
      <c r="AQ82" t="str">
        <f t="shared" si="17"/>
        <v>High</v>
      </c>
      <c r="AR82" t="str">
        <f t="shared" si="18"/>
        <v>Short</v>
      </c>
      <c r="AS82">
        <f t="shared" si="19"/>
        <v>0</v>
      </c>
    </row>
    <row r="83" spans="1:4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s="20">
        <v>2859</v>
      </c>
      <c r="T83">
        <v>26278</v>
      </c>
      <c r="U83">
        <v>1</v>
      </c>
      <c r="V83" t="s">
        <v>42</v>
      </c>
      <c r="W83" t="s">
        <v>43</v>
      </c>
      <c r="X83" s="19">
        <v>18</v>
      </c>
      <c r="Y83">
        <v>3</v>
      </c>
      <c r="Z83">
        <v>1</v>
      </c>
      <c r="AA83">
        <v>80</v>
      </c>
      <c r="AB83">
        <v>0</v>
      </c>
      <c r="AC83">
        <v>6</v>
      </c>
      <c r="AD83">
        <v>3</v>
      </c>
      <c r="AE83">
        <v>3</v>
      </c>
      <c r="AF83">
        <v>6</v>
      </c>
      <c r="AG83">
        <v>4</v>
      </c>
      <c r="AH83">
        <v>0</v>
      </c>
      <c r="AI83">
        <v>4</v>
      </c>
      <c r="AJ83">
        <f t="shared" si="10"/>
        <v>0</v>
      </c>
      <c r="AK83">
        <f t="shared" si="11"/>
        <v>0</v>
      </c>
      <c r="AL83">
        <f t="shared" si="12"/>
        <v>1</v>
      </c>
      <c r="AM83">
        <f t="shared" si="13"/>
        <v>2.25</v>
      </c>
      <c r="AN83">
        <f t="shared" si="14"/>
        <v>4901.1428571428569</v>
      </c>
      <c r="AO83">
        <f t="shared" si="15"/>
        <v>0.8571428571428571</v>
      </c>
      <c r="AP83" t="str">
        <f t="shared" si="16"/>
        <v>30-39</v>
      </c>
      <c r="AQ83" t="str">
        <f t="shared" si="17"/>
        <v>Low</v>
      </c>
      <c r="AR83" t="str">
        <f t="shared" si="18"/>
        <v>Short</v>
      </c>
      <c r="AS83">
        <f t="shared" si="19"/>
        <v>0</v>
      </c>
    </row>
    <row r="84" spans="1:4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s="20">
        <v>10239</v>
      </c>
      <c r="T84">
        <v>18092</v>
      </c>
      <c r="U84">
        <v>3</v>
      </c>
      <c r="V84" t="s">
        <v>42</v>
      </c>
      <c r="W84" t="s">
        <v>43</v>
      </c>
      <c r="X84" s="19">
        <v>14</v>
      </c>
      <c r="Y84">
        <v>3</v>
      </c>
      <c r="Z84">
        <v>4</v>
      </c>
      <c r="AA84">
        <v>80</v>
      </c>
      <c r="AB84">
        <v>1</v>
      </c>
      <c r="AC84">
        <v>24</v>
      </c>
      <c r="AD84">
        <v>4</v>
      </c>
      <c r="AE84">
        <v>3</v>
      </c>
      <c r="AF84">
        <v>1</v>
      </c>
      <c r="AG84">
        <v>0</v>
      </c>
      <c r="AH84">
        <v>1</v>
      </c>
      <c r="AI84">
        <v>0</v>
      </c>
      <c r="AJ84">
        <f t="shared" si="10"/>
        <v>0</v>
      </c>
      <c r="AK84">
        <f t="shared" si="11"/>
        <v>0</v>
      </c>
      <c r="AL84">
        <f t="shared" si="12"/>
        <v>1</v>
      </c>
      <c r="AM84">
        <f t="shared" si="13"/>
        <v>3</v>
      </c>
      <c r="AN84">
        <f t="shared" si="14"/>
        <v>61434</v>
      </c>
      <c r="AO84">
        <f t="shared" si="15"/>
        <v>0.04</v>
      </c>
      <c r="AP84" t="str">
        <f t="shared" si="16"/>
        <v>50+</v>
      </c>
      <c r="AQ84" t="str">
        <f t="shared" si="17"/>
        <v>Very High</v>
      </c>
      <c r="AR84" t="str">
        <f t="shared" si="18"/>
        <v>Short</v>
      </c>
      <c r="AS84">
        <f t="shared" si="19"/>
        <v>0</v>
      </c>
    </row>
    <row r="85" spans="1:4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s="20">
        <v>5329</v>
      </c>
      <c r="T85">
        <v>15717</v>
      </c>
      <c r="U85">
        <v>7</v>
      </c>
      <c r="V85" t="s">
        <v>42</v>
      </c>
      <c r="W85" t="s">
        <v>35</v>
      </c>
      <c r="X85" s="19">
        <v>12</v>
      </c>
      <c r="Y85">
        <v>3</v>
      </c>
      <c r="Z85">
        <v>4</v>
      </c>
      <c r="AA85">
        <v>80</v>
      </c>
      <c r="AB85">
        <v>3</v>
      </c>
      <c r="AC85">
        <v>17</v>
      </c>
      <c r="AD85">
        <v>3</v>
      </c>
      <c r="AE85">
        <v>3</v>
      </c>
      <c r="AF85">
        <v>13</v>
      </c>
      <c r="AG85">
        <v>11</v>
      </c>
      <c r="AH85">
        <v>1</v>
      </c>
      <c r="AI85">
        <v>9</v>
      </c>
      <c r="AJ85">
        <f t="shared" si="10"/>
        <v>0</v>
      </c>
      <c r="AK85">
        <f t="shared" si="11"/>
        <v>1</v>
      </c>
      <c r="AL85">
        <f t="shared" si="12"/>
        <v>0</v>
      </c>
      <c r="AM85">
        <f t="shared" si="13"/>
        <v>3.25</v>
      </c>
      <c r="AN85">
        <f t="shared" si="14"/>
        <v>4567.7142857142853</v>
      </c>
      <c r="AO85">
        <f t="shared" si="15"/>
        <v>0.72222222222222221</v>
      </c>
      <c r="AP85" t="str">
        <f t="shared" si="16"/>
        <v>30-39</v>
      </c>
      <c r="AQ85" t="str">
        <f t="shared" si="17"/>
        <v>High</v>
      </c>
      <c r="AR85" t="str">
        <f t="shared" si="18"/>
        <v>Medium</v>
      </c>
      <c r="AS85">
        <f t="shared" si="19"/>
        <v>0</v>
      </c>
    </row>
    <row r="86" spans="1:4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s="20">
        <v>4325</v>
      </c>
      <c r="T86">
        <v>17736</v>
      </c>
      <c r="U86">
        <v>1</v>
      </c>
      <c r="V86" t="s">
        <v>42</v>
      </c>
      <c r="W86" t="s">
        <v>43</v>
      </c>
      <c r="X86" s="19">
        <v>15</v>
      </c>
      <c r="Y86">
        <v>3</v>
      </c>
      <c r="Z86">
        <v>3</v>
      </c>
      <c r="AA86">
        <v>80</v>
      </c>
      <c r="AB86">
        <v>0</v>
      </c>
      <c r="AC86">
        <v>5</v>
      </c>
      <c r="AD86">
        <v>2</v>
      </c>
      <c r="AE86">
        <v>3</v>
      </c>
      <c r="AF86">
        <v>5</v>
      </c>
      <c r="AG86">
        <v>2</v>
      </c>
      <c r="AH86">
        <v>1</v>
      </c>
      <c r="AI86">
        <v>3</v>
      </c>
      <c r="AJ86">
        <f t="shared" si="10"/>
        <v>0</v>
      </c>
      <c r="AK86">
        <f t="shared" si="11"/>
        <v>0</v>
      </c>
      <c r="AL86">
        <f t="shared" si="12"/>
        <v>1</v>
      </c>
      <c r="AM86">
        <f t="shared" si="13"/>
        <v>2.25</v>
      </c>
      <c r="AN86">
        <f t="shared" si="14"/>
        <v>8650</v>
      </c>
      <c r="AO86">
        <f t="shared" si="15"/>
        <v>0.83333333333333337</v>
      </c>
      <c r="AP86" t="str">
        <f t="shared" si="16"/>
        <v>30-39</v>
      </c>
      <c r="AQ86" t="str">
        <f t="shared" si="17"/>
        <v>Medium</v>
      </c>
      <c r="AR86" t="str">
        <f t="shared" si="18"/>
        <v>Short</v>
      </c>
      <c r="AS86">
        <f t="shared" si="19"/>
        <v>0</v>
      </c>
    </row>
    <row r="87" spans="1:45" x14ac:dyDescent="0.3">
      <c r="A87">
        <v>56</v>
      </c>
      <c r="B87" t="s">
        <v>43</v>
      </c>
      <c r="C87" t="s">
        <v>36</v>
      </c>
      <c r="D87">
        <v>1400</v>
      </c>
      <c r="E87" t="s">
        <v>45</v>
      </c>
      <c r="F87">
        <v>5</v>
      </c>
      <c r="G87">
        <v>3</v>
      </c>
      <c r="H87" t="s">
        <v>38</v>
      </c>
      <c r="I87">
        <v>1</v>
      </c>
      <c r="J87">
        <v>112</v>
      </c>
      <c r="K87">
        <v>4</v>
      </c>
      <c r="L87" t="s">
        <v>46</v>
      </c>
      <c r="M87">
        <v>49</v>
      </c>
      <c r="N87">
        <v>1</v>
      </c>
      <c r="O87">
        <v>3</v>
      </c>
      <c r="P87" t="s">
        <v>53</v>
      </c>
      <c r="Q87">
        <v>4</v>
      </c>
      <c r="R87" t="s">
        <v>41</v>
      </c>
      <c r="S87" s="20">
        <v>7260</v>
      </c>
      <c r="T87">
        <v>21698</v>
      </c>
      <c r="U87">
        <v>4</v>
      </c>
      <c r="V87" t="s">
        <v>42</v>
      </c>
      <c r="W87" t="s">
        <v>43</v>
      </c>
      <c r="X87" s="19">
        <v>11</v>
      </c>
      <c r="Y87">
        <v>3</v>
      </c>
      <c r="Z87">
        <v>1</v>
      </c>
      <c r="AA87">
        <v>80</v>
      </c>
      <c r="AB87">
        <v>0</v>
      </c>
      <c r="AC87">
        <v>37</v>
      </c>
      <c r="AD87">
        <v>3</v>
      </c>
      <c r="AE87">
        <v>2</v>
      </c>
      <c r="AF87">
        <v>6</v>
      </c>
      <c r="AG87">
        <v>4</v>
      </c>
      <c r="AH87">
        <v>0</v>
      </c>
      <c r="AI87">
        <v>2</v>
      </c>
      <c r="AJ87">
        <f t="shared" si="10"/>
        <v>0</v>
      </c>
      <c r="AK87">
        <f t="shared" si="11"/>
        <v>0</v>
      </c>
      <c r="AL87">
        <f t="shared" si="12"/>
        <v>1</v>
      </c>
      <c r="AM87">
        <f t="shared" si="13"/>
        <v>2.75</v>
      </c>
      <c r="AN87">
        <f t="shared" si="14"/>
        <v>12445.714285714286</v>
      </c>
      <c r="AO87">
        <f t="shared" si="15"/>
        <v>0.15789473684210525</v>
      </c>
      <c r="AP87" t="str">
        <f t="shared" si="16"/>
        <v>50+</v>
      </c>
      <c r="AQ87" t="str">
        <f t="shared" si="17"/>
        <v>High</v>
      </c>
      <c r="AR87" t="str">
        <f t="shared" si="18"/>
        <v>Short</v>
      </c>
      <c r="AS87">
        <f t="shared" si="19"/>
        <v>0</v>
      </c>
    </row>
    <row r="88" spans="1:4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s="20">
        <v>2322</v>
      </c>
      <c r="T88">
        <v>9518</v>
      </c>
      <c r="U88">
        <v>3</v>
      </c>
      <c r="V88" t="s">
        <v>42</v>
      </c>
      <c r="W88" t="s">
        <v>43</v>
      </c>
      <c r="X88" s="19">
        <v>13</v>
      </c>
      <c r="Y88">
        <v>3</v>
      </c>
      <c r="Z88">
        <v>3</v>
      </c>
      <c r="AA88">
        <v>80</v>
      </c>
      <c r="AB88">
        <v>1</v>
      </c>
      <c r="AC88">
        <v>3</v>
      </c>
      <c r="AD88">
        <v>3</v>
      </c>
      <c r="AE88">
        <v>3</v>
      </c>
      <c r="AF88">
        <v>0</v>
      </c>
      <c r="AG88">
        <v>0</v>
      </c>
      <c r="AH88">
        <v>0</v>
      </c>
      <c r="AI88">
        <v>0</v>
      </c>
      <c r="AJ88">
        <f t="shared" si="10"/>
        <v>0</v>
      </c>
      <c r="AK88">
        <f t="shared" si="11"/>
        <v>0</v>
      </c>
      <c r="AL88">
        <f t="shared" si="12"/>
        <v>1</v>
      </c>
      <c r="AM88">
        <f t="shared" si="13"/>
        <v>2.5</v>
      </c>
      <c r="AN88">
        <f t="shared" si="14"/>
        <v>27864</v>
      </c>
      <c r="AO88">
        <f t="shared" si="15"/>
        <v>0</v>
      </c>
      <c r="AP88" t="str">
        <f t="shared" si="16"/>
        <v>Under 30</v>
      </c>
      <c r="AQ88" t="str">
        <f t="shared" si="17"/>
        <v>Low</v>
      </c>
      <c r="AR88" t="str">
        <f t="shared" si="18"/>
        <v>Short</v>
      </c>
      <c r="AS88">
        <f t="shared" si="19"/>
        <v>0</v>
      </c>
    </row>
    <row r="89" spans="1:4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s="20">
        <v>2075</v>
      </c>
      <c r="T89">
        <v>18725</v>
      </c>
      <c r="U89">
        <v>3</v>
      </c>
      <c r="V89" t="s">
        <v>42</v>
      </c>
      <c r="W89" t="s">
        <v>43</v>
      </c>
      <c r="X89" s="19">
        <v>23</v>
      </c>
      <c r="Y89">
        <v>4</v>
      </c>
      <c r="Z89">
        <v>2</v>
      </c>
      <c r="AA89">
        <v>80</v>
      </c>
      <c r="AB89">
        <v>2</v>
      </c>
      <c r="AC89">
        <v>10</v>
      </c>
      <c r="AD89">
        <v>4</v>
      </c>
      <c r="AE89">
        <v>3</v>
      </c>
      <c r="AF89">
        <v>4</v>
      </c>
      <c r="AG89">
        <v>2</v>
      </c>
      <c r="AH89">
        <v>0</v>
      </c>
      <c r="AI89">
        <v>3</v>
      </c>
      <c r="AJ89">
        <f t="shared" si="10"/>
        <v>0</v>
      </c>
      <c r="AK89">
        <f t="shared" si="11"/>
        <v>0</v>
      </c>
      <c r="AL89">
        <f t="shared" si="12"/>
        <v>1</v>
      </c>
      <c r="AM89">
        <f t="shared" si="13"/>
        <v>3.25</v>
      </c>
      <c r="AN89">
        <f t="shared" si="14"/>
        <v>4980</v>
      </c>
      <c r="AO89">
        <f t="shared" si="15"/>
        <v>0.36363636363636365</v>
      </c>
      <c r="AP89" t="str">
        <f t="shared" si="16"/>
        <v>50+</v>
      </c>
      <c r="AQ89" t="str">
        <f t="shared" si="17"/>
        <v>Low</v>
      </c>
      <c r="AR89" t="str">
        <f t="shared" si="18"/>
        <v>Medium</v>
      </c>
      <c r="AS89">
        <f t="shared" si="19"/>
        <v>0</v>
      </c>
    </row>
    <row r="90" spans="1:4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s="20">
        <v>4152</v>
      </c>
      <c r="T90">
        <v>15830</v>
      </c>
      <c r="U90">
        <v>1</v>
      </c>
      <c r="V90" t="s">
        <v>42</v>
      </c>
      <c r="W90" t="s">
        <v>43</v>
      </c>
      <c r="X90" s="19">
        <v>19</v>
      </c>
      <c r="Y90">
        <v>3</v>
      </c>
      <c r="Z90">
        <v>1</v>
      </c>
      <c r="AA90">
        <v>80</v>
      </c>
      <c r="AB90">
        <v>3</v>
      </c>
      <c r="AC90">
        <v>11</v>
      </c>
      <c r="AD90">
        <v>3</v>
      </c>
      <c r="AE90">
        <v>3</v>
      </c>
      <c r="AF90">
        <v>11</v>
      </c>
      <c r="AG90">
        <v>10</v>
      </c>
      <c r="AH90">
        <v>10</v>
      </c>
      <c r="AI90">
        <v>8</v>
      </c>
      <c r="AJ90">
        <f t="shared" si="10"/>
        <v>0</v>
      </c>
      <c r="AK90">
        <f t="shared" si="11"/>
        <v>0</v>
      </c>
      <c r="AL90">
        <f t="shared" si="12"/>
        <v>1</v>
      </c>
      <c r="AM90">
        <f t="shared" si="13"/>
        <v>2.75</v>
      </c>
      <c r="AN90">
        <f t="shared" si="14"/>
        <v>4152</v>
      </c>
      <c r="AO90">
        <f t="shared" si="15"/>
        <v>0.91666666666666663</v>
      </c>
      <c r="AP90" t="str">
        <f t="shared" si="16"/>
        <v>30-39</v>
      </c>
      <c r="AQ90" t="str">
        <f t="shared" si="17"/>
        <v>Medium</v>
      </c>
      <c r="AR90" t="str">
        <f t="shared" si="18"/>
        <v>Short</v>
      </c>
      <c r="AS90">
        <f t="shared" si="19"/>
        <v>0</v>
      </c>
    </row>
    <row r="91" spans="1:4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s="20">
        <v>9619</v>
      </c>
      <c r="T91">
        <v>13596</v>
      </c>
      <c r="U91">
        <v>1</v>
      </c>
      <c r="V91" t="s">
        <v>42</v>
      </c>
      <c r="W91" t="s">
        <v>43</v>
      </c>
      <c r="X91" s="19">
        <v>16</v>
      </c>
      <c r="Y91">
        <v>3</v>
      </c>
      <c r="Z91">
        <v>4</v>
      </c>
      <c r="AA91">
        <v>80</v>
      </c>
      <c r="AB91">
        <v>0</v>
      </c>
      <c r="AC91">
        <v>9</v>
      </c>
      <c r="AD91">
        <v>3</v>
      </c>
      <c r="AE91">
        <v>3</v>
      </c>
      <c r="AF91">
        <v>9</v>
      </c>
      <c r="AG91">
        <v>8</v>
      </c>
      <c r="AH91">
        <v>4</v>
      </c>
      <c r="AI91">
        <v>7</v>
      </c>
      <c r="AJ91">
        <f t="shared" si="10"/>
        <v>1</v>
      </c>
      <c r="AK91">
        <f t="shared" si="11"/>
        <v>0</v>
      </c>
      <c r="AL91">
        <f t="shared" si="12"/>
        <v>1</v>
      </c>
      <c r="AM91">
        <f t="shared" si="13"/>
        <v>3.5</v>
      </c>
      <c r="AN91">
        <f t="shared" si="14"/>
        <v>11542.8</v>
      </c>
      <c r="AO91">
        <f t="shared" si="15"/>
        <v>0.9</v>
      </c>
      <c r="AP91" t="str">
        <f t="shared" si="16"/>
        <v>40-49</v>
      </c>
      <c r="AQ91" t="str">
        <f t="shared" si="17"/>
        <v>Very High</v>
      </c>
      <c r="AR91" t="str">
        <f t="shared" si="18"/>
        <v>Medium</v>
      </c>
      <c r="AS91">
        <f t="shared" si="19"/>
        <v>0</v>
      </c>
    </row>
    <row r="92" spans="1:4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s="20">
        <v>13503</v>
      </c>
      <c r="T92">
        <v>14115</v>
      </c>
      <c r="U92">
        <v>1</v>
      </c>
      <c r="V92" t="s">
        <v>42</v>
      </c>
      <c r="W92" t="s">
        <v>43</v>
      </c>
      <c r="X92" s="19">
        <v>22</v>
      </c>
      <c r="Y92">
        <v>4</v>
      </c>
      <c r="Z92">
        <v>4</v>
      </c>
      <c r="AA92">
        <v>80</v>
      </c>
      <c r="AB92">
        <v>1</v>
      </c>
      <c r="AC92">
        <v>22</v>
      </c>
      <c r="AD92">
        <v>3</v>
      </c>
      <c r="AE92">
        <v>2</v>
      </c>
      <c r="AF92">
        <v>22</v>
      </c>
      <c r="AG92">
        <v>3</v>
      </c>
      <c r="AH92">
        <v>11</v>
      </c>
      <c r="AI92">
        <v>11</v>
      </c>
      <c r="AJ92">
        <f t="shared" si="10"/>
        <v>0</v>
      </c>
      <c r="AK92">
        <f t="shared" si="11"/>
        <v>0</v>
      </c>
      <c r="AL92">
        <f t="shared" si="12"/>
        <v>1</v>
      </c>
      <c r="AM92">
        <f t="shared" si="13"/>
        <v>2.75</v>
      </c>
      <c r="AN92">
        <f t="shared" si="14"/>
        <v>7045.04347826087</v>
      </c>
      <c r="AO92">
        <f t="shared" si="15"/>
        <v>0.95652173913043481</v>
      </c>
      <c r="AP92" t="str">
        <f t="shared" si="16"/>
        <v>40-49</v>
      </c>
      <c r="AQ92" t="str">
        <f t="shared" si="17"/>
        <v>Very High</v>
      </c>
      <c r="AR92" t="str">
        <f t="shared" si="18"/>
        <v>Short</v>
      </c>
      <c r="AS92">
        <f t="shared" si="19"/>
        <v>1</v>
      </c>
    </row>
    <row r="93" spans="1:4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s="20">
        <v>5441</v>
      </c>
      <c r="T93">
        <v>8423</v>
      </c>
      <c r="U93">
        <v>0</v>
      </c>
      <c r="V93" t="s">
        <v>42</v>
      </c>
      <c r="W93" t="s">
        <v>35</v>
      </c>
      <c r="X93" s="19">
        <v>22</v>
      </c>
      <c r="Y93">
        <v>4</v>
      </c>
      <c r="Z93">
        <v>4</v>
      </c>
      <c r="AA93">
        <v>80</v>
      </c>
      <c r="AB93">
        <v>0</v>
      </c>
      <c r="AC93">
        <v>11</v>
      </c>
      <c r="AD93">
        <v>2</v>
      </c>
      <c r="AE93">
        <v>1</v>
      </c>
      <c r="AF93">
        <v>10</v>
      </c>
      <c r="AG93">
        <v>7</v>
      </c>
      <c r="AH93">
        <v>1</v>
      </c>
      <c r="AI93">
        <v>0</v>
      </c>
      <c r="AJ93">
        <f t="shared" si="10"/>
        <v>0</v>
      </c>
      <c r="AK93">
        <f t="shared" si="11"/>
        <v>1</v>
      </c>
      <c r="AL93">
        <f t="shared" si="12"/>
        <v>1</v>
      </c>
      <c r="AM93">
        <f t="shared" si="13"/>
        <v>3</v>
      </c>
      <c r="AN93">
        <f t="shared" si="14"/>
        <v>5935.636363636364</v>
      </c>
      <c r="AO93">
        <f t="shared" si="15"/>
        <v>0.83333333333333337</v>
      </c>
      <c r="AP93" t="str">
        <f t="shared" si="16"/>
        <v>50+</v>
      </c>
      <c r="AQ93" t="str">
        <f t="shared" si="17"/>
        <v>High</v>
      </c>
      <c r="AR93" t="str">
        <f t="shared" si="18"/>
        <v>Long</v>
      </c>
      <c r="AS93">
        <f t="shared" si="19"/>
        <v>0</v>
      </c>
    </row>
    <row r="94" spans="1:4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s="20">
        <v>5209</v>
      </c>
      <c r="T94">
        <v>19760</v>
      </c>
      <c r="U94">
        <v>1</v>
      </c>
      <c r="V94" t="s">
        <v>42</v>
      </c>
      <c r="W94" t="s">
        <v>35</v>
      </c>
      <c r="X94" s="19">
        <v>12</v>
      </c>
      <c r="Y94">
        <v>3</v>
      </c>
      <c r="Z94">
        <v>2</v>
      </c>
      <c r="AA94">
        <v>80</v>
      </c>
      <c r="AB94">
        <v>3</v>
      </c>
      <c r="AC94">
        <v>11</v>
      </c>
      <c r="AD94">
        <v>4</v>
      </c>
      <c r="AE94">
        <v>2</v>
      </c>
      <c r="AF94">
        <v>11</v>
      </c>
      <c r="AG94">
        <v>8</v>
      </c>
      <c r="AH94">
        <v>2</v>
      </c>
      <c r="AI94">
        <v>7</v>
      </c>
      <c r="AJ94">
        <f t="shared" si="10"/>
        <v>0</v>
      </c>
      <c r="AK94">
        <f t="shared" si="11"/>
        <v>1</v>
      </c>
      <c r="AL94">
        <f t="shared" si="12"/>
        <v>0</v>
      </c>
      <c r="AM94">
        <f t="shared" si="13"/>
        <v>2.25</v>
      </c>
      <c r="AN94">
        <f t="shared" si="14"/>
        <v>5209</v>
      </c>
      <c r="AO94">
        <f t="shared" si="15"/>
        <v>0.91666666666666663</v>
      </c>
      <c r="AP94" t="str">
        <f t="shared" si="16"/>
        <v>30-39</v>
      </c>
      <c r="AQ94" t="str">
        <f t="shared" si="17"/>
        <v>High</v>
      </c>
      <c r="AR94" t="str">
        <f t="shared" si="18"/>
        <v>Short</v>
      </c>
      <c r="AS94">
        <f t="shared" si="19"/>
        <v>0</v>
      </c>
    </row>
    <row r="95" spans="1:4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s="20">
        <v>10673</v>
      </c>
      <c r="T95">
        <v>3142</v>
      </c>
      <c r="U95">
        <v>2</v>
      </c>
      <c r="V95" t="s">
        <v>42</v>
      </c>
      <c r="W95" t="s">
        <v>35</v>
      </c>
      <c r="X95" s="19">
        <v>13</v>
      </c>
      <c r="Y95">
        <v>3</v>
      </c>
      <c r="Z95">
        <v>3</v>
      </c>
      <c r="AA95">
        <v>80</v>
      </c>
      <c r="AB95">
        <v>1</v>
      </c>
      <c r="AC95">
        <v>21</v>
      </c>
      <c r="AD95">
        <v>5</v>
      </c>
      <c r="AE95">
        <v>2</v>
      </c>
      <c r="AF95">
        <v>10</v>
      </c>
      <c r="AG95">
        <v>9</v>
      </c>
      <c r="AH95">
        <v>9</v>
      </c>
      <c r="AI95">
        <v>5</v>
      </c>
      <c r="AJ95">
        <f t="shared" si="10"/>
        <v>0</v>
      </c>
      <c r="AK95">
        <f t="shared" si="11"/>
        <v>1</v>
      </c>
      <c r="AL95">
        <f t="shared" si="12"/>
        <v>1</v>
      </c>
      <c r="AM95">
        <f t="shared" si="13"/>
        <v>2.25</v>
      </c>
      <c r="AN95">
        <f t="shared" si="14"/>
        <v>11643.272727272728</v>
      </c>
      <c r="AO95">
        <f t="shared" si="15"/>
        <v>0.45454545454545453</v>
      </c>
      <c r="AP95" t="str">
        <f t="shared" si="16"/>
        <v>40-49</v>
      </c>
      <c r="AQ95" t="str">
        <f t="shared" si="17"/>
        <v>Very High</v>
      </c>
      <c r="AR95" t="str">
        <f t="shared" si="18"/>
        <v>Short</v>
      </c>
      <c r="AS95">
        <f t="shared" si="19"/>
        <v>1</v>
      </c>
    </row>
    <row r="96" spans="1:4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s="20">
        <v>5010</v>
      </c>
      <c r="T96">
        <v>24301</v>
      </c>
      <c r="U96">
        <v>1</v>
      </c>
      <c r="V96" t="s">
        <v>42</v>
      </c>
      <c r="W96" t="s">
        <v>43</v>
      </c>
      <c r="X96" s="19">
        <v>16</v>
      </c>
      <c r="Y96">
        <v>3</v>
      </c>
      <c r="Z96">
        <v>1</v>
      </c>
      <c r="AA96">
        <v>80</v>
      </c>
      <c r="AB96">
        <v>0</v>
      </c>
      <c r="AC96">
        <v>12</v>
      </c>
      <c r="AD96">
        <v>0</v>
      </c>
      <c r="AE96">
        <v>3</v>
      </c>
      <c r="AF96">
        <v>11</v>
      </c>
      <c r="AG96">
        <v>8</v>
      </c>
      <c r="AH96">
        <v>5</v>
      </c>
      <c r="AI96">
        <v>7</v>
      </c>
      <c r="AJ96">
        <f t="shared" si="10"/>
        <v>0</v>
      </c>
      <c r="AK96">
        <f t="shared" si="11"/>
        <v>0</v>
      </c>
      <c r="AL96">
        <f t="shared" si="12"/>
        <v>1</v>
      </c>
      <c r="AM96">
        <f t="shared" si="13"/>
        <v>2.25</v>
      </c>
      <c r="AN96">
        <f t="shared" si="14"/>
        <v>5010</v>
      </c>
      <c r="AO96">
        <f t="shared" si="15"/>
        <v>0.84615384615384615</v>
      </c>
      <c r="AP96" t="str">
        <f t="shared" si="16"/>
        <v>30-39</v>
      </c>
      <c r="AQ96" t="str">
        <f t="shared" si="17"/>
        <v>High</v>
      </c>
      <c r="AR96" t="str">
        <f t="shared" si="18"/>
        <v>Medium</v>
      </c>
      <c r="AS96">
        <f t="shared" si="19"/>
        <v>0</v>
      </c>
    </row>
    <row r="97" spans="1:45" x14ac:dyDescent="0.3">
      <c r="A97">
        <v>54</v>
      </c>
      <c r="B97" t="s">
        <v>43</v>
      </c>
      <c r="C97" t="s">
        <v>36</v>
      </c>
      <c r="D97">
        <v>1217</v>
      </c>
      <c r="E97" t="s">
        <v>45</v>
      </c>
      <c r="F97">
        <v>12</v>
      </c>
      <c r="G97">
        <v>4</v>
      </c>
      <c r="H97" t="s">
        <v>60</v>
      </c>
      <c r="I97">
        <v>1</v>
      </c>
      <c r="J97">
        <v>126</v>
      </c>
      <c r="K97">
        <v>1</v>
      </c>
      <c r="L97" t="s">
        <v>39</v>
      </c>
      <c r="M97">
        <v>60</v>
      </c>
      <c r="N97">
        <v>3</v>
      </c>
      <c r="O97">
        <v>3</v>
      </c>
      <c r="P97" t="s">
        <v>58</v>
      </c>
      <c r="Q97">
        <v>3</v>
      </c>
      <c r="R97" t="s">
        <v>48</v>
      </c>
      <c r="S97" s="20">
        <v>13549</v>
      </c>
      <c r="T97">
        <v>24001</v>
      </c>
      <c r="U97">
        <v>9</v>
      </c>
      <c r="V97" t="s">
        <v>42</v>
      </c>
      <c r="W97" t="s">
        <v>43</v>
      </c>
      <c r="X97" s="19">
        <v>12</v>
      </c>
      <c r="Y97">
        <v>3</v>
      </c>
      <c r="Z97">
        <v>1</v>
      </c>
      <c r="AA97">
        <v>80</v>
      </c>
      <c r="AB97">
        <v>1</v>
      </c>
      <c r="AC97">
        <v>16</v>
      </c>
      <c r="AD97">
        <v>5</v>
      </c>
      <c r="AE97">
        <v>1</v>
      </c>
      <c r="AF97">
        <v>4</v>
      </c>
      <c r="AG97">
        <v>3</v>
      </c>
      <c r="AH97">
        <v>0</v>
      </c>
      <c r="AI97">
        <v>3</v>
      </c>
      <c r="AJ97">
        <f t="shared" si="10"/>
        <v>0</v>
      </c>
      <c r="AK97">
        <f t="shared" si="11"/>
        <v>0</v>
      </c>
      <c r="AL97">
        <f t="shared" si="12"/>
        <v>0</v>
      </c>
      <c r="AM97">
        <f t="shared" si="13"/>
        <v>1.5</v>
      </c>
      <c r="AN97">
        <f t="shared" si="14"/>
        <v>32517.599999999999</v>
      </c>
      <c r="AO97">
        <f t="shared" si="15"/>
        <v>0.23529411764705882</v>
      </c>
      <c r="AP97" t="str">
        <f t="shared" si="16"/>
        <v>50+</v>
      </c>
      <c r="AQ97" t="str">
        <f t="shared" si="17"/>
        <v>Very High</v>
      </c>
      <c r="AR97" t="str">
        <f t="shared" si="18"/>
        <v>Medium</v>
      </c>
      <c r="AS97">
        <f t="shared" si="19"/>
        <v>0</v>
      </c>
    </row>
    <row r="98" spans="1:4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s="20">
        <v>4999</v>
      </c>
      <c r="T98">
        <v>17519</v>
      </c>
      <c r="U98">
        <v>0</v>
      </c>
      <c r="V98" t="s">
        <v>42</v>
      </c>
      <c r="W98" t="s">
        <v>43</v>
      </c>
      <c r="X98" s="19">
        <v>21</v>
      </c>
      <c r="Y98">
        <v>4</v>
      </c>
      <c r="Z98">
        <v>1</v>
      </c>
      <c r="AA98">
        <v>80</v>
      </c>
      <c r="AB98">
        <v>1</v>
      </c>
      <c r="AC98">
        <v>4</v>
      </c>
      <c r="AD98">
        <v>2</v>
      </c>
      <c r="AE98">
        <v>2</v>
      </c>
      <c r="AF98">
        <v>3</v>
      </c>
      <c r="AG98">
        <v>2</v>
      </c>
      <c r="AH98">
        <v>0</v>
      </c>
      <c r="AI98">
        <v>2</v>
      </c>
      <c r="AJ98">
        <f t="shared" si="10"/>
        <v>0</v>
      </c>
      <c r="AK98">
        <f t="shared" si="11"/>
        <v>0</v>
      </c>
      <c r="AL98">
        <f t="shared" si="12"/>
        <v>0</v>
      </c>
      <c r="AM98">
        <f t="shared" si="13"/>
        <v>1.75</v>
      </c>
      <c r="AN98">
        <f t="shared" si="14"/>
        <v>14997</v>
      </c>
      <c r="AO98">
        <f t="shared" si="15"/>
        <v>0.6</v>
      </c>
      <c r="AP98" t="str">
        <f t="shared" si="16"/>
        <v>Under 30</v>
      </c>
      <c r="AQ98" t="str">
        <f t="shared" si="17"/>
        <v>High</v>
      </c>
      <c r="AR98" t="str">
        <f t="shared" si="18"/>
        <v>Short</v>
      </c>
      <c r="AS98">
        <f t="shared" si="19"/>
        <v>0</v>
      </c>
    </row>
    <row r="99" spans="1:4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s="20">
        <v>4221</v>
      </c>
      <c r="T99">
        <v>8863</v>
      </c>
      <c r="U99">
        <v>1</v>
      </c>
      <c r="V99" t="s">
        <v>42</v>
      </c>
      <c r="W99" t="s">
        <v>43</v>
      </c>
      <c r="X99" s="19">
        <v>15</v>
      </c>
      <c r="Y99">
        <v>3</v>
      </c>
      <c r="Z99">
        <v>2</v>
      </c>
      <c r="AA99">
        <v>80</v>
      </c>
      <c r="AB99">
        <v>0</v>
      </c>
      <c r="AC99">
        <v>5</v>
      </c>
      <c r="AD99">
        <v>3</v>
      </c>
      <c r="AE99">
        <v>4</v>
      </c>
      <c r="AF99">
        <v>5</v>
      </c>
      <c r="AG99">
        <v>4</v>
      </c>
      <c r="AH99">
        <v>0</v>
      </c>
      <c r="AI99">
        <v>4</v>
      </c>
      <c r="AJ99">
        <f t="shared" si="10"/>
        <v>0</v>
      </c>
      <c r="AK99">
        <f t="shared" si="11"/>
        <v>0</v>
      </c>
      <c r="AL99">
        <f t="shared" si="12"/>
        <v>1</v>
      </c>
      <c r="AM99">
        <f t="shared" si="13"/>
        <v>2.75</v>
      </c>
      <c r="AN99">
        <f t="shared" si="14"/>
        <v>8442</v>
      </c>
      <c r="AO99">
        <f t="shared" si="15"/>
        <v>0.83333333333333337</v>
      </c>
      <c r="AP99" t="str">
        <f t="shared" si="16"/>
        <v>Under 30</v>
      </c>
      <c r="AQ99" t="str">
        <f t="shared" si="17"/>
        <v>Medium</v>
      </c>
      <c r="AR99" t="str">
        <f t="shared" si="18"/>
        <v>Short</v>
      </c>
      <c r="AS99">
        <f t="shared" si="19"/>
        <v>0</v>
      </c>
    </row>
    <row r="100" spans="1:4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s="20">
        <v>13872</v>
      </c>
      <c r="T100">
        <v>24409</v>
      </c>
      <c r="U100">
        <v>0</v>
      </c>
      <c r="V100" t="s">
        <v>42</v>
      </c>
      <c r="W100" t="s">
        <v>43</v>
      </c>
      <c r="X100" s="19">
        <v>13</v>
      </c>
      <c r="Y100">
        <v>3</v>
      </c>
      <c r="Z100">
        <v>3</v>
      </c>
      <c r="AA100">
        <v>80</v>
      </c>
      <c r="AB100">
        <v>0</v>
      </c>
      <c r="AC100">
        <v>38</v>
      </c>
      <c r="AD100">
        <v>1</v>
      </c>
      <c r="AE100">
        <v>2</v>
      </c>
      <c r="AF100">
        <v>37</v>
      </c>
      <c r="AG100">
        <v>10</v>
      </c>
      <c r="AH100">
        <v>1</v>
      </c>
      <c r="AI100">
        <v>8</v>
      </c>
      <c r="AJ100">
        <f t="shared" si="10"/>
        <v>0</v>
      </c>
      <c r="AK100">
        <f t="shared" si="11"/>
        <v>0</v>
      </c>
      <c r="AL100">
        <f t="shared" si="12"/>
        <v>1</v>
      </c>
      <c r="AM100">
        <f t="shared" si="13"/>
        <v>3</v>
      </c>
      <c r="AN100">
        <f t="shared" si="14"/>
        <v>4380.6315789473683</v>
      </c>
      <c r="AO100">
        <f t="shared" si="15"/>
        <v>0.94871794871794868</v>
      </c>
      <c r="AP100" t="str">
        <f t="shared" si="16"/>
        <v>50+</v>
      </c>
      <c r="AQ100" t="str">
        <f t="shared" si="17"/>
        <v>Very High</v>
      </c>
      <c r="AR100" t="str">
        <f t="shared" si="18"/>
        <v>Medium</v>
      </c>
      <c r="AS100">
        <f t="shared" si="19"/>
        <v>0</v>
      </c>
    </row>
    <row r="101" spans="1:4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s="20">
        <v>2042</v>
      </c>
      <c r="T101">
        <v>25043</v>
      </c>
      <c r="U101">
        <v>4</v>
      </c>
      <c r="V101" t="s">
        <v>42</v>
      </c>
      <c r="W101" t="s">
        <v>43</v>
      </c>
      <c r="X101" s="19">
        <v>12</v>
      </c>
      <c r="Y101">
        <v>3</v>
      </c>
      <c r="Z101">
        <v>3</v>
      </c>
      <c r="AA101">
        <v>80</v>
      </c>
      <c r="AB101">
        <v>1</v>
      </c>
      <c r="AC101">
        <v>17</v>
      </c>
      <c r="AD101">
        <v>3</v>
      </c>
      <c r="AE101">
        <v>4</v>
      </c>
      <c r="AF101">
        <v>3</v>
      </c>
      <c r="AG101">
        <v>2</v>
      </c>
      <c r="AH101">
        <v>1</v>
      </c>
      <c r="AI101">
        <v>2</v>
      </c>
      <c r="AJ101">
        <f t="shared" si="10"/>
        <v>0</v>
      </c>
      <c r="AK101">
        <f t="shared" si="11"/>
        <v>0</v>
      </c>
      <c r="AL101">
        <f t="shared" si="12"/>
        <v>1</v>
      </c>
      <c r="AM101">
        <f t="shared" si="13"/>
        <v>2.75</v>
      </c>
      <c r="AN101">
        <f t="shared" si="14"/>
        <v>6126</v>
      </c>
      <c r="AO101">
        <f t="shared" si="15"/>
        <v>0.16666666666666666</v>
      </c>
      <c r="AP101" t="str">
        <f t="shared" si="16"/>
        <v>40-49</v>
      </c>
      <c r="AQ101" t="str">
        <f t="shared" si="17"/>
        <v>Low</v>
      </c>
      <c r="AR101" t="str">
        <f t="shared" si="18"/>
        <v>Long</v>
      </c>
      <c r="AS101">
        <f t="shared" si="19"/>
        <v>0</v>
      </c>
    </row>
    <row r="102" spans="1:45" x14ac:dyDescent="0.3">
      <c r="A102">
        <v>37</v>
      </c>
      <c r="B102" t="s">
        <v>35</v>
      </c>
      <c r="C102" t="s">
        <v>36</v>
      </c>
      <c r="D102">
        <v>807</v>
      </c>
      <c r="E102" t="s">
        <v>37</v>
      </c>
      <c r="F102">
        <v>6</v>
      </c>
      <c r="G102">
        <v>4</v>
      </c>
      <c r="H102" t="s">
        <v>61</v>
      </c>
      <c r="I102">
        <v>1</v>
      </c>
      <c r="J102">
        <v>133</v>
      </c>
      <c r="K102">
        <v>3</v>
      </c>
      <c r="L102" t="s">
        <v>46</v>
      </c>
      <c r="M102">
        <v>63</v>
      </c>
      <c r="N102">
        <v>3</v>
      </c>
      <c r="O102">
        <v>1</v>
      </c>
      <c r="P102" t="s">
        <v>61</v>
      </c>
      <c r="Q102">
        <v>1</v>
      </c>
      <c r="R102" t="s">
        <v>52</v>
      </c>
      <c r="S102" s="20">
        <v>2073</v>
      </c>
      <c r="T102">
        <v>23648</v>
      </c>
      <c r="U102">
        <v>4</v>
      </c>
      <c r="V102" t="s">
        <v>42</v>
      </c>
      <c r="W102" t="s">
        <v>35</v>
      </c>
      <c r="X102" s="19">
        <v>22</v>
      </c>
      <c r="Y102">
        <v>4</v>
      </c>
      <c r="Z102">
        <v>4</v>
      </c>
      <c r="AA102">
        <v>80</v>
      </c>
      <c r="AB102">
        <v>0</v>
      </c>
      <c r="AC102">
        <v>7</v>
      </c>
      <c r="AD102">
        <v>3</v>
      </c>
      <c r="AE102">
        <v>3</v>
      </c>
      <c r="AF102">
        <v>3</v>
      </c>
      <c r="AG102">
        <v>2</v>
      </c>
      <c r="AH102">
        <v>0</v>
      </c>
      <c r="AI102">
        <v>2</v>
      </c>
      <c r="AJ102">
        <f t="shared" si="10"/>
        <v>1</v>
      </c>
      <c r="AK102">
        <f t="shared" si="11"/>
        <v>1</v>
      </c>
      <c r="AL102">
        <f t="shared" si="12"/>
        <v>1</v>
      </c>
      <c r="AM102">
        <f t="shared" si="13"/>
        <v>2.75</v>
      </c>
      <c r="AN102">
        <f t="shared" si="14"/>
        <v>6219</v>
      </c>
      <c r="AO102">
        <f t="shared" si="15"/>
        <v>0.375</v>
      </c>
      <c r="AP102" t="str">
        <f t="shared" si="16"/>
        <v>30-39</v>
      </c>
      <c r="AQ102" t="str">
        <f t="shared" si="17"/>
        <v>Low</v>
      </c>
      <c r="AR102" t="str">
        <f t="shared" si="18"/>
        <v>Medium</v>
      </c>
      <c r="AS102">
        <f t="shared" si="19"/>
        <v>0</v>
      </c>
    </row>
    <row r="103" spans="1:4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s="20">
        <v>2956</v>
      </c>
      <c r="T103">
        <v>15178</v>
      </c>
      <c r="U103">
        <v>1</v>
      </c>
      <c r="V103" t="s">
        <v>42</v>
      </c>
      <c r="W103" t="s">
        <v>43</v>
      </c>
      <c r="X103" s="19">
        <v>13</v>
      </c>
      <c r="Y103">
        <v>3</v>
      </c>
      <c r="Z103">
        <v>4</v>
      </c>
      <c r="AA103">
        <v>80</v>
      </c>
      <c r="AB103">
        <v>0</v>
      </c>
      <c r="AC103">
        <v>1</v>
      </c>
      <c r="AD103">
        <v>2</v>
      </c>
      <c r="AE103">
        <v>3</v>
      </c>
      <c r="AF103">
        <v>1</v>
      </c>
      <c r="AG103">
        <v>0</v>
      </c>
      <c r="AH103">
        <v>0</v>
      </c>
      <c r="AI103">
        <v>0</v>
      </c>
      <c r="AJ103">
        <f t="shared" si="10"/>
        <v>0</v>
      </c>
      <c r="AK103">
        <f t="shared" si="11"/>
        <v>0</v>
      </c>
      <c r="AL103">
        <f t="shared" si="12"/>
        <v>1</v>
      </c>
      <c r="AM103">
        <f t="shared" si="13"/>
        <v>3</v>
      </c>
      <c r="AN103">
        <f t="shared" si="14"/>
        <v>17736</v>
      </c>
      <c r="AO103">
        <f t="shared" si="15"/>
        <v>0.5</v>
      </c>
      <c r="AP103" t="str">
        <f t="shared" si="16"/>
        <v>30-39</v>
      </c>
      <c r="AQ103" t="str">
        <f t="shared" si="17"/>
        <v>Medium</v>
      </c>
      <c r="AR103" t="str">
        <f t="shared" si="18"/>
        <v>Short</v>
      </c>
      <c r="AS103">
        <f t="shared" si="19"/>
        <v>0</v>
      </c>
    </row>
    <row r="104" spans="1:4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s="20">
        <v>2926</v>
      </c>
      <c r="T104">
        <v>19783</v>
      </c>
      <c r="U104">
        <v>1</v>
      </c>
      <c r="V104" t="s">
        <v>42</v>
      </c>
      <c r="W104" t="s">
        <v>35</v>
      </c>
      <c r="X104" s="19">
        <v>18</v>
      </c>
      <c r="Y104">
        <v>3</v>
      </c>
      <c r="Z104">
        <v>2</v>
      </c>
      <c r="AA104">
        <v>80</v>
      </c>
      <c r="AB104">
        <v>0</v>
      </c>
      <c r="AC104">
        <v>1</v>
      </c>
      <c r="AD104">
        <v>5</v>
      </c>
      <c r="AE104">
        <v>3</v>
      </c>
      <c r="AF104">
        <v>1</v>
      </c>
      <c r="AG104">
        <v>0</v>
      </c>
      <c r="AH104">
        <v>1</v>
      </c>
      <c r="AI104">
        <v>0</v>
      </c>
      <c r="AJ104">
        <f t="shared" si="10"/>
        <v>1</v>
      </c>
      <c r="AK104">
        <f t="shared" si="11"/>
        <v>1</v>
      </c>
      <c r="AL104">
        <f t="shared" si="12"/>
        <v>0</v>
      </c>
      <c r="AM104">
        <f t="shared" si="13"/>
        <v>3.25</v>
      </c>
      <c r="AN104">
        <f t="shared" si="14"/>
        <v>17556</v>
      </c>
      <c r="AO104">
        <f t="shared" si="15"/>
        <v>0.5</v>
      </c>
      <c r="AP104" t="str">
        <f t="shared" si="16"/>
        <v>Under 30</v>
      </c>
      <c r="AQ104" t="str">
        <f t="shared" si="17"/>
        <v>Medium</v>
      </c>
      <c r="AR104" t="str">
        <f t="shared" si="18"/>
        <v>Medium</v>
      </c>
      <c r="AS104">
        <f t="shared" si="19"/>
        <v>1</v>
      </c>
    </row>
    <row r="105" spans="1:4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s="20">
        <v>4809</v>
      </c>
      <c r="T105">
        <v>12482</v>
      </c>
      <c r="U105">
        <v>1</v>
      </c>
      <c r="V105" t="s">
        <v>42</v>
      </c>
      <c r="W105" t="s">
        <v>43</v>
      </c>
      <c r="X105" s="19">
        <v>14</v>
      </c>
      <c r="Y105">
        <v>3</v>
      </c>
      <c r="Z105">
        <v>3</v>
      </c>
      <c r="AA105">
        <v>80</v>
      </c>
      <c r="AB105">
        <v>0</v>
      </c>
      <c r="AC105">
        <v>16</v>
      </c>
      <c r="AD105">
        <v>3</v>
      </c>
      <c r="AE105">
        <v>3</v>
      </c>
      <c r="AF105">
        <v>16</v>
      </c>
      <c r="AG105">
        <v>13</v>
      </c>
      <c r="AH105">
        <v>2</v>
      </c>
      <c r="AI105">
        <v>10</v>
      </c>
      <c r="AJ105">
        <f t="shared" si="10"/>
        <v>0</v>
      </c>
      <c r="AK105">
        <f t="shared" si="11"/>
        <v>0</v>
      </c>
      <c r="AL105">
        <f t="shared" si="12"/>
        <v>0</v>
      </c>
      <c r="AM105">
        <f t="shared" si="13"/>
        <v>2.5</v>
      </c>
      <c r="AN105">
        <f t="shared" si="14"/>
        <v>3394.5882352941176</v>
      </c>
      <c r="AO105">
        <f t="shared" si="15"/>
        <v>0.94117647058823528</v>
      </c>
      <c r="AP105" t="str">
        <f t="shared" si="16"/>
        <v>30-39</v>
      </c>
      <c r="AQ105" t="str">
        <f t="shared" si="17"/>
        <v>Medium</v>
      </c>
      <c r="AR105" t="str">
        <f t="shared" si="18"/>
        <v>Medium</v>
      </c>
      <c r="AS105">
        <f t="shared" si="19"/>
        <v>0</v>
      </c>
    </row>
    <row r="106" spans="1:4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s="20">
        <v>5163</v>
      </c>
      <c r="T106">
        <v>15850</v>
      </c>
      <c r="U106">
        <v>5</v>
      </c>
      <c r="V106" t="s">
        <v>42</v>
      </c>
      <c r="W106" t="s">
        <v>43</v>
      </c>
      <c r="X106" s="19">
        <v>14</v>
      </c>
      <c r="Y106">
        <v>3</v>
      </c>
      <c r="Z106">
        <v>4</v>
      </c>
      <c r="AA106">
        <v>80</v>
      </c>
      <c r="AB106">
        <v>1</v>
      </c>
      <c r="AC106">
        <v>17</v>
      </c>
      <c r="AD106">
        <v>2</v>
      </c>
      <c r="AE106">
        <v>4</v>
      </c>
      <c r="AF106">
        <v>1</v>
      </c>
      <c r="AG106">
        <v>0</v>
      </c>
      <c r="AH106">
        <v>0</v>
      </c>
      <c r="AI106">
        <v>0</v>
      </c>
      <c r="AJ106">
        <f t="shared" si="10"/>
        <v>0</v>
      </c>
      <c r="AK106">
        <f t="shared" si="11"/>
        <v>0</v>
      </c>
      <c r="AL106">
        <f t="shared" si="12"/>
        <v>1</v>
      </c>
      <c r="AM106">
        <f t="shared" si="13"/>
        <v>3.75</v>
      </c>
      <c r="AN106">
        <f t="shared" si="14"/>
        <v>30978</v>
      </c>
      <c r="AO106">
        <f t="shared" si="15"/>
        <v>5.5555555555555552E-2</v>
      </c>
      <c r="AP106" t="str">
        <f t="shared" si="16"/>
        <v>30-39</v>
      </c>
      <c r="AQ106" t="str">
        <f t="shared" si="17"/>
        <v>High</v>
      </c>
      <c r="AR106" t="str">
        <f t="shared" si="18"/>
        <v>Short</v>
      </c>
      <c r="AS106">
        <f t="shared" si="19"/>
        <v>0</v>
      </c>
    </row>
    <row r="107" spans="1:4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s="20">
        <v>18844</v>
      </c>
      <c r="T107">
        <v>21922</v>
      </c>
      <c r="U107">
        <v>9</v>
      </c>
      <c r="V107" t="s">
        <v>42</v>
      </c>
      <c r="W107" t="s">
        <v>43</v>
      </c>
      <c r="X107" s="19">
        <v>11</v>
      </c>
      <c r="Y107">
        <v>4</v>
      </c>
      <c r="Z107">
        <v>4</v>
      </c>
      <c r="AA107">
        <v>80</v>
      </c>
      <c r="AB107">
        <v>1</v>
      </c>
      <c r="AC107">
        <v>30</v>
      </c>
      <c r="AD107">
        <v>3</v>
      </c>
      <c r="AE107">
        <v>3</v>
      </c>
      <c r="AF107">
        <v>3</v>
      </c>
      <c r="AG107">
        <v>2</v>
      </c>
      <c r="AH107">
        <v>2</v>
      </c>
      <c r="AI107">
        <v>2</v>
      </c>
      <c r="AJ107">
        <f t="shared" si="10"/>
        <v>0</v>
      </c>
      <c r="AK107">
        <f t="shared" si="11"/>
        <v>0</v>
      </c>
      <c r="AL107">
        <f t="shared" si="12"/>
        <v>0</v>
      </c>
      <c r="AM107">
        <f t="shared" si="13"/>
        <v>3.5</v>
      </c>
      <c r="AN107">
        <f t="shared" si="14"/>
        <v>56532</v>
      </c>
      <c r="AO107">
        <f t="shared" si="15"/>
        <v>9.6774193548387094E-2</v>
      </c>
      <c r="AP107" t="str">
        <f t="shared" si="16"/>
        <v>50+</v>
      </c>
      <c r="AQ107" t="str">
        <f t="shared" si="17"/>
        <v>Very High</v>
      </c>
      <c r="AR107" t="str">
        <f t="shared" si="18"/>
        <v>Short</v>
      </c>
      <c r="AS107">
        <f t="shared" si="19"/>
        <v>0</v>
      </c>
    </row>
    <row r="108" spans="1:4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s="20">
        <v>18172</v>
      </c>
      <c r="T108">
        <v>9755</v>
      </c>
      <c r="U108">
        <v>3</v>
      </c>
      <c r="V108" t="s">
        <v>42</v>
      </c>
      <c r="W108" t="s">
        <v>35</v>
      </c>
      <c r="X108" s="19">
        <v>19</v>
      </c>
      <c r="Y108">
        <v>3</v>
      </c>
      <c r="Z108">
        <v>1</v>
      </c>
      <c r="AA108">
        <v>80</v>
      </c>
      <c r="AB108">
        <v>0</v>
      </c>
      <c r="AC108">
        <v>28</v>
      </c>
      <c r="AD108">
        <v>1</v>
      </c>
      <c r="AE108">
        <v>2</v>
      </c>
      <c r="AF108">
        <v>8</v>
      </c>
      <c r="AG108">
        <v>3</v>
      </c>
      <c r="AH108">
        <v>0</v>
      </c>
      <c r="AI108">
        <v>7</v>
      </c>
      <c r="AJ108">
        <f t="shared" si="10"/>
        <v>0</v>
      </c>
      <c r="AK108">
        <f t="shared" si="11"/>
        <v>1</v>
      </c>
      <c r="AL108">
        <f t="shared" si="12"/>
        <v>0</v>
      </c>
      <c r="AM108">
        <f t="shared" si="13"/>
        <v>1.5</v>
      </c>
      <c r="AN108">
        <f t="shared" si="14"/>
        <v>24229.333333333332</v>
      </c>
      <c r="AO108">
        <f t="shared" si="15"/>
        <v>0.27586206896551724</v>
      </c>
      <c r="AP108" t="str">
        <f t="shared" si="16"/>
        <v>50+</v>
      </c>
      <c r="AQ108" t="str">
        <f t="shared" si="17"/>
        <v>Very High</v>
      </c>
      <c r="AR108" t="str">
        <f t="shared" si="18"/>
        <v>Short</v>
      </c>
      <c r="AS108">
        <f t="shared" si="19"/>
        <v>1</v>
      </c>
    </row>
    <row r="109" spans="1:4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s="20">
        <v>5744</v>
      </c>
      <c r="T109">
        <v>26959</v>
      </c>
      <c r="U109">
        <v>1</v>
      </c>
      <c r="V109" t="s">
        <v>42</v>
      </c>
      <c r="W109" t="s">
        <v>35</v>
      </c>
      <c r="X109" s="19">
        <v>11</v>
      </c>
      <c r="Y109">
        <v>3</v>
      </c>
      <c r="Z109">
        <v>4</v>
      </c>
      <c r="AA109">
        <v>80</v>
      </c>
      <c r="AB109">
        <v>0</v>
      </c>
      <c r="AC109">
        <v>6</v>
      </c>
      <c r="AD109">
        <v>1</v>
      </c>
      <c r="AE109">
        <v>3</v>
      </c>
      <c r="AF109">
        <v>6</v>
      </c>
      <c r="AG109">
        <v>4</v>
      </c>
      <c r="AH109">
        <v>0</v>
      </c>
      <c r="AI109">
        <v>3</v>
      </c>
      <c r="AJ109">
        <f t="shared" si="10"/>
        <v>1</v>
      </c>
      <c r="AK109">
        <f t="shared" si="11"/>
        <v>1</v>
      </c>
      <c r="AL109">
        <f t="shared" si="12"/>
        <v>1</v>
      </c>
      <c r="AM109">
        <f t="shared" si="13"/>
        <v>3.25</v>
      </c>
      <c r="AN109">
        <f t="shared" si="14"/>
        <v>9846.8571428571431</v>
      </c>
      <c r="AO109">
        <f t="shared" si="15"/>
        <v>0.8571428571428571</v>
      </c>
      <c r="AP109" t="str">
        <f t="shared" si="16"/>
        <v>Under 30</v>
      </c>
      <c r="AQ109" t="str">
        <f t="shared" si="17"/>
        <v>High</v>
      </c>
      <c r="AR109" t="str">
        <f t="shared" si="18"/>
        <v>Short</v>
      </c>
      <c r="AS109">
        <f t="shared" si="19"/>
        <v>0</v>
      </c>
    </row>
    <row r="110" spans="1:4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s="20">
        <v>2889</v>
      </c>
      <c r="T110">
        <v>26897</v>
      </c>
      <c r="U110">
        <v>1</v>
      </c>
      <c r="V110" t="s">
        <v>42</v>
      </c>
      <c r="W110" t="s">
        <v>43</v>
      </c>
      <c r="X110" s="19">
        <v>11</v>
      </c>
      <c r="Y110">
        <v>3</v>
      </c>
      <c r="Z110">
        <v>3</v>
      </c>
      <c r="AA110">
        <v>80</v>
      </c>
      <c r="AB110">
        <v>2</v>
      </c>
      <c r="AC110">
        <v>2</v>
      </c>
      <c r="AD110">
        <v>2</v>
      </c>
      <c r="AE110">
        <v>3</v>
      </c>
      <c r="AF110">
        <v>2</v>
      </c>
      <c r="AG110">
        <v>2</v>
      </c>
      <c r="AH110">
        <v>2</v>
      </c>
      <c r="AI110">
        <v>1</v>
      </c>
      <c r="AJ110">
        <f t="shared" si="10"/>
        <v>0</v>
      </c>
      <c r="AK110">
        <f t="shared" si="11"/>
        <v>0</v>
      </c>
      <c r="AL110">
        <f t="shared" si="12"/>
        <v>1</v>
      </c>
      <c r="AM110">
        <f t="shared" si="13"/>
        <v>3.5</v>
      </c>
      <c r="AN110">
        <f t="shared" si="14"/>
        <v>11556</v>
      </c>
      <c r="AO110">
        <f t="shared" si="15"/>
        <v>0.66666666666666663</v>
      </c>
      <c r="AP110" t="str">
        <f t="shared" si="16"/>
        <v>Under 30</v>
      </c>
      <c r="AQ110" t="str">
        <f t="shared" si="17"/>
        <v>Low</v>
      </c>
      <c r="AR110" t="str">
        <f t="shared" si="18"/>
        <v>Medium</v>
      </c>
      <c r="AS110">
        <f t="shared" si="19"/>
        <v>0</v>
      </c>
    </row>
    <row r="111" spans="1:4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s="20">
        <v>2871</v>
      </c>
      <c r="T111">
        <v>23785</v>
      </c>
      <c r="U111">
        <v>1</v>
      </c>
      <c r="V111" t="s">
        <v>42</v>
      </c>
      <c r="W111" t="s">
        <v>43</v>
      </c>
      <c r="X111" s="19">
        <v>15</v>
      </c>
      <c r="Y111">
        <v>3</v>
      </c>
      <c r="Z111">
        <v>3</v>
      </c>
      <c r="AA111">
        <v>80</v>
      </c>
      <c r="AB111">
        <v>0</v>
      </c>
      <c r="AC111">
        <v>1</v>
      </c>
      <c r="AD111">
        <v>5</v>
      </c>
      <c r="AE111">
        <v>3</v>
      </c>
      <c r="AF111">
        <v>0</v>
      </c>
      <c r="AG111">
        <v>0</v>
      </c>
      <c r="AH111">
        <v>0</v>
      </c>
      <c r="AI111">
        <v>0</v>
      </c>
      <c r="AJ111">
        <f t="shared" si="10"/>
        <v>0</v>
      </c>
      <c r="AK111">
        <f t="shared" si="11"/>
        <v>0</v>
      </c>
      <c r="AL111">
        <f t="shared" si="12"/>
        <v>0</v>
      </c>
      <c r="AM111">
        <f t="shared" si="13"/>
        <v>3</v>
      </c>
      <c r="AN111">
        <f t="shared" si="14"/>
        <v>34452</v>
      </c>
      <c r="AO111">
        <f t="shared" si="15"/>
        <v>0</v>
      </c>
      <c r="AP111" t="str">
        <f t="shared" si="16"/>
        <v>Under 30</v>
      </c>
      <c r="AQ111" t="str">
        <f t="shared" si="17"/>
        <v>Low</v>
      </c>
      <c r="AR111" t="str">
        <f t="shared" si="18"/>
        <v>Medium</v>
      </c>
      <c r="AS111">
        <f t="shared" si="19"/>
        <v>0</v>
      </c>
    </row>
    <row r="112" spans="1:45" x14ac:dyDescent="0.3">
      <c r="A112">
        <v>51</v>
      </c>
      <c r="B112" t="s">
        <v>43</v>
      </c>
      <c r="C112" t="s">
        <v>44</v>
      </c>
      <c r="D112">
        <v>1456</v>
      </c>
      <c r="E112" t="s">
        <v>45</v>
      </c>
      <c r="F112">
        <v>1</v>
      </c>
      <c r="G112">
        <v>4</v>
      </c>
      <c r="H112" t="s">
        <v>51</v>
      </c>
      <c r="I112">
        <v>1</v>
      </c>
      <c r="J112">
        <v>145</v>
      </c>
      <c r="K112">
        <v>1</v>
      </c>
      <c r="L112" t="s">
        <v>46</v>
      </c>
      <c r="M112">
        <v>30</v>
      </c>
      <c r="N112">
        <v>2</v>
      </c>
      <c r="O112">
        <v>3</v>
      </c>
      <c r="P112" t="s">
        <v>54</v>
      </c>
      <c r="Q112">
        <v>1</v>
      </c>
      <c r="R112" t="s">
        <v>41</v>
      </c>
      <c r="S112" s="20">
        <v>7484</v>
      </c>
      <c r="T112">
        <v>25796</v>
      </c>
      <c r="U112">
        <v>3</v>
      </c>
      <c r="V112" t="s">
        <v>42</v>
      </c>
      <c r="W112" t="s">
        <v>43</v>
      </c>
      <c r="X112" s="19">
        <v>20</v>
      </c>
      <c r="Y112">
        <v>4</v>
      </c>
      <c r="Z112">
        <v>3</v>
      </c>
      <c r="AA112">
        <v>80</v>
      </c>
      <c r="AB112">
        <v>0</v>
      </c>
      <c r="AC112">
        <v>23</v>
      </c>
      <c r="AD112">
        <v>1</v>
      </c>
      <c r="AE112">
        <v>2</v>
      </c>
      <c r="AF112">
        <v>13</v>
      </c>
      <c r="AG112">
        <v>12</v>
      </c>
      <c r="AH112">
        <v>12</v>
      </c>
      <c r="AI112">
        <v>8</v>
      </c>
      <c r="AJ112">
        <f t="shared" si="10"/>
        <v>0</v>
      </c>
      <c r="AK112">
        <f t="shared" si="11"/>
        <v>0</v>
      </c>
      <c r="AL112">
        <f t="shared" si="12"/>
        <v>1</v>
      </c>
      <c r="AM112">
        <f t="shared" si="13"/>
        <v>1.75</v>
      </c>
      <c r="AN112">
        <f t="shared" si="14"/>
        <v>6414.8571428571431</v>
      </c>
      <c r="AO112">
        <f t="shared" si="15"/>
        <v>0.54166666666666663</v>
      </c>
      <c r="AP112" t="str">
        <f t="shared" si="16"/>
        <v>50+</v>
      </c>
      <c r="AQ112" t="str">
        <f t="shared" si="17"/>
        <v>High</v>
      </c>
      <c r="AR112" t="str">
        <f t="shared" si="18"/>
        <v>Short</v>
      </c>
      <c r="AS112">
        <f t="shared" si="19"/>
        <v>1</v>
      </c>
    </row>
    <row r="113" spans="1:4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s="20">
        <v>6074</v>
      </c>
      <c r="T113">
        <v>22887</v>
      </c>
      <c r="U113">
        <v>1</v>
      </c>
      <c r="V113" t="s">
        <v>42</v>
      </c>
      <c r="W113" t="s">
        <v>35</v>
      </c>
      <c r="X113" s="19">
        <v>24</v>
      </c>
      <c r="Y113">
        <v>4</v>
      </c>
      <c r="Z113">
        <v>4</v>
      </c>
      <c r="AA113">
        <v>80</v>
      </c>
      <c r="AB113">
        <v>0</v>
      </c>
      <c r="AC113">
        <v>9</v>
      </c>
      <c r="AD113">
        <v>3</v>
      </c>
      <c r="AE113">
        <v>3</v>
      </c>
      <c r="AF113">
        <v>9</v>
      </c>
      <c r="AG113">
        <v>7</v>
      </c>
      <c r="AH113">
        <v>0</v>
      </c>
      <c r="AI113">
        <v>6</v>
      </c>
      <c r="AJ113">
        <f t="shared" si="10"/>
        <v>1</v>
      </c>
      <c r="AK113">
        <f t="shared" si="11"/>
        <v>1</v>
      </c>
      <c r="AL113">
        <f t="shared" si="12"/>
        <v>1</v>
      </c>
      <c r="AM113">
        <f t="shared" si="13"/>
        <v>2.75</v>
      </c>
      <c r="AN113">
        <f t="shared" si="14"/>
        <v>7288.8</v>
      </c>
      <c r="AO113">
        <f t="shared" si="15"/>
        <v>0.9</v>
      </c>
      <c r="AP113" t="str">
        <f t="shared" si="16"/>
        <v>30-39</v>
      </c>
      <c r="AQ113" t="str">
        <f t="shared" si="17"/>
        <v>High</v>
      </c>
      <c r="AR113" t="str">
        <f t="shared" si="18"/>
        <v>Medium</v>
      </c>
      <c r="AS113">
        <f t="shared" si="19"/>
        <v>1</v>
      </c>
    </row>
    <row r="114" spans="1:4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s="20">
        <v>17328</v>
      </c>
      <c r="T114">
        <v>13871</v>
      </c>
      <c r="U114">
        <v>2</v>
      </c>
      <c r="V114" t="s">
        <v>42</v>
      </c>
      <c r="W114" t="s">
        <v>35</v>
      </c>
      <c r="X114" s="19">
        <v>12</v>
      </c>
      <c r="Y114">
        <v>3</v>
      </c>
      <c r="Z114">
        <v>3</v>
      </c>
      <c r="AA114">
        <v>80</v>
      </c>
      <c r="AB114">
        <v>0</v>
      </c>
      <c r="AC114">
        <v>23</v>
      </c>
      <c r="AD114">
        <v>3</v>
      </c>
      <c r="AE114">
        <v>3</v>
      </c>
      <c r="AF114">
        <v>5</v>
      </c>
      <c r="AG114">
        <v>3</v>
      </c>
      <c r="AH114">
        <v>4</v>
      </c>
      <c r="AI114">
        <v>4</v>
      </c>
      <c r="AJ114">
        <f t="shared" si="10"/>
        <v>0</v>
      </c>
      <c r="AK114">
        <f t="shared" si="11"/>
        <v>1</v>
      </c>
      <c r="AL114">
        <f t="shared" si="12"/>
        <v>0</v>
      </c>
      <c r="AM114">
        <f t="shared" si="13"/>
        <v>3.5</v>
      </c>
      <c r="AN114">
        <f t="shared" si="14"/>
        <v>34656</v>
      </c>
      <c r="AO114">
        <f t="shared" si="15"/>
        <v>0.20833333333333334</v>
      </c>
      <c r="AP114" t="str">
        <f t="shared" si="16"/>
        <v>50+</v>
      </c>
      <c r="AQ114" t="str">
        <f t="shared" si="17"/>
        <v>Very High</v>
      </c>
      <c r="AR114" t="str">
        <f t="shared" si="18"/>
        <v>Long</v>
      </c>
      <c r="AS114">
        <f t="shared" si="19"/>
        <v>0</v>
      </c>
    </row>
    <row r="115" spans="1:4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s="20">
        <v>2774</v>
      </c>
      <c r="T115">
        <v>13257</v>
      </c>
      <c r="U115">
        <v>0</v>
      </c>
      <c r="V115" t="s">
        <v>42</v>
      </c>
      <c r="W115" t="s">
        <v>43</v>
      </c>
      <c r="X115" s="19">
        <v>12</v>
      </c>
      <c r="Y115">
        <v>3</v>
      </c>
      <c r="Z115">
        <v>3</v>
      </c>
      <c r="AA115">
        <v>80</v>
      </c>
      <c r="AB115">
        <v>1</v>
      </c>
      <c r="AC115">
        <v>6</v>
      </c>
      <c r="AD115">
        <v>2</v>
      </c>
      <c r="AE115">
        <v>3</v>
      </c>
      <c r="AF115">
        <v>5</v>
      </c>
      <c r="AG115">
        <v>3</v>
      </c>
      <c r="AH115">
        <v>1</v>
      </c>
      <c r="AI115">
        <v>2</v>
      </c>
      <c r="AJ115">
        <f t="shared" si="10"/>
        <v>0</v>
      </c>
      <c r="AK115">
        <f t="shared" si="11"/>
        <v>0</v>
      </c>
      <c r="AL115">
        <f t="shared" si="12"/>
        <v>1</v>
      </c>
      <c r="AM115">
        <f t="shared" si="13"/>
        <v>2.75</v>
      </c>
      <c r="AN115">
        <f t="shared" si="14"/>
        <v>5548</v>
      </c>
      <c r="AO115">
        <f t="shared" si="15"/>
        <v>0.7142857142857143</v>
      </c>
      <c r="AP115" t="str">
        <f t="shared" si="16"/>
        <v>Under 30</v>
      </c>
      <c r="AQ115" t="str">
        <f t="shared" si="17"/>
        <v>Low</v>
      </c>
      <c r="AR115" t="str">
        <f t="shared" si="18"/>
        <v>Long</v>
      </c>
      <c r="AS115">
        <f t="shared" si="19"/>
        <v>0</v>
      </c>
    </row>
    <row r="116" spans="1:4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s="20">
        <v>4505</v>
      </c>
      <c r="T116">
        <v>15000</v>
      </c>
      <c r="U116">
        <v>6</v>
      </c>
      <c r="V116" t="s">
        <v>42</v>
      </c>
      <c r="W116" t="s">
        <v>43</v>
      </c>
      <c r="X116" s="19">
        <v>15</v>
      </c>
      <c r="Y116">
        <v>3</v>
      </c>
      <c r="Z116">
        <v>3</v>
      </c>
      <c r="AA116">
        <v>80</v>
      </c>
      <c r="AB116">
        <v>1</v>
      </c>
      <c r="AC116">
        <v>12</v>
      </c>
      <c r="AD116">
        <v>3</v>
      </c>
      <c r="AE116">
        <v>3</v>
      </c>
      <c r="AF116">
        <v>1</v>
      </c>
      <c r="AG116">
        <v>0</v>
      </c>
      <c r="AH116">
        <v>0</v>
      </c>
      <c r="AI116">
        <v>0</v>
      </c>
      <c r="AJ116">
        <f t="shared" si="10"/>
        <v>0</v>
      </c>
      <c r="AK116">
        <f t="shared" si="11"/>
        <v>0</v>
      </c>
      <c r="AL116">
        <f t="shared" si="12"/>
        <v>0</v>
      </c>
      <c r="AM116">
        <f t="shared" si="13"/>
        <v>2.75</v>
      </c>
      <c r="AN116">
        <f t="shared" si="14"/>
        <v>27030</v>
      </c>
      <c r="AO116">
        <f t="shared" si="15"/>
        <v>7.6923076923076927E-2</v>
      </c>
      <c r="AP116" t="str">
        <f t="shared" si="16"/>
        <v>30-39</v>
      </c>
      <c r="AQ116" t="str">
        <f t="shared" si="17"/>
        <v>Medium</v>
      </c>
      <c r="AR116" t="str">
        <f t="shared" si="18"/>
        <v>Medium</v>
      </c>
      <c r="AS116">
        <f t="shared" si="19"/>
        <v>0</v>
      </c>
    </row>
    <row r="117" spans="1:4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s="20">
        <v>7428</v>
      </c>
      <c r="T117">
        <v>14506</v>
      </c>
      <c r="U117">
        <v>2</v>
      </c>
      <c r="V117" t="s">
        <v>42</v>
      </c>
      <c r="W117" t="s">
        <v>43</v>
      </c>
      <c r="X117" s="19">
        <v>14</v>
      </c>
      <c r="Y117">
        <v>3</v>
      </c>
      <c r="Z117">
        <v>1</v>
      </c>
      <c r="AA117">
        <v>80</v>
      </c>
      <c r="AB117">
        <v>0</v>
      </c>
      <c r="AC117">
        <v>12</v>
      </c>
      <c r="AD117">
        <v>3</v>
      </c>
      <c r="AE117">
        <v>3</v>
      </c>
      <c r="AF117">
        <v>5</v>
      </c>
      <c r="AG117">
        <v>3</v>
      </c>
      <c r="AH117">
        <v>1</v>
      </c>
      <c r="AI117">
        <v>3</v>
      </c>
      <c r="AJ117">
        <f t="shared" si="10"/>
        <v>0</v>
      </c>
      <c r="AK117">
        <f t="shared" si="11"/>
        <v>0</v>
      </c>
      <c r="AL117">
        <f t="shared" si="12"/>
        <v>1</v>
      </c>
      <c r="AM117">
        <f t="shared" si="13"/>
        <v>2.75</v>
      </c>
      <c r="AN117">
        <f t="shared" si="14"/>
        <v>14856</v>
      </c>
      <c r="AO117">
        <f t="shared" si="15"/>
        <v>0.38461538461538464</v>
      </c>
      <c r="AP117" t="str">
        <f t="shared" si="16"/>
        <v>30-39</v>
      </c>
      <c r="AQ117" t="str">
        <f t="shared" si="17"/>
        <v>High</v>
      </c>
      <c r="AR117" t="str">
        <f t="shared" si="18"/>
        <v>Short</v>
      </c>
      <c r="AS117">
        <f t="shared" si="19"/>
        <v>0</v>
      </c>
    </row>
    <row r="118" spans="1:4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s="20">
        <v>11631</v>
      </c>
      <c r="T118">
        <v>5615</v>
      </c>
      <c r="U118">
        <v>2</v>
      </c>
      <c r="V118" t="s">
        <v>42</v>
      </c>
      <c r="W118" t="s">
        <v>43</v>
      </c>
      <c r="X118" s="19">
        <v>12</v>
      </c>
      <c r="Y118">
        <v>3</v>
      </c>
      <c r="Z118">
        <v>4</v>
      </c>
      <c r="AA118">
        <v>80</v>
      </c>
      <c r="AB118">
        <v>0</v>
      </c>
      <c r="AC118">
        <v>14</v>
      </c>
      <c r="AD118">
        <v>6</v>
      </c>
      <c r="AE118">
        <v>3</v>
      </c>
      <c r="AF118">
        <v>11</v>
      </c>
      <c r="AG118">
        <v>10</v>
      </c>
      <c r="AH118">
        <v>5</v>
      </c>
      <c r="AI118">
        <v>8</v>
      </c>
      <c r="AJ118">
        <f t="shared" si="10"/>
        <v>0</v>
      </c>
      <c r="AK118">
        <f t="shared" si="11"/>
        <v>0</v>
      </c>
      <c r="AL118">
        <f t="shared" si="12"/>
        <v>0</v>
      </c>
      <c r="AM118">
        <f t="shared" si="13"/>
        <v>2.75</v>
      </c>
      <c r="AN118">
        <f t="shared" si="14"/>
        <v>11631</v>
      </c>
      <c r="AO118">
        <f t="shared" si="15"/>
        <v>0.73333333333333328</v>
      </c>
      <c r="AP118" t="str">
        <f t="shared" si="16"/>
        <v>30-39</v>
      </c>
      <c r="AQ118" t="str">
        <f t="shared" si="17"/>
        <v>Very High</v>
      </c>
      <c r="AR118" t="str">
        <f t="shared" si="18"/>
        <v>Short</v>
      </c>
      <c r="AS118">
        <f t="shared" si="19"/>
        <v>0</v>
      </c>
    </row>
    <row r="119" spans="1:4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s="20">
        <v>9738</v>
      </c>
      <c r="T119">
        <v>22952</v>
      </c>
      <c r="U119">
        <v>0</v>
      </c>
      <c r="V119" t="s">
        <v>42</v>
      </c>
      <c r="W119" t="s">
        <v>43</v>
      </c>
      <c r="X119" s="19">
        <v>14</v>
      </c>
      <c r="Y119">
        <v>3</v>
      </c>
      <c r="Z119">
        <v>3</v>
      </c>
      <c r="AA119">
        <v>80</v>
      </c>
      <c r="AB119">
        <v>1</v>
      </c>
      <c r="AC119">
        <v>10</v>
      </c>
      <c r="AD119">
        <v>6</v>
      </c>
      <c r="AE119">
        <v>3</v>
      </c>
      <c r="AF119">
        <v>9</v>
      </c>
      <c r="AG119">
        <v>7</v>
      </c>
      <c r="AH119">
        <v>2</v>
      </c>
      <c r="AI119">
        <v>8</v>
      </c>
      <c r="AJ119">
        <f t="shared" si="10"/>
        <v>0</v>
      </c>
      <c r="AK119">
        <f t="shared" si="11"/>
        <v>0</v>
      </c>
      <c r="AL119">
        <f t="shared" si="12"/>
        <v>0</v>
      </c>
      <c r="AM119">
        <f t="shared" si="13"/>
        <v>3</v>
      </c>
      <c r="AN119">
        <f t="shared" si="14"/>
        <v>11685.6</v>
      </c>
      <c r="AO119">
        <f t="shared" si="15"/>
        <v>0.81818181818181823</v>
      </c>
      <c r="AP119" t="str">
        <f t="shared" si="16"/>
        <v>30-39</v>
      </c>
      <c r="AQ119" t="str">
        <f t="shared" si="17"/>
        <v>Very High</v>
      </c>
      <c r="AR119" t="str">
        <f t="shared" si="18"/>
        <v>Medium</v>
      </c>
      <c r="AS119">
        <f t="shared" si="19"/>
        <v>1</v>
      </c>
    </row>
    <row r="120" spans="1:4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s="20">
        <v>2835</v>
      </c>
      <c r="T120">
        <v>2561</v>
      </c>
      <c r="U120">
        <v>5</v>
      </c>
      <c r="V120" t="s">
        <v>42</v>
      </c>
      <c r="W120" t="s">
        <v>43</v>
      </c>
      <c r="X120" s="19">
        <v>22</v>
      </c>
      <c r="Y120">
        <v>4</v>
      </c>
      <c r="Z120">
        <v>1</v>
      </c>
      <c r="AA120">
        <v>80</v>
      </c>
      <c r="AB120">
        <v>1</v>
      </c>
      <c r="AC120">
        <v>7</v>
      </c>
      <c r="AD120">
        <v>2</v>
      </c>
      <c r="AE120">
        <v>3</v>
      </c>
      <c r="AF120">
        <v>1</v>
      </c>
      <c r="AG120">
        <v>0</v>
      </c>
      <c r="AH120">
        <v>0</v>
      </c>
      <c r="AI120">
        <v>0</v>
      </c>
      <c r="AJ120">
        <f t="shared" si="10"/>
        <v>0</v>
      </c>
      <c r="AK120">
        <f t="shared" si="11"/>
        <v>0</v>
      </c>
      <c r="AL120">
        <f t="shared" si="12"/>
        <v>0</v>
      </c>
      <c r="AM120">
        <f t="shared" si="13"/>
        <v>2.25</v>
      </c>
      <c r="AN120">
        <f t="shared" si="14"/>
        <v>17010</v>
      </c>
      <c r="AO120">
        <f t="shared" si="15"/>
        <v>0.125</v>
      </c>
      <c r="AP120" t="str">
        <f t="shared" si="16"/>
        <v>30-39</v>
      </c>
      <c r="AQ120" t="str">
        <f t="shared" si="17"/>
        <v>Low</v>
      </c>
      <c r="AR120" t="str">
        <f t="shared" si="18"/>
        <v>Short</v>
      </c>
      <c r="AS120">
        <f t="shared" si="19"/>
        <v>0</v>
      </c>
    </row>
    <row r="121" spans="1:4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s="20">
        <v>16959</v>
      </c>
      <c r="T121">
        <v>19494</v>
      </c>
      <c r="U121">
        <v>1</v>
      </c>
      <c r="V121" t="s">
        <v>42</v>
      </c>
      <c r="W121" t="s">
        <v>35</v>
      </c>
      <c r="X121" s="19">
        <v>12</v>
      </c>
      <c r="Y121">
        <v>3</v>
      </c>
      <c r="Z121">
        <v>4</v>
      </c>
      <c r="AA121">
        <v>80</v>
      </c>
      <c r="AB121">
        <v>2</v>
      </c>
      <c r="AC121">
        <v>25</v>
      </c>
      <c r="AD121">
        <v>3</v>
      </c>
      <c r="AE121">
        <v>4</v>
      </c>
      <c r="AF121">
        <v>25</v>
      </c>
      <c r="AG121">
        <v>12</v>
      </c>
      <c r="AH121">
        <v>4</v>
      </c>
      <c r="AI121">
        <v>12</v>
      </c>
      <c r="AJ121">
        <f t="shared" si="10"/>
        <v>0</v>
      </c>
      <c r="AK121">
        <f t="shared" si="11"/>
        <v>1</v>
      </c>
      <c r="AL121">
        <f t="shared" si="12"/>
        <v>1</v>
      </c>
      <c r="AM121">
        <f t="shared" si="13"/>
        <v>3.75</v>
      </c>
      <c r="AN121">
        <f t="shared" si="14"/>
        <v>7827.2307692307695</v>
      </c>
      <c r="AO121">
        <f t="shared" si="15"/>
        <v>0.96153846153846156</v>
      </c>
      <c r="AP121" t="str">
        <f t="shared" si="16"/>
        <v>40-49</v>
      </c>
      <c r="AQ121" t="str">
        <f t="shared" si="17"/>
        <v>Very High</v>
      </c>
      <c r="AR121" t="str">
        <f t="shared" si="18"/>
        <v>Long</v>
      </c>
      <c r="AS121">
        <f t="shared" si="19"/>
        <v>1</v>
      </c>
    </row>
    <row r="122" spans="1:4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s="20">
        <v>2674</v>
      </c>
      <c r="T122">
        <v>22310</v>
      </c>
      <c r="U122">
        <v>1</v>
      </c>
      <c r="V122" t="s">
        <v>42</v>
      </c>
      <c r="W122" t="s">
        <v>35</v>
      </c>
      <c r="X122" s="19">
        <v>25</v>
      </c>
      <c r="Y122">
        <v>4</v>
      </c>
      <c r="Z122">
        <v>3</v>
      </c>
      <c r="AA122">
        <v>80</v>
      </c>
      <c r="AB122">
        <v>3</v>
      </c>
      <c r="AC122">
        <v>10</v>
      </c>
      <c r="AD122">
        <v>2</v>
      </c>
      <c r="AE122">
        <v>2</v>
      </c>
      <c r="AF122">
        <v>10</v>
      </c>
      <c r="AG122">
        <v>7</v>
      </c>
      <c r="AH122">
        <v>0</v>
      </c>
      <c r="AI122">
        <v>9</v>
      </c>
      <c r="AJ122">
        <f t="shared" si="10"/>
        <v>0</v>
      </c>
      <c r="AK122">
        <f t="shared" si="11"/>
        <v>1</v>
      </c>
      <c r="AL122">
        <f t="shared" si="12"/>
        <v>1</v>
      </c>
      <c r="AM122">
        <f t="shared" si="13"/>
        <v>2.25</v>
      </c>
      <c r="AN122">
        <f t="shared" si="14"/>
        <v>2917.090909090909</v>
      </c>
      <c r="AO122">
        <f t="shared" si="15"/>
        <v>0.90909090909090906</v>
      </c>
      <c r="AP122" t="str">
        <f t="shared" si="16"/>
        <v>30-39</v>
      </c>
      <c r="AQ122" t="str">
        <f t="shared" si="17"/>
        <v>Low</v>
      </c>
      <c r="AR122" t="str">
        <f t="shared" si="18"/>
        <v>Long</v>
      </c>
      <c r="AS122">
        <f t="shared" si="19"/>
        <v>1</v>
      </c>
    </row>
    <row r="123" spans="1:4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s="20">
        <v>6146</v>
      </c>
      <c r="T123">
        <v>15480</v>
      </c>
      <c r="U123">
        <v>0</v>
      </c>
      <c r="V123" t="s">
        <v>42</v>
      </c>
      <c r="W123" t="s">
        <v>43</v>
      </c>
      <c r="X123" s="19">
        <v>13</v>
      </c>
      <c r="Y123">
        <v>3</v>
      </c>
      <c r="Z123">
        <v>1</v>
      </c>
      <c r="AA123">
        <v>80</v>
      </c>
      <c r="AB123">
        <v>1</v>
      </c>
      <c r="AC123">
        <v>8</v>
      </c>
      <c r="AD123">
        <v>2</v>
      </c>
      <c r="AE123">
        <v>4</v>
      </c>
      <c r="AF123">
        <v>7</v>
      </c>
      <c r="AG123">
        <v>7</v>
      </c>
      <c r="AH123">
        <v>0</v>
      </c>
      <c r="AI123">
        <v>7</v>
      </c>
      <c r="AJ123">
        <f t="shared" si="10"/>
        <v>0</v>
      </c>
      <c r="AK123">
        <f t="shared" si="11"/>
        <v>0</v>
      </c>
      <c r="AL123">
        <f t="shared" si="12"/>
        <v>1</v>
      </c>
      <c r="AM123">
        <f t="shared" si="13"/>
        <v>2.5</v>
      </c>
      <c r="AN123">
        <f t="shared" si="14"/>
        <v>9219</v>
      </c>
      <c r="AO123">
        <f t="shared" si="15"/>
        <v>0.77777777777777779</v>
      </c>
      <c r="AP123" t="str">
        <f t="shared" si="16"/>
        <v>30-39</v>
      </c>
      <c r="AQ123" t="str">
        <f t="shared" si="17"/>
        <v>High</v>
      </c>
      <c r="AR123" t="str">
        <f t="shared" si="18"/>
        <v>Long</v>
      </c>
      <c r="AS123">
        <f t="shared" si="19"/>
        <v>0</v>
      </c>
    </row>
    <row r="124" spans="1:4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s="20">
        <v>4963</v>
      </c>
      <c r="T124">
        <v>4510</v>
      </c>
      <c r="U124">
        <v>9</v>
      </c>
      <c r="V124" t="s">
        <v>42</v>
      </c>
      <c r="W124" t="s">
        <v>35</v>
      </c>
      <c r="X124" s="19">
        <v>18</v>
      </c>
      <c r="Y124">
        <v>3</v>
      </c>
      <c r="Z124">
        <v>1</v>
      </c>
      <c r="AA124">
        <v>80</v>
      </c>
      <c r="AB124">
        <v>3</v>
      </c>
      <c r="AC124">
        <v>7</v>
      </c>
      <c r="AD124">
        <v>2</v>
      </c>
      <c r="AE124">
        <v>3</v>
      </c>
      <c r="AF124">
        <v>5</v>
      </c>
      <c r="AG124">
        <v>4</v>
      </c>
      <c r="AH124">
        <v>4</v>
      </c>
      <c r="AI124">
        <v>3</v>
      </c>
      <c r="AJ124">
        <f t="shared" si="10"/>
        <v>1</v>
      </c>
      <c r="AK124">
        <f t="shared" si="11"/>
        <v>1</v>
      </c>
      <c r="AL124">
        <f t="shared" si="12"/>
        <v>0</v>
      </c>
      <c r="AM124">
        <f t="shared" si="13"/>
        <v>2</v>
      </c>
      <c r="AN124">
        <f t="shared" si="14"/>
        <v>9926</v>
      </c>
      <c r="AO124">
        <f t="shared" si="15"/>
        <v>0.625</v>
      </c>
      <c r="AP124" t="str">
        <f t="shared" si="16"/>
        <v>50+</v>
      </c>
      <c r="AQ124" t="str">
        <f t="shared" si="17"/>
        <v>High</v>
      </c>
      <c r="AR124" t="str">
        <f t="shared" si="18"/>
        <v>Medium</v>
      </c>
      <c r="AS124">
        <f t="shared" si="19"/>
        <v>0</v>
      </c>
    </row>
    <row r="125" spans="1:4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s="20">
        <v>19537</v>
      </c>
      <c r="T125">
        <v>6462</v>
      </c>
      <c r="U125">
        <v>7</v>
      </c>
      <c r="V125" t="s">
        <v>42</v>
      </c>
      <c r="W125" t="s">
        <v>43</v>
      </c>
      <c r="X125" s="19">
        <v>13</v>
      </c>
      <c r="Y125">
        <v>3</v>
      </c>
      <c r="Z125">
        <v>3</v>
      </c>
      <c r="AA125">
        <v>80</v>
      </c>
      <c r="AB125">
        <v>0</v>
      </c>
      <c r="AC125">
        <v>23</v>
      </c>
      <c r="AD125">
        <v>5</v>
      </c>
      <c r="AE125">
        <v>3</v>
      </c>
      <c r="AF125">
        <v>20</v>
      </c>
      <c r="AG125">
        <v>18</v>
      </c>
      <c r="AH125">
        <v>15</v>
      </c>
      <c r="AI125">
        <v>15</v>
      </c>
      <c r="AJ125">
        <f t="shared" si="10"/>
        <v>0</v>
      </c>
      <c r="AK125">
        <f t="shared" si="11"/>
        <v>0</v>
      </c>
      <c r="AL125">
        <f t="shared" si="12"/>
        <v>1</v>
      </c>
      <c r="AM125">
        <f t="shared" si="13"/>
        <v>2.5</v>
      </c>
      <c r="AN125">
        <f t="shared" si="14"/>
        <v>11164</v>
      </c>
      <c r="AO125">
        <f t="shared" si="15"/>
        <v>0.83333333333333337</v>
      </c>
      <c r="AP125" t="str">
        <f t="shared" si="16"/>
        <v>50+</v>
      </c>
      <c r="AQ125" t="str">
        <f t="shared" si="17"/>
        <v>Very High</v>
      </c>
      <c r="AR125" t="str">
        <f t="shared" si="18"/>
        <v>Medium</v>
      </c>
      <c r="AS125">
        <f t="shared" si="19"/>
        <v>0</v>
      </c>
    </row>
    <row r="126" spans="1:4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s="20">
        <v>6172</v>
      </c>
      <c r="T126">
        <v>20739</v>
      </c>
      <c r="U126">
        <v>4</v>
      </c>
      <c r="V126" t="s">
        <v>42</v>
      </c>
      <c r="W126" t="s">
        <v>35</v>
      </c>
      <c r="X126" s="19">
        <v>18</v>
      </c>
      <c r="Y126">
        <v>3</v>
      </c>
      <c r="Z126">
        <v>2</v>
      </c>
      <c r="AA126">
        <v>80</v>
      </c>
      <c r="AB126">
        <v>0</v>
      </c>
      <c r="AC126">
        <v>12</v>
      </c>
      <c r="AD126">
        <v>3</v>
      </c>
      <c r="AE126">
        <v>2</v>
      </c>
      <c r="AF126">
        <v>7</v>
      </c>
      <c r="AG126">
        <v>7</v>
      </c>
      <c r="AH126">
        <v>7</v>
      </c>
      <c r="AI126">
        <v>7</v>
      </c>
      <c r="AJ126">
        <f t="shared" si="10"/>
        <v>1</v>
      </c>
      <c r="AK126">
        <f t="shared" si="11"/>
        <v>1</v>
      </c>
      <c r="AL126">
        <f t="shared" si="12"/>
        <v>1</v>
      </c>
      <c r="AM126">
        <f t="shared" si="13"/>
        <v>2.25</v>
      </c>
      <c r="AN126">
        <f t="shared" si="14"/>
        <v>9258</v>
      </c>
      <c r="AO126">
        <f t="shared" si="15"/>
        <v>0.53846153846153844</v>
      </c>
      <c r="AP126" t="str">
        <f t="shared" si="16"/>
        <v>30-39</v>
      </c>
      <c r="AQ126" t="str">
        <f t="shared" si="17"/>
        <v>High</v>
      </c>
      <c r="AR126" t="str">
        <f t="shared" si="18"/>
        <v>Medium</v>
      </c>
      <c r="AS126">
        <f t="shared" si="19"/>
        <v>0</v>
      </c>
    </row>
    <row r="127" spans="1:4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s="20">
        <v>2368</v>
      </c>
      <c r="T127">
        <v>23300</v>
      </c>
      <c r="U127">
        <v>1</v>
      </c>
      <c r="V127" t="s">
        <v>42</v>
      </c>
      <c r="W127" t="s">
        <v>43</v>
      </c>
      <c r="X127" s="19">
        <v>19</v>
      </c>
      <c r="Y127">
        <v>3</v>
      </c>
      <c r="Z127">
        <v>3</v>
      </c>
      <c r="AA127">
        <v>80</v>
      </c>
      <c r="AB127">
        <v>0</v>
      </c>
      <c r="AC127">
        <v>5</v>
      </c>
      <c r="AD127">
        <v>3</v>
      </c>
      <c r="AE127">
        <v>2</v>
      </c>
      <c r="AF127">
        <v>5</v>
      </c>
      <c r="AG127">
        <v>4</v>
      </c>
      <c r="AH127">
        <v>4</v>
      </c>
      <c r="AI127">
        <v>3</v>
      </c>
      <c r="AJ127">
        <f t="shared" si="10"/>
        <v>0</v>
      </c>
      <c r="AK127">
        <f t="shared" si="11"/>
        <v>0</v>
      </c>
      <c r="AL127">
        <f t="shared" si="12"/>
        <v>0</v>
      </c>
      <c r="AM127">
        <f t="shared" si="13"/>
        <v>2.5</v>
      </c>
      <c r="AN127">
        <f t="shared" si="14"/>
        <v>4736</v>
      </c>
      <c r="AO127">
        <f t="shared" si="15"/>
        <v>0.83333333333333337</v>
      </c>
      <c r="AP127" t="str">
        <f t="shared" si="16"/>
        <v>Under 30</v>
      </c>
      <c r="AQ127" t="str">
        <f t="shared" si="17"/>
        <v>Low</v>
      </c>
      <c r="AR127" t="str">
        <f t="shared" si="18"/>
        <v>Medium</v>
      </c>
      <c r="AS127">
        <f t="shared" si="19"/>
        <v>0</v>
      </c>
    </row>
    <row r="128" spans="1:4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s="20">
        <v>10312</v>
      </c>
      <c r="T128">
        <v>3465</v>
      </c>
      <c r="U128">
        <v>1</v>
      </c>
      <c r="V128" t="s">
        <v>42</v>
      </c>
      <c r="W128" t="s">
        <v>43</v>
      </c>
      <c r="X128" s="19">
        <v>12</v>
      </c>
      <c r="Y128">
        <v>3</v>
      </c>
      <c r="Z128">
        <v>4</v>
      </c>
      <c r="AA128">
        <v>80</v>
      </c>
      <c r="AB128">
        <v>1</v>
      </c>
      <c r="AC128">
        <v>40</v>
      </c>
      <c r="AD128">
        <v>3</v>
      </c>
      <c r="AE128">
        <v>2</v>
      </c>
      <c r="AF128">
        <v>40</v>
      </c>
      <c r="AG128">
        <v>10</v>
      </c>
      <c r="AH128">
        <v>15</v>
      </c>
      <c r="AI128">
        <v>6</v>
      </c>
      <c r="AJ128">
        <f t="shared" si="10"/>
        <v>1</v>
      </c>
      <c r="AK128">
        <f t="shared" si="11"/>
        <v>0</v>
      </c>
      <c r="AL128">
        <f t="shared" si="12"/>
        <v>0</v>
      </c>
      <c r="AM128">
        <f t="shared" si="13"/>
        <v>3.5</v>
      </c>
      <c r="AN128">
        <f t="shared" si="14"/>
        <v>3018.1463414634145</v>
      </c>
      <c r="AO128">
        <f t="shared" si="15"/>
        <v>0.97560975609756095</v>
      </c>
      <c r="AP128" t="str">
        <f t="shared" si="16"/>
        <v>50+</v>
      </c>
      <c r="AQ128" t="str">
        <f t="shared" si="17"/>
        <v>Very High</v>
      </c>
      <c r="AR128" t="str">
        <f t="shared" si="18"/>
        <v>Long</v>
      </c>
      <c r="AS128">
        <f t="shared" si="19"/>
        <v>0</v>
      </c>
    </row>
    <row r="129" spans="1:4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s="20">
        <v>1675</v>
      </c>
      <c r="T129">
        <v>26820</v>
      </c>
      <c r="U129">
        <v>1</v>
      </c>
      <c r="V129" t="s">
        <v>42</v>
      </c>
      <c r="W129" t="s">
        <v>35</v>
      </c>
      <c r="X129" s="19">
        <v>19</v>
      </c>
      <c r="Y129">
        <v>3</v>
      </c>
      <c r="Z129">
        <v>4</v>
      </c>
      <c r="AA129">
        <v>80</v>
      </c>
      <c r="AB129">
        <v>0</v>
      </c>
      <c r="AC129">
        <v>0</v>
      </c>
      <c r="AD129">
        <v>2</v>
      </c>
      <c r="AE129">
        <v>2</v>
      </c>
      <c r="AF129">
        <v>0</v>
      </c>
      <c r="AG129">
        <v>0</v>
      </c>
      <c r="AH129">
        <v>0</v>
      </c>
      <c r="AI129">
        <v>0</v>
      </c>
      <c r="AJ129">
        <f t="shared" si="10"/>
        <v>1</v>
      </c>
      <c r="AK129">
        <f t="shared" si="11"/>
        <v>1</v>
      </c>
      <c r="AL129">
        <f t="shared" si="12"/>
        <v>1</v>
      </c>
      <c r="AM129">
        <f t="shared" si="13"/>
        <v>3.25</v>
      </c>
      <c r="AN129">
        <f t="shared" si="14"/>
        <v>20100</v>
      </c>
      <c r="AO129">
        <f t="shared" si="15"/>
        <v>0</v>
      </c>
      <c r="AP129" t="str">
        <f t="shared" si="16"/>
        <v>Under 30</v>
      </c>
      <c r="AQ129" t="str">
        <f t="shared" si="17"/>
        <v>Low</v>
      </c>
      <c r="AR129" t="str">
        <f t="shared" si="18"/>
        <v>Long</v>
      </c>
      <c r="AS129">
        <f t="shared" si="19"/>
        <v>0</v>
      </c>
    </row>
    <row r="130" spans="1:4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s="20">
        <v>2523</v>
      </c>
      <c r="T130">
        <v>19299</v>
      </c>
      <c r="U130">
        <v>0</v>
      </c>
      <c r="V130" t="s">
        <v>42</v>
      </c>
      <c r="W130" t="s">
        <v>43</v>
      </c>
      <c r="X130" s="19">
        <v>14</v>
      </c>
      <c r="Y130">
        <v>3</v>
      </c>
      <c r="Z130">
        <v>3</v>
      </c>
      <c r="AA130">
        <v>80</v>
      </c>
      <c r="AB130">
        <v>1</v>
      </c>
      <c r="AC130">
        <v>3</v>
      </c>
      <c r="AD130">
        <v>2</v>
      </c>
      <c r="AE130">
        <v>3</v>
      </c>
      <c r="AF130">
        <v>2</v>
      </c>
      <c r="AG130">
        <v>1</v>
      </c>
      <c r="AH130">
        <v>2</v>
      </c>
      <c r="AI130">
        <v>1</v>
      </c>
      <c r="AJ130">
        <f t="shared" si="10"/>
        <v>0</v>
      </c>
      <c r="AK130">
        <f t="shared" si="11"/>
        <v>0</v>
      </c>
      <c r="AL130">
        <f t="shared" si="12"/>
        <v>1</v>
      </c>
      <c r="AM130">
        <f t="shared" si="13"/>
        <v>3.25</v>
      </c>
      <c r="AN130">
        <f t="shared" si="14"/>
        <v>10092</v>
      </c>
      <c r="AO130">
        <f t="shared" si="15"/>
        <v>0.5</v>
      </c>
      <c r="AP130" t="str">
        <f t="shared" si="16"/>
        <v>Under 30</v>
      </c>
      <c r="AQ130" t="str">
        <f t="shared" si="17"/>
        <v>Low</v>
      </c>
      <c r="AR130" t="str">
        <f t="shared" si="18"/>
        <v>Short</v>
      </c>
      <c r="AS130">
        <f t="shared" si="19"/>
        <v>0</v>
      </c>
    </row>
    <row r="131" spans="1:4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s="20">
        <v>6567</v>
      </c>
      <c r="T131">
        <v>5549</v>
      </c>
      <c r="U131">
        <v>1</v>
      </c>
      <c r="V131" t="s">
        <v>42</v>
      </c>
      <c r="W131" t="s">
        <v>43</v>
      </c>
      <c r="X131" s="19">
        <v>14</v>
      </c>
      <c r="Y131">
        <v>3</v>
      </c>
      <c r="Z131">
        <v>3</v>
      </c>
      <c r="AA131">
        <v>80</v>
      </c>
      <c r="AB131">
        <v>0</v>
      </c>
      <c r="AC131">
        <v>16</v>
      </c>
      <c r="AD131">
        <v>2</v>
      </c>
      <c r="AE131">
        <v>2</v>
      </c>
      <c r="AF131">
        <v>15</v>
      </c>
      <c r="AG131">
        <v>11</v>
      </c>
      <c r="AH131">
        <v>5</v>
      </c>
      <c r="AI131">
        <v>11</v>
      </c>
      <c r="AJ131">
        <f t="shared" ref="AJ131:AJ194" si="20">IF(B131="Yes",1,0)</f>
        <v>0</v>
      </c>
      <c r="AK131">
        <f t="shared" ref="AK131:AK194" si="21">IF(W131="Yes",1,0)</f>
        <v>0</v>
      </c>
      <c r="AL131">
        <f t="shared" ref="AL131:AL194" si="22">IF(L131="Male",1,0)</f>
        <v>0</v>
      </c>
      <c r="AM131">
        <f t="shared" ref="AM131:AM194" si="23">AVERAGE(K131,Q131,Z131,AE131)</f>
        <v>2.25</v>
      </c>
      <c r="AN131">
        <f t="shared" ref="AN131:AN194" si="24">(S131*12)/(AF131+1)</f>
        <v>4925.25</v>
      </c>
      <c r="AO131">
        <f t="shared" ref="AO131:AO194" si="25">AF131/(AC131+1)</f>
        <v>0.88235294117647056</v>
      </c>
      <c r="AP131" t="str">
        <f t="shared" ref="AP131:AP194" si="26">IF(A131&lt;30,"Under 30",IF(A131&lt;40,"30-39",IF(A131&lt;50,"40-49","50+")))</f>
        <v>40-49</v>
      </c>
      <c r="AQ131" t="str">
        <f t="shared" ref="AQ131:AQ194" si="27">IF(S131&lt;=$AV$1,"Low",IF(S131&lt;=$AV$2,"Medium",IF(S131&lt;=$AV$3,"High","Very High")))</f>
        <v>High</v>
      </c>
      <c r="AR131" t="str">
        <f t="shared" ref="AR131:AR194" si="28">IF(F131&lt;=5,"Short",IF(F131&lt;=15,"Medium","Long"))</f>
        <v>Long</v>
      </c>
      <c r="AS131">
        <f t="shared" ref="AS131:AS194" si="29">IF(C131="Travel_Frequently",1,0)</f>
        <v>0</v>
      </c>
    </row>
    <row r="132" spans="1:4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s="20">
        <v>4739</v>
      </c>
      <c r="T132">
        <v>16090</v>
      </c>
      <c r="U132">
        <v>4</v>
      </c>
      <c r="V132" t="s">
        <v>42</v>
      </c>
      <c r="W132" t="s">
        <v>43</v>
      </c>
      <c r="X132" s="19">
        <v>12</v>
      </c>
      <c r="Y132">
        <v>3</v>
      </c>
      <c r="Z132">
        <v>4</v>
      </c>
      <c r="AA132">
        <v>80</v>
      </c>
      <c r="AB132">
        <v>0</v>
      </c>
      <c r="AC132">
        <v>18</v>
      </c>
      <c r="AD132">
        <v>2</v>
      </c>
      <c r="AE132">
        <v>3</v>
      </c>
      <c r="AF132">
        <v>3</v>
      </c>
      <c r="AG132">
        <v>2</v>
      </c>
      <c r="AH132">
        <v>1</v>
      </c>
      <c r="AI132">
        <v>2</v>
      </c>
      <c r="AJ132">
        <f t="shared" si="20"/>
        <v>0</v>
      </c>
      <c r="AK132">
        <f t="shared" si="21"/>
        <v>0</v>
      </c>
      <c r="AL132">
        <f t="shared" si="22"/>
        <v>0</v>
      </c>
      <c r="AM132">
        <f t="shared" si="23"/>
        <v>3</v>
      </c>
      <c r="AN132">
        <f t="shared" si="24"/>
        <v>14217</v>
      </c>
      <c r="AO132">
        <f t="shared" si="25"/>
        <v>0.15789473684210525</v>
      </c>
      <c r="AP132" t="str">
        <f t="shared" si="26"/>
        <v>40-49</v>
      </c>
      <c r="AQ132" t="str">
        <f t="shared" si="27"/>
        <v>Medium</v>
      </c>
      <c r="AR132" t="str">
        <f t="shared" si="28"/>
        <v>Long</v>
      </c>
      <c r="AS132">
        <f t="shared" si="29"/>
        <v>1</v>
      </c>
    </row>
    <row r="133" spans="1:4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s="20">
        <v>9208</v>
      </c>
      <c r="T133">
        <v>6645</v>
      </c>
      <c r="U133">
        <v>4</v>
      </c>
      <c r="V133" t="s">
        <v>42</v>
      </c>
      <c r="W133" t="s">
        <v>43</v>
      </c>
      <c r="X133" s="19">
        <v>11</v>
      </c>
      <c r="Y133">
        <v>3</v>
      </c>
      <c r="Z133">
        <v>4</v>
      </c>
      <c r="AA133">
        <v>80</v>
      </c>
      <c r="AB133">
        <v>0</v>
      </c>
      <c r="AC133">
        <v>16</v>
      </c>
      <c r="AD133">
        <v>3</v>
      </c>
      <c r="AE133">
        <v>3</v>
      </c>
      <c r="AF133">
        <v>2</v>
      </c>
      <c r="AG133">
        <v>2</v>
      </c>
      <c r="AH133">
        <v>2</v>
      </c>
      <c r="AI133">
        <v>1</v>
      </c>
      <c r="AJ133">
        <f t="shared" si="20"/>
        <v>0</v>
      </c>
      <c r="AK133">
        <f t="shared" si="21"/>
        <v>0</v>
      </c>
      <c r="AL133">
        <f t="shared" si="22"/>
        <v>0</v>
      </c>
      <c r="AM133">
        <f t="shared" si="23"/>
        <v>3.5</v>
      </c>
      <c r="AN133">
        <f t="shared" si="24"/>
        <v>36832</v>
      </c>
      <c r="AO133">
        <f t="shared" si="25"/>
        <v>0.11764705882352941</v>
      </c>
      <c r="AP133" t="str">
        <f t="shared" si="26"/>
        <v>50+</v>
      </c>
      <c r="AQ133" t="str">
        <f t="shared" si="27"/>
        <v>Very High</v>
      </c>
      <c r="AR133" t="str">
        <f t="shared" si="28"/>
        <v>Medium</v>
      </c>
      <c r="AS133">
        <f t="shared" si="29"/>
        <v>1</v>
      </c>
    </row>
    <row r="134" spans="1:4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s="20">
        <v>4559</v>
      </c>
      <c r="T134">
        <v>24788</v>
      </c>
      <c r="U134">
        <v>3</v>
      </c>
      <c r="V134" t="s">
        <v>42</v>
      </c>
      <c r="W134" t="s">
        <v>35</v>
      </c>
      <c r="X134" s="19">
        <v>11</v>
      </c>
      <c r="Y134">
        <v>3</v>
      </c>
      <c r="Z134">
        <v>3</v>
      </c>
      <c r="AA134">
        <v>80</v>
      </c>
      <c r="AB134">
        <v>1</v>
      </c>
      <c r="AC134">
        <v>4</v>
      </c>
      <c r="AD134">
        <v>2</v>
      </c>
      <c r="AE134">
        <v>3</v>
      </c>
      <c r="AF134">
        <v>2</v>
      </c>
      <c r="AG134">
        <v>2</v>
      </c>
      <c r="AH134">
        <v>2</v>
      </c>
      <c r="AI134">
        <v>2</v>
      </c>
      <c r="AJ134">
        <f t="shared" si="20"/>
        <v>1</v>
      </c>
      <c r="AK134">
        <f t="shared" si="21"/>
        <v>1</v>
      </c>
      <c r="AL134">
        <f t="shared" si="22"/>
        <v>0</v>
      </c>
      <c r="AM134">
        <f t="shared" si="23"/>
        <v>2.75</v>
      </c>
      <c r="AN134">
        <f t="shared" si="24"/>
        <v>18236</v>
      </c>
      <c r="AO134">
        <f t="shared" si="25"/>
        <v>0.4</v>
      </c>
      <c r="AP134" t="str">
        <f t="shared" si="26"/>
        <v>30-39</v>
      </c>
      <c r="AQ134" t="str">
        <f t="shared" si="27"/>
        <v>Medium</v>
      </c>
      <c r="AR134" t="str">
        <f t="shared" si="28"/>
        <v>Long</v>
      </c>
      <c r="AS134">
        <f t="shared" si="29"/>
        <v>0</v>
      </c>
    </row>
    <row r="135" spans="1:4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s="20">
        <v>8189</v>
      </c>
      <c r="T135">
        <v>21196</v>
      </c>
      <c r="U135">
        <v>3</v>
      </c>
      <c r="V135" t="s">
        <v>42</v>
      </c>
      <c r="W135" t="s">
        <v>35</v>
      </c>
      <c r="X135" s="19">
        <v>13</v>
      </c>
      <c r="Y135">
        <v>3</v>
      </c>
      <c r="Z135">
        <v>3</v>
      </c>
      <c r="AA135">
        <v>80</v>
      </c>
      <c r="AB135">
        <v>1</v>
      </c>
      <c r="AC135">
        <v>12</v>
      </c>
      <c r="AD135">
        <v>2</v>
      </c>
      <c r="AE135">
        <v>3</v>
      </c>
      <c r="AF135">
        <v>9</v>
      </c>
      <c r="AG135">
        <v>7</v>
      </c>
      <c r="AH135">
        <v>0</v>
      </c>
      <c r="AI135">
        <v>7</v>
      </c>
      <c r="AJ135">
        <f t="shared" si="20"/>
        <v>0</v>
      </c>
      <c r="AK135">
        <f t="shared" si="21"/>
        <v>1</v>
      </c>
      <c r="AL135">
        <f t="shared" si="22"/>
        <v>1</v>
      </c>
      <c r="AM135">
        <f t="shared" si="23"/>
        <v>3</v>
      </c>
      <c r="AN135">
        <f t="shared" si="24"/>
        <v>9826.7999999999993</v>
      </c>
      <c r="AO135">
        <f t="shared" si="25"/>
        <v>0.69230769230769229</v>
      </c>
      <c r="AP135" t="str">
        <f t="shared" si="26"/>
        <v>40-49</v>
      </c>
      <c r="AQ135" t="str">
        <f t="shared" si="27"/>
        <v>High</v>
      </c>
      <c r="AR135" t="str">
        <f t="shared" si="28"/>
        <v>Medium</v>
      </c>
      <c r="AS135">
        <f t="shared" si="29"/>
        <v>0</v>
      </c>
    </row>
    <row r="136" spans="1:4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s="20">
        <v>2942</v>
      </c>
      <c r="T136">
        <v>8916</v>
      </c>
      <c r="U136">
        <v>1</v>
      </c>
      <c r="V136" t="s">
        <v>42</v>
      </c>
      <c r="W136" t="s">
        <v>43</v>
      </c>
      <c r="X136" s="19">
        <v>23</v>
      </c>
      <c r="Y136">
        <v>4</v>
      </c>
      <c r="Z136">
        <v>4</v>
      </c>
      <c r="AA136">
        <v>80</v>
      </c>
      <c r="AB136">
        <v>1</v>
      </c>
      <c r="AC136">
        <v>8</v>
      </c>
      <c r="AD136">
        <v>3</v>
      </c>
      <c r="AE136">
        <v>3</v>
      </c>
      <c r="AF136">
        <v>8</v>
      </c>
      <c r="AG136">
        <v>7</v>
      </c>
      <c r="AH136">
        <v>5</v>
      </c>
      <c r="AI136">
        <v>7</v>
      </c>
      <c r="AJ136">
        <f t="shared" si="20"/>
        <v>0</v>
      </c>
      <c r="AK136">
        <f t="shared" si="21"/>
        <v>0</v>
      </c>
      <c r="AL136">
        <f t="shared" si="22"/>
        <v>0</v>
      </c>
      <c r="AM136">
        <f t="shared" si="23"/>
        <v>3.25</v>
      </c>
      <c r="AN136">
        <f t="shared" si="24"/>
        <v>3922.6666666666665</v>
      </c>
      <c r="AO136">
        <f t="shared" si="25"/>
        <v>0.88888888888888884</v>
      </c>
      <c r="AP136" t="str">
        <f t="shared" si="26"/>
        <v>Under 30</v>
      </c>
      <c r="AQ136" t="str">
        <f t="shared" si="27"/>
        <v>Medium</v>
      </c>
      <c r="AR136" t="str">
        <f t="shared" si="28"/>
        <v>Long</v>
      </c>
      <c r="AS136">
        <f t="shared" si="29"/>
        <v>0</v>
      </c>
    </row>
    <row r="137" spans="1:4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s="20">
        <v>4941</v>
      </c>
      <c r="T137">
        <v>2819</v>
      </c>
      <c r="U137">
        <v>6</v>
      </c>
      <c r="V137" t="s">
        <v>42</v>
      </c>
      <c r="W137" t="s">
        <v>43</v>
      </c>
      <c r="X137" s="19">
        <v>20</v>
      </c>
      <c r="Y137">
        <v>4</v>
      </c>
      <c r="Z137">
        <v>4</v>
      </c>
      <c r="AA137">
        <v>80</v>
      </c>
      <c r="AB137">
        <v>2</v>
      </c>
      <c r="AC137">
        <v>7</v>
      </c>
      <c r="AD137">
        <v>0</v>
      </c>
      <c r="AE137">
        <v>3</v>
      </c>
      <c r="AF137">
        <v>3</v>
      </c>
      <c r="AG137">
        <v>2</v>
      </c>
      <c r="AH137">
        <v>0</v>
      </c>
      <c r="AI137">
        <v>1</v>
      </c>
      <c r="AJ137">
        <f t="shared" si="20"/>
        <v>0</v>
      </c>
      <c r="AK137">
        <f t="shared" si="21"/>
        <v>0</v>
      </c>
      <c r="AL137">
        <f t="shared" si="22"/>
        <v>1</v>
      </c>
      <c r="AM137">
        <f t="shared" si="23"/>
        <v>2.75</v>
      </c>
      <c r="AN137">
        <f t="shared" si="24"/>
        <v>14823</v>
      </c>
      <c r="AO137">
        <f t="shared" si="25"/>
        <v>0.375</v>
      </c>
      <c r="AP137" t="str">
        <f t="shared" si="26"/>
        <v>30-39</v>
      </c>
      <c r="AQ137" t="str">
        <f t="shared" si="27"/>
        <v>High</v>
      </c>
      <c r="AR137" t="str">
        <f t="shared" si="28"/>
        <v>Medium</v>
      </c>
      <c r="AS137">
        <f t="shared" si="29"/>
        <v>0</v>
      </c>
    </row>
    <row r="138" spans="1:4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s="20">
        <v>10650</v>
      </c>
      <c r="T138">
        <v>25150</v>
      </c>
      <c r="U138">
        <v>2</v>
      </c>
      <c r="V138" t="s">
        <v>42</v>
      </c>
      <c r="W138" t="s">
        <v>43</v>
      </c>
      <c r="X138" s="19">
        <v>15</v>
      </c>
      <c r="Y138">
        <v>3</v>
      </c>
      <c r="Z138">
        <v>4</v>
      </c>
      <c r="AA138">
        <v>80</v>
      </c>
      <c r="AB138">
        <v>0</v>
      </c>
      <c r="AC138">
        <v>18</v>
      </c>
      <c r="AD138">
        <v>2</v>
      </c>
      <c r="AE138">
        <v>3</v>
      </c>
      <c r="AF138">
        <v>4</v>
      </c>
      <c r="AG138">
        <v>2</v>
      </c>
      <c r="AH138">
        <v>0</v>
      </c>
      <c r="AI138">
        <v>3</v>
      </c>
      <c r="AJ138">
        <f t="shared" si="20"/>
        <v>1</v>
      </c>
      <c r="AK138">
        <f t="shared" si="21"/>
        <v>0</v>
      </c>
      <c r="AL138">
        <f t="shared" si="22"/>
        <v>1</v>
      </c>
      <c r="AM138">
        <f t="shared" si="23"/>
        <v>3</v>
      </c>
      <c r="AN138">
        <f t="shared" si="24"/>
        <v>25560</v>
      </c>
      <c r="AO138">
        <f t="shared" si="25"/>
        <v>0.21052631578947367</v>
      </c>
      <c r="AP138" t="str">
        <f t="shared" si="26"/>
        <v>50+</v>
      </c>
      <c r="AQ138" t="str">
        <f t="shared" si="27"/>
        <v>Very High</v>
      </c>
      <c r="AR138" t="str">
        <f t="shared" si="28"/>
        <v>Medium</v>
      </c>
      <c r="AS138">
        <f t="shared" si="29"/>
        <v>1</v>
      </c>
    </row>
    <row r="139" spans="1:4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s="20">
        <v>5902</v>
      </c>
      <c r="T139">
        <v>14590</v>
      </c>
      <c r="U139">
        <v>4</v>
      </c>
      <c r="V139" t="s">
        <v>42</v>
      </c>
      <c r="W139" t="s">
        <v>43</v>
      </c>
      <c r="X139" s="19">
        <v>14</v>
      </c>
      <c r="Y139">
        <v>3</v>
      </c>
      <c r="Z139">
        <v>3</v>
      </c>
      <c r="AA139">
        <v>80</v>
      </c>
      <c r="AB139">
        <v>1</v>
      </c>
      <c r="AC139">
        <v>17</v>
      </c>
      <c r="AD139">
        <v>1</v>
      </c>
      <c r="AE139">
        <v>4</v>
      </c>
      <c r="AF139">
        <v>15</v>
      </c>
      <c r="AG139">
        <v>11</v>
      </c>
      <c r="AH139">
        <v>5</v>
      </c>
      <c r="AI139">
        <v>9</v>
      </c>
      <c r="AJ139">
        <f t="shared" si="20"/>
        <v>0</v>
      </c>
      <c r="AK139">
        <f t="shared" si="21"/>
        <v>0</v>
      </c>
      <c r="AL139">
        <f t="shared" si="22"/>
        <v>0</v>
      </c>
      <c r="AM139">
        <f t="shared" si="23"/>
        <v>3.5</v>
      </c>
      <c r="AN139">
        <f t="shared" si="24"/>
        <v>4426.5</v>
      </c>
      <c r="AO139">
        <f t="shared" si="25"/>
        <v>0.83333333333333337</v>
      </c>
      <c r="AP139" t="str">
        <f t="shared" si="26"/>
        <v>30-39</v>
      </c>
      <c r="AQ139" t="str">
        <f t="shared" si="27"/>
        <v>High</v>
      </c>
      <c r="AR139" t="str">
        <f t="shared" si="28"/>
        <v>Short</v>
      </c>
      <c r="AS139">
        <f t="shared" si="29"/>
        <v>0</v>
      </c>
    </row>
    <row r="140" spans="1:4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s="20">
        <v>8639</v>
      </c>
      <c r="T140">
        <v>24835</v>
      </c>
      <c r="U140">
        <v>2</v>
      </c>
      <c r="V140" t="s">
        <v>42</v>
      </c>
      <c r="W140" t="s">
        <v>43</v>
      </c>
      <c r="X140" s="19">
        <v>18</v>
      </c>
      <c r="Y140">
        <v>3</v>
      </c>
      <c r="Z140">
        <v>4</v>
      </c>
      <c r="AA140">
        <v>80</v>
      </c>
      <c r="AB140">
        <v>0</v>
      </c>
      <c r="AC140">
        <v>6</v>
      </c>
      <c r="AD140">
        <v>3</v>
      </c>
      <c r="AE140">
        <v>3</v>
      </c>
      <c r="AF140">
        <v>2</v>
      </c>
      <c r="AG140">
        <v>2</v>
      </c>
      <c r="AH140">
        <v>2</v>
      </c>
      <c r="AI140">
        <v>2</v>
      </c>
      <c r="AJ140">
        <f t="shared" si="20"/>
        <v>0</v>
      </c>
      <c r="AK140">
        <f t="shared" si="21"/>
        <v>0</v>
      </c>
      <c r="AL140">
        <f t="shared" si="22"/>
        <v>1</v>
      </c>
      <c r="AM140">
        <f t="shared" si="23"/>
        <v>2.75</v>
      </c>
      <c r="AN140">
        <f t="shared" si="24"/>
        <v>34556</v>
      </c>
      <c r="AO140">
        <f t="shared" si="25"/>
        <v>0.2857142857142857</v>
      </c>
      <c r="AP140" t="str">
        <f t="shared" si="26"/>
        <v>Under 30</v>
      </c>
      <c r="AQ140" t="str">
        <f t="shared" si="27"/>
        <v>Very High</v>
      </c>
      <c r="AR140" t="str">
        <f t="shared" si="28"/>
        <v>Long</v>
      </c>
      <c r="AS140">
        <f t="shared" si="29"/>
        <v>0</v>
      </c>
    </row>
    <row r="141" spans="1:4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s="20">
        <v>6347</v>
      </c>
      <c r="T141">
        <v>13982</v>
      </c>
      <c r="U141">
        <v>0</v>
      </c>
      <c r="V141" t="s">
        <v>42</v>
      </c>
      <c r="W141" t="s">
        <v>35</v>
      </c>
      <c r="X141" s="19">
        <v>19</v>
      </c>
      <c r="Y141">
        <v>3</v>
      </c>
      <c r="Z141">
        <v>4</v>
      </c>
      <c r="AA141">
        <v>80</v>
      </c>
      <c r="AB141">
        <v>0</v>
      </c>
      <c r="AC141">
        <v>12</v>
      </c>
      <c r="AD141">
        <v>2</v>
      </c>
      <c r="AE141">
        <v>1</v>
      </c>
      <c r="AF141">
        <v>11</v>
      </c>
      <c r="AG141">
        <v>9</v>
      </c>
      <c r="AH141">
        <v>4</v>
      </c>
      <c r="AI141">
        <v>7</v>
      </c>
      <c r="AJ141">
        <f t="shared" si="20"/>
        <v>0</v>
      </c>
      <c r="AK141">
        <f t="shared" si="21"/>
        <v>1</v>
      </c>
      <c r="AL141">
        <f t="shared" si="22"/>
        <v>1</v>
      </c>
      <c r="AM141">
        <f t="shared" si="23"/>
        <v>3</v>
      </c>
      <c r="AN141">
        <f t="shared" si="24"/>
        <v>6347</v>
      </c>
      <c r="AO141">
        <f t="shared" si="25"/>
        <v>0.84615384615384615</v>
      </c>
      <c r="AP141" t="str">
        <f t="shared" si="26"/>
        <v>30-39</v>
      </c>
      <c r="AQ141" t="str">
        <f t="shared" si="27"/>
        <v>High</v>
      </c>
      <c r="AR141" t="str">
        <f t="shared" si="28"/>
        <v>Medium</v>
      </c>
      <c r="AS141">
        <f t="shared" si="29"/>
        <v>0</v>
      </c>
    </row>
    <row r="142" spans="1:4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s="20">
        <v>4200</v>
      </c>
      <c r="T142">
        <v>10224</v>
      </c>
      <c r="U142">
        <v>7</v>
      </c>
      <c r="V142" t="s">
        <v>42</v>
      </c>
      <c r="W142" t="s">
        <v>43</v>
      </c>
      <c r="X142" s="19">
        <v>22</v>
      </c>
      <c r="Y142">
        <v>4</v>
      </c>
      <c r="Z142">
        <v>1</v>
      </c>
      <c r="AA142">
        <v>80</v>
      </c>
      <c r="AB142">
        <v>0</v>
      </c>
      <c r="AC142">
        <v>10</v>
      </c>
      <c r="AD142">
        <v>2</v>
      </c>
      <c r="AE142">
        <v>4</v>
      </c>
      <c r="AF142">
        <v>5</v>
      </c>
      <c r="AG142">
        <v>4</v>
      </c>
      <c r="AH142">
        <v>0</v>
      </c>
      <c r="AI142">
        <v>4</v>
      </c>
      <c r="AJ142">
        <f t="shared" si="20"/>
        <v>1</v>
      </c>
      <c r="AK142">
        <f t="shared" si="21"/>
        <v>0</v>
      </c>
      <c r="AL142">
        <f t="shared" si="22"/>
        <v>0</v>
      </c>
      <c r="AM142">
        <f t="shared" si="23"/>
        <v>1.75</v>
      </c>
      <c r="AN142">
        <f t="shared" si="24"/>
        <v>8400</v>
      </c>
      <c r="AO142">
        <f t="shared" si="25"/>
        <v>0.45454545454545453</v>
      </c>
      <c r="AP142" t="str">
        <f t="shared" si="26"/>
        <v>30-39</v>
      </c>
      <c r="AQ142" t="str">
        <f t="shared" si="27"/>
        <v>Medium</v>
      </c>
      <c r="AR142" t="str">
        <f t="shared" si="28"/>
        <v>Medium</v>
      </c>
      <c r="AS142">
        <f t="shared" si="29"/>
        <v>0</v>
      </c>
    </row>
    <row r="143" spans="1:4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s="20">
        <v>3452</v>
      </c>
      <c r="T143">
        <v>9752</v>
      </c>
      <c r="U143">
        <v>5</v>
      </c>
      <c r="V143" t="s">
        <v>42</v>
      </c>
      <c r="W143" t="s">
        <v>43</v>
      </c>
      <c r="X143" s="19">
        <v>13</v>
      </c>
      <c r="Y143">
        <v>3</v>
      </c>
      <c r="Z143">
        <v>2</v>
      </c>
      <c r="AA143">
        <v>80</v>
      </c>
      <c r="AB143">
        <v>0</v>
      </c>
      <c r="AC143">
        <v>9</v>
      </c>
      <c r="AD143">
        <v>2</v>
      </c>
      <c r="AE143">
        <v>2</v>
      </c>
      <c r="AF143">
        <v>6</v>
      </c>
      <c r="AG143">
        <v>5</v>
      </c>
      <c r="AH143">
        <v>0</v>
      </c>
      <c r="AI143">
        <v>3</v>
      </c>
      <c r="AJ143">
        <f t="shared" si="20"/>
        <v>0</v>
      </c>
      <c r="AK143">
        <f t="shared" si="21"/>
        <v>0</v>
      </c>
      <c r="AL143">
        <f t="shared" si="22"/>
        <v>1</v>
      </c>
      <c r="AM143">
        <f t="shared" si="23"/>
        <v>2.75</v>
      </c>
      <c r="AN143">
        <f t="shared" si="24"/>
        <v>5917.7142857142853</v>
      </c>
      <c r="AO143">
        <f t="shared" si="25"/>
        <v>0.6</v>
      </c>
      <c r="AP143" t="str">
        <f t="shared" si="26"/>
        <v>40-49</v>
      </c>
      <c r="AQ143" t="str">
        <f t="shared" si="27"/>
        <v>Medium</v>
      </c>
      <c r="AR143" t="str">
        <f t="shared" si="28"/>
        <v>Long</v>
      </c>
      <c r="AS143">
        <f t="shared" si="29"/>
        <v>0</v>
      </c>
    </row>
    <row r="144" spans="1:4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s="20">
        <v>4317</v>
      </c>
      <c r="T144">
        <v>2302</v>
      </c>
      <c r="U144">
        <v>3</v>
      </c>
      <c r="V144" t="s">
        <v>42</v>
      </c>
      <c r="W144" t="s">
        <v>35</v>
      </c>
      <c r="X144" s="19">
        <v>20</v>
      </c>
      <c r="Y144">
        <v>4</v>
      </c>
      <c r="Z144">
        <v>2</v>
      </c>
      <c r="AA144">
        <v>80</v>
      </c>
      <c r="AB144">
        <v>0</v>
      </c>
      <c r="AC144">
        <v>19</v>
      </c>
      <c r="AD144">
        <v>2</v>
      </c>
      <c r="AE144">
        <v>3</v>
      </c>
      <c r="AF144">
        <v>3</v>
      </c>
      <c r="AG144">
        <v>2</v>
      </c>
      <c r="AH144">
        <v>2</v>
      </c>
      <c r="AI144">
        <v>2</v>
      </c>
      <c r="AJ144">
        <f t="shared" si="20"/>
        <v>0</v>
      </c>
      <c r="AK144">
        <f t="shared" si="21"/>
        <v>1</v>
      </c>
      <c r="AL144">
        <f t="shared" si="22"/>
        <v>0</v>
      </c>
      <c r="AM144">
        <f t="shared" si="23"/>
        <v>3</v>
      </c>
      <c r="AN144">
        <f t="shared" si="24"/>
        <v>12951</v>
      </c>
      <c r="AO144">
        <f t="shared" si="25"/>
        <v>0.15</v>
      </c>
      <c r="AP144" t="str">
        <f t="shared" si="26"/>
        <v>30-39</v>
      </c>
      <c r="AQ144" t="str">
        <f t="shared" si="27"/>
        <v>Medium</v>
      </c>
      <c r="AR144" t="str">
        <f t="shared" si="28"/>
        <v>Short</v>
      </c>
      <c r="AS144">
        <f t="shared" si="29"/>
        <v>0</v>
      </c>
    </row>
    <row r="145" spans="1:4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s="20">
        <v>2632</v>
      </c>
      <c r="T145">
        <v>23910</v>
      </c>
      <c r="U145">
        <v>1</v>
      </c>
      <c r="V145" t="s">
        <v>42</v>
      </c>
      <c r="W145" t="s">
        <v>43</v>
      </c>
      <c r="X145" s="19">
        <v>14</v>
      </c>
      <c r="Y145">
        <v>3</v>
      </c>
      <c r="Z145">
        <v>3</v>
      </c>
      <c r="AA145">
        <v>80</v>
      </c>
      <c r="AB145">
        <v>0</v>
      </c>
      <c r="AC145">
        <v>5</v>
      </c>
      <c r="AD145">
        <v>4</v>
      </c>
      <c r="AE145">
        <v>2</v>
      </c>
      <c r="AF145">
        <v>5</v>
      </c>
      <c r="AG145">
        <v>4</v>
      </c>
      <c r="AH145">
        <v>0</v>
      </c>
      <c r="AI145">
        <v>4</v>
      </c>
      <c r="AJ145">
        <f t="shared" si="20"/>
        <v>0</v>
      </c>
      <c r="AK145">
        <f t="shared" si="21"/>
        <v>0</v>
      </c>
      <c r="AL145">
        <f t="shared" si="22"/>
        <v>0</v>
      </c>
      <c r="AM145">
        <f t="shared" si="23"/>
        <v>2.25</v>
      </c>
      <c r="AN145">
        <f t="shared" si="24"/>
        <v>5264</v>
      </c>
      <c r="AO145">
        <f t="shared" si="25"/>
        <v>0.83333333333333337</v>
      </c>
      <c r="AP145" t="str">
        <f t="shared" si="26"/>
        <v>30-39</v>
      </c>
      <c r="AQ145" t="str">
        <f t="shared" si="27"/>
        <v>Low</v>
      </c>
      <c r="AR145" t="str">
        <f t="shared" si="28"/>
        <v>Long</v>
      </c>
      <c r="AS145">
        <f t="shared" si="29"/>
        <v>0</v>
      </c>
    </row>
    <row r="146" spans="1:4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s="20">
        <v>4668</v>
      </c>
      <c r="T146">
        <v>22812</v>
      </c>
      <c r="U146">
        <v>0</v>
      </c>
      <c r="V146" t="s">
        <v>42</v>
      </c>
      <c r="W146" t="s">
        <v>43</v>
      </c>
      <c r="X146" s="19">
        <v>17</v>
      </c>
      <c r="Y146">
        <v>3</v>
      </c>
      <c r="Z146">
        <v>4</v>
      </c>
      <c r="AA146">
        <v>80</v>
      </c>
      <c r="AB146">
        <v>3</v>
      </c>
      <c r="AC146">
        <v>9</v>
      </c>
      <c r="AD146">
        <v>2</v>
      </c>
      <c r="AE146">
        <v>4</v>
      </c>
      <c r="AF146">
        <v>8</v>
      </c>
      <c r="AG146">
        <v>7</v>
      </c>
      <c r="AH146">
        <v>0</v>
      </c>
      <c r="AI146">
        <v>7</v>
      </c>
      <c r="AJ146">
        <f t="shared" si="20"/>
        <v>0</v>
      </c>
      <c r="AK146">
        <f t="shared" si="21"/>
        <v>0</v>
      </c>
      <c r="AL146">
        <f t="shared" si="22"/>
        <v>1</v>
      </c>
      <c r="AM146">
        <f t="shared" si="23"/>
        <v>4</v>
      </c>
      <c r="AN146">
        <f t="shared" si="24"/>
        <v>6224</v>
      </c>
      <c r="AO146">
        <f t="shared" si="25"/>
        <v>0.8</v>
      </c>
      <c r="AP146" t="str">
        <f t="shared" si="26"/>
        <v>30-39</v>
      </c>
      <c r="AQ146" t="str">
        <f t="shared" si="27"/>
        <v>Medium</v>
      </c>
      <c r="AR146" t="str">
        <f t="shared" si="28"/>
        <v>Medium</v>
      </c>
      <c r="AS146">
        <f t="shared" si="29"/>
        <v>1</v>
      </c>
    </row>
    <row r="147" spans="1:4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s="20">
        <v>3204</v>
      </c>
      <c r="T147">
        <v>10415</v>
      </c>
      <c r="U147">
        <v>5</v>
      </c>
      <c r="V147" t="s">
        <v>42</v>
      </c>
      <c r="W147" t="s">
        <v>43</v>
      </c>
      <c r="X147" s="19">
        <v>14</v>
      </c>
      <c r="Y147">
        <v>3</v>
      </c>
      <c r="Z147">
        <v>4</v>
      </c>
      <c r="AA147">
        <v>80</v>
      </c>
      <c r="AB147">
        <v>1</v>
      </c>
      <c r="AC147">
        <v>8</v>
      </c>
      <c r="AD147">
        <v>3</v>
      </c>
      <c r="AE147">
        <v>3</v>
      </c>
      <c r="AF147">
        <v>3</v>
      </c>
      <c r="AG147">
        <v>2</v>
      </c>
      <c r="AH147">
        <v>2</v>
      </c>
      <c r="AI147">
        <v>2</v>
      </c>
      <c r="AJ147">
        <f t="shared" si="20"/>
        <v>0</v>
      </c>
      <c r="AK147">
        <f t="shared" si="21"/>
        <v>0</v>
      </c>
      <c r="AL147">
        <f t="shared" si="22"/>
        <v>0</v>
      </c>
      <c r="AM147">
        <f t="shared" si="23"/>
        <v>3</v>
      </c>
      <c r="AN147">
        <f t="shared" si="24"/>
        <v>9612</v>
      </c>
      <c r="AO147">
        <f t="shared" si="25"/>
        <v>0.33333333333333331</v>
      </c>
      <c r="AP147" t="str">
        <f t="shared" si="26"/>
        <v>30-39</v>
      </c>
      <c r="AQ147" t="str">
        <f t="shared" si="27"/>
        <v>Medium</v>
      </c>
      <c r="AR147" t="str">
        <f t="shared" si="28"/>
        <v>Short</v>
      </c>
      <c r="AS147">
        <f t="shared" si="29"/>
        <v>0</v>
      </c>
    </row>
    <row r="148" spans="1:4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s="20">
        <v>2720</v>
      </c>
      <c r="T148">
        <v>11162</v>
      </c>
      <c r="U148">
        <v>0</v>
      </c>
      <c r="V148" t="s">
        <v>42</v>
      </c>
      <c r="W148" t="s">
        <v>43</v>
      </c>
      <c r="X148" s="19">
        <v>13</v>
      </c>
      <c r="Y148">
        <v>3</v>
      </c>
      <c r="Z148">
        <v>4</v>
      </c>
      <c r="AA148">
        <v>80</v>
      </c>
      <c r="AB148">
        <v>0</v>
      </c>
      <c r="AC148">
        <v>6</v>
      </c>
      <c r="AD148">
        <v>3</v>
      </c>
      <c r="AE148">
        <v>3</v>
      </c>
      <c r="AF148">
        <v>5</v>
      </c>
      <c r="AG148">
        <v>3</v>
      </c>
      <c r="AH148">
        <v>1</v>
      </c>
      <c r="AI148">
        <v>2</v>
      </c>
      <c r="AJ148">
        <f t="shared" si="20"/>
        <v>0</v>
      </c>
      <c r="AK148">
        <f t="shared" si="21"/>
        <v>0</v>
      </c>
      <c r="AL148">
        <f t="shared" si="22"/>
        <v>1</v>
      </c>
      <c r="AM148">
        <f t="shared" si="23"/>
        <v>3.25</v>
      </c>
      <c r="AN148">
        <f t="shared" si="24"/>
        <v>5440</v>
      </c>
      <c r="AO148">
        <f t="shared" si="25"/>
        <v>0.7142857142857143</v>
      </c>
      <c r="AP148" t="str">
        <f t="shared" si="26"/>
        <v>30-39</v>
      </c>
      <c r="AQ148" t="str">
        <f t="shared" si="27"/>
        <v>Low</v>
      </c>
      <c r="AR148" t="str">
        <f t="shared" si="28"/>
        <v>Short</v>
      </c>
      <c r="AS148">
        <f t="shared" si="29"/>
        <v>0</v>
      </c>
    </row>
    <row r="149" spans="1:4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s="20">
        <v>17181</v>
      </c>
      <c r="T149">
        <v>12888</v>
      </c>
      <c r="U149">
        <v>4</v>
      </c>
      <c r="V149" t="s">
        <v>42</v>
      </c>
      <c r="W149" t="s">
        <v>43</v>
      </c>
      <c r="X149" s="19">
        <v>13</v>
      </c>
      <c r="Y149">
        <v>3</v>
      </c>
      <c r="Z149">
        <v>2</v>
      </c>
      <c r="AA149">
        <v>80</v>
      </c>
      <c r="AB149">
        <v>1</v>
      </c>
      <c r="AC149">
        <v>21</v>
      </c>
      <c r="AD149">
        <v>2</v>
      </c>
      <c r="AE149">
        <v>2</v>
      </c>
      <c r="AF149">
        <v>7</v>
      </c>
      <c r="AG149">
        <v>6</v>
      </c>
      <c r="AH149">
        <v>7</v>
      </c>
      <c r="AI149">
        <v>7</v>
      </c>
      <c r="AJ149">
        <f t="shared" si="20"/>
        <v>0</v>
      </c>
      <c r="AK149">
        <f t="shared" si="21"/>
        <v>0</v>
      </c>
      <c r="AL149">
        <f t="shared" si="22"/>
        <v>1</v>
      </c>
      <c r="AM149">
        <f t="shared" si="23"/>
        <v>2.25</v>
      </c>
      <c r="AN149">
        <f t="shared" si="24"/>
        <v>25771.5</v>
      </c>
      <c r="AO149">
        <f t="shared" si="25"/>
        <v>0.31818181818181818</v>
      </c>
      <c r="AP149" t="str">
        <f t="shared" si="26"/>
        <v>40-49</v>
      </c>
      <c r="AQ149" t="str">
        <f t="shared" si="27"/>
        <v>Very High</v>
      </c>
      <c r="AR149" t="str">
        <f t="shared" si="28"/>
        <v>Medium</v>
      </c>
      <c r="AS149">
        <f t="shared" si="29"/>
        <v>1</v>
      </c>
    </row>
    <row r="150" spans="1:4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s="20">
        <v>2238</v>
      </c>
      <c r="T150">
        <v>6961</v>
      </c>
      <c r="U150">
        <v>2</v>
      </c>
      <c r="V150" t="s">
        <v>42</v>
      </c>
      <c r="W150" t="s">
        <v>43</v>
      </c>
      <c r="X150" s="19">
        <v>21</v>
      </c>
      <c r="Y150">
        <v>4</v>
      </c>
      <c r="Z150">
        <v>4</v>
      </c>
      <c r="AA150">
        <v>80</v>
      </c>
      <c r="AB150">
        <v>1</v>
      </c>
      <c r="AC150">
        <v>7</v>
      </c>
      <c r="AD150">
        <v>2</v>
      </c>
      <c r="AE150">
        <v>3</v>
      </c>
      <c r="AF150">
        <v>5</v>
      </c>
      <c r="AG150">
        <v>0</v>
      </c>
      <c r="AH150">
        <v>1</v>
      </c>
      <c r="AI150">
        <v>4</v>
      </c>
      <c r="AJ150">
        <f t="shared" si="20"/>
        <v>0</v>
      </c>
      <c r="AK150">
        <f t="shared" si="21"/>
        <v>0</v>
      </c>
      <c r="AL150">
        <f t="shared" si="22"/>
        <v>1</v>
      </c>
      <c r="AM150">
        <f t="shared" si="23"/>
        <v>2.75</v>
      </c>
      <c r="AN150">
        <f t="shared" si="24"/>
        <v>4476</v>
      </c>
      <c r="AO150">
        <f t="shared" si="25"/>
        <v>0.625</v>
      </c>
      <c r="AP150" t="str">
        <f t="shared" si="26"/>
        <v>40-49</v>
      </c>
      <c r="AQ150" t="str">
        <f t="shared" si="27"/>
        <v>Low</v>
      </c>
      <c r="AR150" t="str">
        <f t="shared" si="28"/>
        <v>Medium</v>
      </c>
      <c r="AS150">
        <f t="shared" si="29"/>
        <v>0</v>
      </c>
    </row>
    <row r="151" spans="1:4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s="20">
        <v>1483</v>
      </c>
      <c r="T151">
        <v>16102</v>
      </c>
      <c r="U151">
        <v>1</v>
      </c>
      <c r="V151" t="s">
        <v>42</v>
      </c>
      <c r="W151" t="s">
        <v>43</v>
      </c>
      <c r="X151" s="19">
        <v>14</v>
      </c>
      <c r="Y151">
        <v>3</v>
      </c>
      <c r="Z151">
        <v>4</v>
      </c>
      <c r="AA151">
        <v>80</v>
      </c>
      <c r="AB151">
        <v>0</v>
      </c>
      <c r="AC151">
        <v>1</v>
      </c>
      <c r="AD151">
        <v>3</v>
      </c>
      <c r="AE151">
        <v>3</v>
      </c>
      <c r="AF151">
        <v>1</v>
      </c>
      <c r="AG151">
        <v>0</v>
      </c>
      <c r="AH151">
        <v>0</v>
      </c>
      <c r="AI151">
        <v>0</v>
      </c>
      <c r="AJ151">
        <f t="shared" si="20"/>
        <v>0</v>
      </c>
      <c r="AK151">
        <f t="shared" si="21"/>
        <v>0</v>
      </c>
      <c r="AL151">
        <f t="shared" si="22"/>
        <v>0</v>
      </c>
      <c r="AM151">
        <f t="shared" si="23"/>
        <v>2.75</v>
      </c>
      <c r="AN151">
        <f t="shared" si="24"/>
        <v>8898</v>
      </c>
      <c r="AO151">
        <f t="shared" si="25"/>
        <v>0.5</v>
      </c>
      <c r="AP151" t="str">
        <f t="shared" si="26"/>
        <v>Under 30</v>
      </c>
      <c r="AQ151" t="str">
        <f t="shared" si="27"/>
        <v>Low</v>
      </c>
      <c r="AR151" t="str">
        <f t="shared" si="28"/>
        <v>Short</v>
      </c>
      <c r="AS151">
        <f t="shared" si="29"/>
        <v>0</v>
      </c>
    </row>
    <row r="152" spans="1:4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s="20">
        <v>5605</v>
      </c>
      <c r="T152">
        <v>8504</v>
      </c>
      <c r="U152">
        <v>1</v>
      </c>
      <c r="V152" t="s">
        <v>42</v>
      </c>
      <c r="W152" t="s">
        <v>43</v>
      </c>
      <c r="X152" s="19">
        <v>11</v>
      </c>
      <c r="Y152">
        <v>3</v>
      </c>
      <c r="Z152">
        <v>1</v>
      </c>
      <c r="AA152">
        <v>80</v>
      </c>
      <c r="AB152">
        <v>1</v>
      </c>
      <c r="AC152">
        <v>20</v>
      </c>
      <c r="AD152">
        <v>2</v>
      </c>
      <c r="AE152">
        <v>3</v>
      </c>
      <c r="AF152">
        <v>20</v>
      </c>
      <c r="AG152">
        <v>7</v>
      </c>
      <c r="AH152">
        <v>2</v>
      </c>
      <c r="AI152">
        <v>13</v>
      </c>
      <c r="AJ152">
        <f t="shared" si="20"/>
        <v>0</v>
      </c>
      <c r="AK152">
        <f t="shared" si="21"/>
        <v>0</v>
      </c>
      <c r="AL152">
        <f t="shared" si="22"/>
        <v>0</v>
      </c>
      <c r="AM152">
        <f t="shared" si="23"/>
        <v>2</v>
      </c>
      <c r="AN152">
        <f t="shared" si="24"/>
        <v>3202.8571428571427</v>
      </c>
      <c r="AO152">
        <f t="shared" si="25"/>
        <v>0.95238095238095233</v>
      </c>
      <c r="AP152" t="str">
        <f t="shared" si="26"/>
        <v>40-49</v>
      </c>
      <c r="AQ152" t="str">
        <f t="shared" si="27"/>
        <v>High</v>
      </c>
      <c r="AR152" t="str">
        <f t="shared" si="28"/>
        <v>Long</v>
      </c>
      <c r="AS152">
        <f t="shared" si="29"/>
        <v>1</v>
      </c>
    </row>
    <row r="153" spans="1:4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s="20">
        <v>7295</v>
      </c>
      <c r="T153">
        <v>11439</v>
      </c>
      <c r="U153">
        <v>1</v>
      </c>
      <c r="V153" t="s">
        <v>42</v>
      </c>
      <c r="W153" t="s">
        <v>43</v>
      </c>
      <c r="X153" s="19">
        <v>13</v>
      </c>
      <c r="Y153">
        <v>3</v>
      </c>
      <c r="Z153">
        <v>1</v>
      </c>
      <c r="AA153">
        <v>80</v>
      </c>
      <c r="AB153">
        <v>2</v>
      </c>
      <c r="AC153">
        <v>10</v>
      </c>
      <c r="AD153">
        <v>3</v>
      </c>
      <c r="AE153">
        <v>3</v>
      </c>
      <c r="AF153">
        <v>10</v>
      </c>
      <c r="AG153">
        <v>8</v>
      </c>
      <c r="AH153">
        <v>0</v>
      </c>
      <c r="AI153">
        <v>6</v>
      </c>
      <c r="AJ153">
        <f t="shared" si="20"/>
        <v>0</v>
      </c>
      <c r="AK153">
        <f t="shared" si="21"/>
        <v>0</v>
      </c>
      <c r="AL153">
        <f t="shared" si="22"/>
        <v>1</v>
      </c>
      <c r="AM153">
        <f t="shared" si="23"/>
        <v>2.25</v>
      </c>
      <c r="AN153">
        <f t="shared" si="24"/>
        <v>7958.181818181818</v>
      </c>
      <c r="AO153">
        <f t="shared" si="25"/>
        <v>0.90909090909090906</v>
      </c>
      <c r="AP153" t="str">
        <f t="shared" si="26"/>
        <v>30-39</v>
      </c>
      <c r="AQ153" t="str">
        <f t="shared" si="27"/>
        <v>High</v>
      </c>
      <c r="AR153" t="str">
        <f t="shared" si="28"/>
        <v>Short</v>
      </c>
      <c r="AS153">
        <f t="shared" si="29"/>
        <v>0</v>
      </c>
    </row>
    <row r="154" spans="1:4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s="20">
        <v>2306</v>
      </c>
      <c r="T154">
        <v>16047</v>
      </c>
      <c r="U154">
        <v>2</v>
      </c>
      <c r="V154" t="s">
        <v>42</v>
      </c>
      <c r="W154" t="s">
        <v>35</v>
      </c>
      <c r="X154" s="19">
        <v>20</v>
      </c>
      <c r="Y154">
        <v>4</v>
      </c>
      <c r="Z154">
        <v>4</v>
      </c>
      <c r="AA154">
        <v>80</v>
      </c>
      <c r="AB154">
        <v>1</v>
      </c>
      <c r="AC154">
        <v>13</v>
      </c>
      <c r="AD154">
        <v>3</v>
      </c>
      <c r="AE154">
        <v>1</v>
      </c>
      <c r="AF154">
        <v>7</v>
      </c>
      <c r="AG154">
        <v>7</v>
      </c>
      <c r="AH154">
        <v>4</v>
      </c>
      <c r="AI154">
        <v>5</v>
      </c>
      <c r="AJ154">
        <f t="shared" si="20"/>
        <v>0</v>
      </c>
      <c r="AK154">
        <f t="shared" si="21"/>
        <v>1</v>
      </c>
      <c r="AL154">
        <f t="shared" si="22"/>
        <v>1</v>
      </c>
      <c r="AM154">
        <f t="shared" si="23"/>
        <v>2.5</v>
      </c>
      <c r="AN154">
        <f t="shared" si="24"/>
        <v>3459</v>
      </c>
      <c r="AO154">
        <f t="shared" si="25"/>
        <v>0.5</v>
      </c>
      <c r="AP154" t="str">
        <f t="shared" si="26"/>
        <v>50+</v>
      </c>
      <c r="AQ154" t="str">
        <f t="shared" si="27"/>
        <v>Low</v>
      </c>
      <c r="AR154" t="str">
        <f t="shared" si="28"/>
        <v>Medium</v>
      </c>
      <c r="AS154">
        <f t="shared" si="29"/>
        <v>0</v>
      </c>
    </row>
    <row r="155" spans="1:4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s="20">
        <v>2348</v>
      </c>
      <c r="T155">
        <v>10901</v>
      </c>
      <c r="U155">
        <v>8</v>
      </c>
      <c r="V155" t="s">
        <v>42</v>
      </c>
      <c r="W155" t="s">
        <v>43</v>
      </c>
      <c r="X155" s="19">
        <v>18</v>
      </c>
      <c r="Y155">
        <v>3</v>
      </c>
      <c r="Z155">
        <v>3</v>
      </c>
      <c r="AA155">
        <v>80</v>
      </c>
      <c r="AB155">
        <v>1</v>
      </c>
      <c r="AC155">
        <v>20</v>
      </c>
      <c r="AD155">
        <v>2</v>
      </c>
      <c r="AE155">
        <v>1</v>
      </c>
      <c r="AF155">
        <v>17</v>
      </c>
      <c r="AG155">
        <v>9</v>
      </c>
      <c r="AH155">
        <v>0</v>
      </c>
      <c r="AI155">
        <v>15</v>
      </c>
      <c r="AJ155">
        <f t="shared" si="20"/>
        <v>0</v>
      </c>
      <c r="AK155">
        <f t="shared" si="21"/>
        <v>0</v>
      </c>
      <c r="AL155">
        <f t="shared" si="22"/>
        <v>1</v>
      </c>
      <c r="AM155">
        <f t="shared" si="23"/>
        <v>2</v>
      </c>
      <c r="AN155">
        <f t="shared" si="24"/>
        <v>1565.3333333333333</v>
      </c>
      <c r="AO155">
        <f t="shared" si="25"/>
        <v>0.80952380952380953</v>
      </c>
      <c r="AP155" t="str">
        <f t="shared" si="26"/>
        <v>40-49</v>
      </c>
      <c r="AQ155" t="str">
        <f t="shared" si="27"/>
        <v>Low</v>
      </c>
      <c r="AR155" t="str">
        <f t="shared" si="28"/>
        <v>Medium</v>
      </c>
      <c r="AS155">
        <f t="shared" si="29"/>
        <v>0</v>
      </c>
    </row>
    <row r="156" spans="1:4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s="20">
        <v>8998</v>
      </c>
      <c r="T156">
        <v>15589</v>
      </c>
      <c r="U156">
        <v>1</v>
      </c>
      <c r="V156" t="s">
        <v>42</v>
      </c>
      <c r="W156" t="s">
        <v>43</v>
      </c>
      <c r="X156" s="19">
        <v>14</v>
      </c>
      <c r="Y156">
        <v>3</v>
      </c>
      <c r="Z156">
        <v>4</v>
      </c>
      <c r="AA156">
        <v>80</v>
      </c>
      <c r="AB156">
        <v>0</v>
      </c>
      <c r="AC156">
        <v>9</v>
      </c>
      <c r="AD156">
        <v>2</v>
      </c>
      <c r="AE156">
        <v>3</v>
      </c>
      <c r="AF156">
        <v>9</v>
      </c>
      <c r="AG156">
        <v>8</v>
      </c>
      <c r="AH156">
        <v>3</v>
      </c>
      <c r="AI156">
        <v>7</v>
      </c>
      <c r="AJ156">
        <f t="shared" si="20"/>
        <v>0</v>
      </c>
      <c r="AK156">
        <f t="shared" si="21"/>
        <v>0</v>
      </c>
      <c r="AL156">
        <f t="shared" si="22"/>
        <v>0</v>
      </c>
      <c r="AM156">
        <f t="shared" si="23"/>
        <v>3.25</v>
      </c>
      <c r="AN156">
        <f t="shared" si="24"/>
        <v>10797.6</v>
      </c>
      <c r="AO156">
        <f t="shared" si="25"/>
        <v>0.9</v>
      </c>
      <c r="AP156" t="str">
        <f t="shared" si="26"/>
        <v>30-39</v>
      </c>
      <c r="AQ156" t="str">
        <f t="shared" si="27"/>
        <v>Very High</v>
      </c>
      <c r="AR156" t="str">
        <f t="shared" si="28"/>
        <v>Medium</v>
      </c>
      <c r="AS156">
        <f t="shared" si="29"/>
        <v>1</v>
      </c>
    </row>
    <row r="157" spans="1:4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s="20">
        <v>4319</v>
      </c>
      <c r="T157">
        <v>26283</v>
      </c>
      <c r="U157">
        <v>1</v>
      </c>
      <c r="V157" t="s">
        <v>42</v>
      </c>
      <c r="W157" t="s">
        <v>43</v>
      </c>
      <c r="X157" s="19">
        <v>13</v>
      </c>
      <c r="Y157">
        <v>3</v>
      </c>
      <c r="Z157">
        <v>1</v>
      </c>
      <c r="AA157">
        <v>80</v>
      </c>
      <c r="AB157">
        <v>1</v>
      </c>
      <c r="AC157">
        <v>10</v>
      </c>
      <c r="AD157">
        <v>1</v>
      </c>
      <c r="AE157">
        <v>3</v>
      </c>
      <c r="AF157">
        <v>10</v>
      </c>
      <c r="AG157">
        <v>7</v>
      </c>
      <c r="AH157">
        <v>0</v>
      </c>
      <c r="AI157">
        <v>9</v>
      </c>
      <c r="AJ157">
        <f t="shared" si="20"/>
        <v>0</v>
      </c>
      <c r="AK157">
        <f t="shared" si="21"/>
        <v>0</v>
      </c>
      <c r="AL157">
        <f t="shared" si="22"/>
        <v>1</v>
      </c>
      <c r="AM157">
        <f t="shared" si="23"/>
        <v>2.75</v>
      </c>
      <c r="AN157">
        <f t="shared" si="24"/>
        <v>4711.636363636364</v>
      </c>
      <c r="AO157">
        <f t="shared" si="25"/>
        <v>0.90909090909090906</v>
      </c>
      <c r="AP157" t="str">
        <f t="shared" si="26"/>
        <v>Under 30</v>
      </c>
      <c r="AQ157" t="str">
        <f t="shared" si="27"/>
        <v>Medium</v>
      </c>
      <c r="AR157" t="str">
        <f t="shared" si="28"/>
        <v>Short</v>
      </c>
      <c r="AS157">
        <f t="shared" si="29"/>
        <v>0</v>
      </c>
    </row>
    <row r="158" spans="1:4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s="20">
        <v>6132</v>
      </c>
      <c r="T158">
        <v>13983</v>
      </c>
      <c r="U158">
        <v>2</v>
      </c>
      <c r="V158" t="s">
        <v>42</v>
      </c>
      <c r="W158" t="s">
        <v>43</v>
      </c>
      <c r="X158" s="19">
        <v>17</v>
      </c>
      <c r="Y158">
        <v>3</v>
      </c>
      <c r="Z158">
        <v>3</v>
      </c>
      <c r="AA158">
        <v>80</v>
      </c>
      <c r="AB158">
        <v>0</v>
      </c>
      <c r="AC158">
        <v>10</v>
      </c>
      <c r="AD158">
        <v>2</v>
      </c>
      <c r="AE158">
        <v>3</v>
      </c>
      <c r="AF158">
        <v>1</v>
      </c>
      <c r="AG158">
        <v>0</v>
      </c>
      <c r="AH158">
        <v>0</v>
      </c>
      <c r="AI158">
        <v>0</v>
      </c>
      <c r="AJ158">
        <f t="shared" si="20"/>
        <v>0</v>
      </c>
      <c r="AK158">
        <f t="shared" si="21"/>
        <v>0</v>
      </c>
      <c r="AL158">
        <f t="shared" si="22"/>
        <v>1</v>
      </c>
      <c r="AM158">
        <f t="shared" si="23"/>
        <v>2.75</v>
      </c>
      <c r="AN158">
        <f t="shared" si="24"/>
        <v>36792</v>
      </c>
      <c r="AO158">
        <f t="shared" si="25"/>
        <v>9.0909090909090912E-2</v>
      </c>
      <c r="AP158" t="str">
        <f t="shared" si="26"/>
        <v>50+</v>
      </c>
      <c r="AQ158" t="str">
        <f t="shared" si="27"/>
        <v>High</v>
      </c>
      <c r="AR158" t="str">
        <f t="shared" si="28"/>
        <v>Medium</v>
      </c>
      <c r="AS158">
        <f t="shared" si="29"/>
        <v>0</v>
      </c>
    </row>
    <row r="159" spans="1:4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s="20">
        <v>3346</v>
      </c>
      <c r="T159">
        <v>11873</v>
      </c>
      <c r="U159">
        <v>4</v>
      </c>
      <c r="V159" t="s">
        <v>42</v>
      </c>
      <c r="W159" t="s">
        <v>35</v>
      </c>
      <c r="X159" s="19">
        <v>20</v>
      </c>
      <c r="Y159">
        <v>4</v>
      </c>
      <c r="Z159">
        <v>2</v>
      </c>
      <c r="AA159">
        <v>80</v>
      </c>
      <c r="AB159">
        <v>1</v>
      </c>
      <c r="AC159">
        <v>9</v>
      </c>
      <c r="AD159">
        <v>3</v>
      </c>
      <c r="AE159">
        <v>2</v>
      </c>
      <c r="AF159">
        <v>1</v>
      </c>
      <c r="AG159">
        <v>0</v>
      </c>
      <c r="AH159">
        <v>0</v>
      </c>
      <c r="AI159">
        <v>0</v>
      </c>
      <c r="AJ159">
        <f t="shared" si="20"/>
        <v>0</v>
      </c>
      <c r="AK159">
        <f t="shared" si="21"/>
        <v>1</v>
      </c>
      <c r="AL159">
        <f t="shared" si="22"/>
        <v>0</v>
      </c>
      <c r="AM159">
        <f t="shared" si="23"/>
        <v>2</v>
      </c>
      <c r="AN159">
        <f t="shared" si="24"/>
        <v>20076</v>
      </c>
      <c r="AO159">
        <f t="shared" si="25"/>
        <v>0.1</v>
      </c>
      <c r="AP159" t="str">
        <f t="shared" si="26"/>
        <v>50+</v>
      </c>
      <c r="AQ159" t="str">
        <f t="shared" si="27"/>
        <v>Medium</v>
      </c>
      <c r="AR159" t="str">
        <f t="shared" si="28"/>
        <v>Medium</v>
      </c>
      <c r="AS159">
        <f t="shared" si="29"/>
        <v>0</v>
      </c>
    </row>
    <row r="160" spans="1:4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s="20">
        <v>10855</v>
      </c>
      <c r="T160">
        <v>8552</v>
      </c>
      <c r="U160">
        <v>7</v>
      </c>
      <c r="V160" t="s">
        <v>42</v>
      </c>
      <c r="W160" t="s">
        <v>43</v>
      </c>
      <c r="X160" s="19">
        <v>11</v>
      </c>
      <c r="Y160">
        <v>3</v>
      </c>
      <c r="Z160">
        <v>1</v>
      </c>
      <c r="AA160">
        <v>80</v>
      </c>
      <c r="AB160">
        <v>1</v>
      </c>
      <c r="AC160">
        <v>15</v>
      </c>
      <c r="AD160">
        <v>2</v>
      </c>
      <c r="AE160">
        <v>2</v>
      </c>
      <c r="AF160">
        <v>12</v>
      </c>
      <c r="AG160">
        <v>11</v>
      </c>
      <c r="AH160">
        <v>2</v>
      </c>
      <c r="AI160">
        <v>11</v>
      </c>
      <c r="AJ160">
        <f t="shared" si="20"/>
        <v>0</v>
      </c>
      <c r="AK160">
        <f t="shared" si="21"/>
        <v>0</v>
      </c>
      <c r="AL160">
        <f t="shared" si="22"/>
        <v>1</v>
      </c>
      <c r="AM160">
        <f t="shared" si="23"/>
        <v>2.5</v>
      </c>
      <c r="AN160">
        <f t="shared" si="24"/>
        <v>10020</v>
      </c>
      <c r="AO160">
        <f t="shared" si="25"/>
        <v>0.75</v>
      </c>
      <c r="AP160" t="str">
        <f t="shared" si="26"/>
        <v>40-49</v>
      </c>
      <c r="AQ160" t="str">
        <f t="shared" si="27"/>
        <v>Very High</v>
      </c>
      <c r="AR160" t="str">
        <f t="shared" si="28"/>
        <v>Short</v>
      </c>
      <c r="AS160">
        <f t="shared" si="29"/>
        <v>0</v>
      </c>
    </row>
    <row r="161" spans="1:4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s="20">
        <v>2231</v>
      </c>
      <c r="T161">
        <v>11314</v>
      </c>
      <c r="U161">
        <v>6</v>
      </c>
      <c r="V161" t="s">
        <v>42</v>
      </c>
      <c r="W161" t="s">
        <v>43</v>
      </c>
      <c r="X161" s="19">
        <v>18</v>
      </c>
      <c r="Y161">
        <v>3</v>
      </c>
      <c r="Z161">
        <v>4</v>
      </c>
      <c r="AA161">
        <v>80</v>
      </c>
      <c r="AB161">
        <v>1</v>
      </c>
      <c r="AC161">
        <v>6</v>
      </c>
      <c r="AD161">
        <v>3</v>
      </c>
      <c r="AE161">
        <v>3</v>
      </c>
      <c r="AF161">
        <v>4</v>
      </c>
      <c r="AG161">
        <v>3</v>
      </c>
      <c r="AH161">
        <v>1</v>
      </c>
      <c r="AI161">
        <v>2</v>
      </c>
      <c r="AJ161">
        <f t="shared" si="20"/>
        <v>0</v>
      </c>
      <c r="AK161">
        <f t="shared" si="21"/>
        <v>0</v>
      </c>
      <c r="AL161">
        <f t="shared" si="22"/>
        <v>0</v>
      </c>
      <c r="AM161">
        <f t="shared" si="23"/>
        <v>3.25</v>
      </c>
      <c r="AN161">
        <f t="shared" si="24"/>
        <v>5354.4</v>
      </c>
      <c r="AO161">
        <f t="shared" si="25"/>
        <v>0.5714285714285714</v>
      </c>
      <c r="AP161" t="str">
        <f t="shared" si="26"/>
        <v>30-39</v>
      </c>
      <c r="AQ161" t="str">
        <f t="shared" si="27"/>
        <v>Low</v>
      </c>
      <c r="AR161" t="str">
        <f t="shared" si="28"/>
        <v>Short</v>
      </c>
      <c r="AS161">
        <f t="shared" si="29"/>
        <v>1</v>
      </c>
    </row>
    <row r="162" spans="1:4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s="20">
        <v>2323</v>
      </c>
      <c r="T162">
        <v>11992</v>
      </c>
      <c r="U162">
        <v>1</v>
      </c>
      <c r="V162" t="s">
        <v>42</v>
      </c>
      <c r="W162" t="s">
        <v>43</v>
      </c>
      <c r="X162" s="19">
        <v>24</v>
      </c>
      <c r="Y162">
        <v>4</v>
      </c>
      <c r="Z162">
        <v>1</v>
      </c>
      <c r="AA162">
        <v>80</v>
      </c>
      <c r="AB162">
        <v>2</v>
      </c>
      <c r="AC162">
        <v>2</v>
      </c>
      <c r="AD162">
        <v>6</v>
      </c>
      <c r="AE162">
        <v>3</v>
      </c>
      <c r="AF162">
        <v>2</v>
      </c>
      <c r="AG162">
        <v>2</v>
      </c>
      <c r="AH162">
        <v>2</v>
      </c>
      <c r="AI162">
        <v>2</v>
      </c>
      <c r="AJ162">
        <f t="shared" si="20"/>
        <v>0</v>
      </c>
      <c r="AK162">
        <f t="shared" si="21"/>
        <v>0</v>
      </c>
      <c r="AL162">
        <f t="shared" si="22"/>
        <v>1</v>
      </c>
      <c r="AM162">
        <f t="shared" si="23"/>
        <v>2.75</v>
      </c>
      <c r="AN162">
        <f t="shared" si="24"/>
        <v>9292</v>
      </c>
      <c r="AO162">
        <f t="shared" si="25"/>
        <v>0.66666666666666663</v>
      </c>
      <c r="AP162" t="str">
        <f t="shared" si="26"/>
        <v>Under 30</v>
      </c>
      <c r="AQ162" t="str">
        <f t="shared" si="27"/>
        <v>Low</v>
      </c>
      <c r="AR162" t="str">
        <f t="shared" si="28"/>
        <v>Long</v>
      </c>
      <c r="AS162">
        <f t="shared" si="29"/>
        <v>0</v>
      </c>
    </row>
    <row r="163" spans="1:4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s="20">
        <v>2024</v>
      </c>
      <c r="T163">
        <v>5970</v>
      </c>
      <c r="U163">
        <v>6</v>
      </c>
      <c r="V163" t="s">
        <v>42</v>
      </c>
      <c r="W163" t="s">
        <v>43</v>
      </c>
      <c r="X163" s="19">
        <v>18</v>
      </c>
      <c r="Y163">
        <v>3</v>
      </c>
      <c r="Z163">
        <v>4</v>
      </c>
      <c r="AA163">
        <v>80</v>
      </c>
      <c r="AB163">
        <v>1</v>
      </c>
      <c r="AC163">
        <v>6</v>
      </c>
      <c r="AD163">
        <v>1</v>
      </c>
      <c r="AE163">
        <v>1</v>
      </c>
      <c r="AF163">
        <v>2</v>
      </c>
      <c r="AG163">
        <v>2</v>
      </c>
      <c r="AH163">
        <v>2</v>
      </c>
      <c r="AI163">
        <v>2</v>
      </c>
      <c r="AJ163">
        <f t="shared" si="20"/>
        <v>0</v>
      </c>
      <c r="AK163">
        <f t="shared" si="21"/>
        <v>0</v>
      </c>
      <c r="AL163">
        <f t="shared" si="22"/>
        <v>1</v>
      </c>
      <c r="AM163">
        <f t="shared" si="23"/>
        <v>2.75</v>
      </c>
      <c r="AN163">
        <f t="shared" si="24"/>
        <v>8096</v>
      </c>
      <c r="AO163">
        <f t="shared" si="25"/>
        <v>0.2857142857142857</v>
      </c>
      <c r="AP163" t="str">
        <f t="shared" si="26"/>
        <v>Under 30</v>
      </c>
      <c r="AQ163" t="str">
        <f t="shared" si="27"/>
        <v>Low</v>
      </c>
      <c r="AR163" t="str">
        <f t="shared" si="28"/>
        <v>Medium</v>
      </c>
      <c r="AS163">
        <f t="shared" si="29"/>
        <v>0</v>
      </c>
    </row>
    <row r="164" spans="1:4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s="20">
        <v>2713</v>
      </c>
      <c r="T164">
        <v>6672</v>
      </c>
      <c r="U164">
        <v>1</v>
      </c>
      <c r="V164" t="s">
        <v>42</v>
      </c>
      <c r="W164" t="s">
        <v>43</v>
      </c>
      <c r="X164" s="19">
        <v>11</v>
      </c>
      <c r="Y164">
        <v>3</v>
      </c>
      <c r="Z164">
        <v>3</v>
      </c>
      <c r="AA164">
        <v>80</v>
      </c>
      <c r="AB164">
        <v>1</v>
      </c>
      <c r="AC164">
        <v>5</v>
      </c>
      <c r="AD164">
        <v>2</v>
      </c>
      <c r="AE164">
        <v>1</v>
      </c>
      <c r="AF164">
        <v>5</v>
      </c>
      <c r="AG164">
        <v>2</v>
      </c>
      <c r="AH164">
        <v>0</v>
      </c>
      <c r="AI164">
        <v>2</v>
      </c>
      <c r="AJ164">
        <f t="shared" si="20"/>
        <v>0</v>
      </c>
      <c r="AK164">
        <f t="shared" si="21"/>
        <v>0</v>
      </c>
      <c r="AL164">
        <f t="shared" si="22"/>
        <v>1</v>
      </c>
      <c r="AM164">
        <f t="shared" si="23"/>
        <v>2.75</v>
      </c>
      <c r="AN164">
        <f t="shared" si="24"/>
        <v>5426</v>
      </c>
      <c r="AO164">
        <f t="shared" si="25"/>
        <v>0.83333333333333337</v>
      </c>
      <c r="AP164" t="str">
        <f t="shared" si="26"/>
        <v>Under 30</v>
      </c>
      <c r="AQ164" t="str">
        <f t="shared" si="27"/>
        <v>Low</v>
      </c>
      <c r="AR164" t="str">
        <f t="shared" si="28"/>
        <v>Long</v>
      </c>
      <c r="AS164">
        <f t="shared" si="29"/>
        <v>0</v>
      </c>
    </row>
    <row r="165" spans="1:4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s="20">
        <v>9439</v>
      </c>
      <c r="T165">
        <v>23402</v>
      </c>
      <c r="U165">
        <v>3</v>
      </c>
      <c r="V165" t="s">
        <v>42</v>
      </c>
      <c r="W165" t="s">
        <v>35</v>
      </c>
      <c r="X165" s="19">
        <v>16</v>
      </c>
      <c r="Y165">
        <v>3</v>
      </c>
      <c r="Z165">
        <v>2</v>
      </c>
      <c r="AA165">
        <v>80</v>
      </c>
      <c r="AB165">
        <v>1</v>
      </c>
      <c r="AC165">
        <v>12</v>
      </c>
      <c r="AD165">
        <v>2</v>
      </c>
      <c r="AE165">
        <v>1</v>
      </c>
      <c r="AF165">
        <v>5</v>
      </c>
      <c r="AG165">
        <v>3</v>
      </c>
      <c r="AH165">
        <v>1</v>
      </c>
      <c r="AI165">
        <v>4</v>
      </c>
      <c r="AJ165">
        <f t="shared" si="20"/>
        <v>0</v>
      </c>
      <c r="AK165">
        <f t="shared" si="21"/>
        <v>1</v>
      </c>
      <c r="AL165">
        <f t="shared" si="22"/>
        <v>1</v>
      </c>
      <c r="AM165">
        <f t="shared" si="23"/>
        <v>2.5</v>
      </c>
      <c r="AN165">
        <f t="shared" si="24"/>
        <v>18878</v>
      </c>
      <c r="AO165">
        <f t="shared" si="25"/>
        <v>0.38461538461538464</v>
      </c>
      <c r="AP165" t="str">
        <f t="shared" si="26"/>
        <v>50+</v>
      </c>
      <c r="AQ165" t="str">
        <f t="shared" si="27"/>
        <v>Very High</v>
      </c>
      <c r="AR165" t="str">
        <f t="shared" si="28"/>
        <v>Long</v>
      </c>
      <c r="AS165">
        <f t="shared" si="29"/>
        <v>0</v>
      </c>
    </row>
    <row r="166" spans="1:4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s="20">
        <v>2566</v>
      </c>
      <c r="T166">
        <v>25326</v>
      </c>
      <c r="U166">
        <v>1</v>
      </c>
      <c r="V166" t="s">
        <v>42</v>
      </c>
      <c r="W166" t="s">
        <v>35</v>
      </c>
      <c r="X166" s="19">
        <v>15</v>
      </c>
      <c r="Y166">
        <v>3</v>
      </c>
      <c r="Z166">
        <v>4</v>
      </c>
      <c r="AA166">
        <v>80</v>
      </c>
      <c r="AB166">
        <v>1</v>
      </c>
      <c r="AC166">
        <v>1</v>
      </c>
      <c r="AD166">
        <v>2</v>
      </c>
      <c r="AE166">
        <v>2</v>
      </c>
      <c r="AF166">
        <v>1</v>
      </c>
      <c r="AG166">
        <v>1</v>
      </c>
      <c r="AH166">
        <v>0</v>
      </c>
      <c r="AI166">
        <v>1</v>
      </c>
      <c r="AJ166">
        <f t="shared" si="20"/>
        <v>0</v>
      </c>
      <c r="AK166">
        <f t="shared" si="21"/>
        <v>1</v>
      </c>
      <c r="AL166">
        <f t="shared" si="22"/>
        <v>1</v>
      </c>
      <c r="AM166">
        <f t="shared" si="23"/>
        <v>3</v>
      </c>
      <c r="AN166">
        <f t="shared" si="24"/>
        <v>15396</v>
      </c>
      <c r="AO166">
        <f t="shared" si="25"/>
        <v>0.5</v>
      </c>
      <c r="AP166" t="str">
        <f t="shared" si="26"/>
        <v>Under 30</v>
      </c>
      <c r="AQ166" t="str">
        <f t="shared" si="27"/>
        <v>Low</v>
      </c>
      <c r="AR166" t="str">
        <f t="shared" si="28"/>
        <v>Short</v>
      </c>
      <c r="AS166">
        <f t="shared" si="29"/>
        <v>0</v>
      </c>
    </row>
    <row r="167" spans="1:4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s="20">
        <v>19926</v>
      </c>
      <c r="T167">
        <v>17053</v>
      </c>
      <c r="U167">
        <v>3</v>
      </c>
      <c r="V167" t="s">
        <v>42</v>
      </c>
      <c r="W167" t="s">
        <v>43</v>
      </c>
      <c r="X167" s="19">
        <v>15</v>
      </c>
      <c r="Y167">
        <v>3</v>
      </c>
      <c r="Z167">
        <v>2</v>
      </c>
      <c r="AA167">
        <v>80</v>
      </c>
      <c r="AB167">
        <v>0</v>
      </c>
      <c r="AC167">
        <v>21</v>
      </c>
      <c r="AD167">
        <v>5</v>
      </c>
      <c r="AE167">
        <v>3</v>
      </c>
      <c r="AF167">
        <v>5</v>
      </c>
      <c r="AG167">
        <v>4</v>
      </c>
      <c r="AH167">
        <v>4</v>
      </c>
      <c r="AI167">
        <v>4</v>
      </c>
      <c r="AJ167">
        <f t="shared" si="20"/>
        <v>0</v>
      </c>
      <c r="AK167">
        <f t="shared" si="21"/>
        <v>0</v>
      </c>
      <c r="AL167">
        <f t="shared" si="22"/>
        <v>0</v>
      </c>
      <c r="AM167">
        <f t="shared" si="23"/>
        <v>2.5</v>
      </c>
      <c r="AN167">
        <f t="shared" si="24"/>
        <v>39852</v>
      </c>
      <c r="AO167">
        <f t="shared" si="25"/>
        <v>0.22727272727272727</v>
      </c>
      <c r="AP167" t="str">
        <f t="shared" si="26"/>
        <v>50+</v>
      </c>
      <c r="AQ167" t="str">
        <f t="shared" si="27"/>
        <v>Very High</v>
      </c>
      <c r="AR167" t="str">
        <f t="shared" si="28"/>
        <v>Medium</v>
      </c>
      <c r="AS167">
        <f t="shared" si="29"/>
        <v>0</v>
      </c>
    </row>
    <row r="168" spans="1:4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s="20">
        <v>2451</v>
      </c>
      <c r="T168">
        <v>4609</v>
      </c>
      <c r="U168">
        <v>4</v>
      </c>
      <c r="V168" t="s">
        <v>42</v>
      </c>
      <c r="W168" t="s">
        <v>43</v>
      </c>
      <c r="X168" s="19">
        <v>12</v>
      </c>
      <c r="Y168">
        <v>3</v>
      </c>
      <c r="Z168">
        <v>1</v>
      </c>
      <c r="AA168">
        <v>80</v>
      </c>
      <c r="AB168">
        <v>1</v>
      </c>
      <c r="AC168">
        <v>13</v>
      </c>
      <c r="AD168">
        <v>2</v>
      </c>
      <c r="AE168">
        <v>3</v>
      </c>
      <c r="AF168">
        <v>9</v>
      </c>
      <c r="AG168">
        <v>8</v>
      </c>
      <c r="AH168">
        <v>1</v>
      </c>
      <c r="AI168">
        <v>8</v>
      </c>
      <c r="AJ168">
        <f t="shared" si="20"/>
        <v>0</v>
      </c>
      <c r="AK168">
        <f t="shared" si="21"/>
        <v>0</v>
      </c>
      <c r="AL168">
        <f t="shared" si="22"/>
        <v>1</v>
      </c>
      <c r="AM168">
        <f t="shared" si="23"/>
        <v>2</v>
      </c>
      <c r="AN168">
        <f t="shared" si="24"/>
        <v>2941.2</v>
      </c>
      <c r="AO168">
        <f t="shared" si="25"/>
        <v>0.6428571428571429</v>
      </c>
      <c r="AP168" t="str">
        <f t="shared" si="26"/>
        <v>40-49</v>
      </c>
      <c r="AQ168" t="str">
        <f t="shared" si="27"/>
        <v>Low</v>
      </c>
      <c r="AR168" t="str">
        <f t="shared" si="28"/>
        <v>Medium</v>
      </c>
      <c r="AS168">
        <f t="shared" si="29"/>
        <v>0</v>
      </c>
    </row>
    <row r="169" spans="1:4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s="20">
        <v>9419</v>
      </c>
      <c r="T169">
        <v>8053</v>
      </c>
      <c r="U169">
        <v>2</v>
      </c>
      <c r="V169" t="s">
        <v>42</v>
      </c>
      <c r="W169" t="s">
        <v>43</v>
      </c>
      <c r="X169" s="19">
        <v>12</v>
      </c>
      <c r="Y169">
        <v>3</v>
      </c>
      <c r="Z169">
        <v>3</v>
      </c>
      <c r="AA169">
        <v>80</v>
      </c>
      <c r="AB169">
        <v>1</v>
      </c>
      <c r="AC169">
        <v>12</v>
      </c>
      <c r="AD169">
        <v>2</v>
      </c>
      <c r="AE169">
        <v>3</v>
      </c>
      <c r="AF169">
        <v>10</v>
      </c>
      <c r="AG169">
        <v>9</v>
      </c>
      <c r="AH169">
        <v>7</v>
      </c>
      <c r="AI169">
        <v>4</v>
      </c>
      <c r="AJ169">
        <f t="shared" si="20"/>
        <v>0</v>
      </c>
      <c r="AK169">
        <f t="shared" si="21"/>
        <v>0</v>
      </c>
      <c r="AL169">
        <f t="shared" si="22"/>
        <v>0</v>
      </c>
      <c r="AM169">
        <f t="shared" si="23"/>
        <v>3</v>
      </c>
      <c r="AN169">
        <f t="shared" si="24"/>
        <v>10275.272727272728</v>
      </c>
      <c r="AO169">
        <f t="shared" si="25"/>
        <v>0.76923076923076927</v>
      </c>
      <c r="AP169" t="str">
        <f t="shared" si="26"/>
        <v>30-39</v>
      </c>
      <c r="AQ169" t="str">
        <f t="shared" si="27"/>
        <v>Very High</v>
      </c>
      <c r="AR169" t="str">
        <f t="shared" si="28"/>
        <v>Short</v>
      </c>
      <c r="AS169">
        <f t="shared" si="29"/>
        <v>0</v>
      </c>
    </row>
    <row r="170" spans="1:4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s="20">
        <v>8686</v>
      </c>
      <c r="T170">
        <v>12930</v>
      </c>
      <c r="U170">
        <v>4</v>
      </c>
      <c r="V170" t="s">
        <v>42</v>
      </c>
      <c r="W170" t="s">
        <v>43</v>
      </c>
      <c r="X170" s="19">
        <v>22</v>
      </c>
      <c r="Y170">
        <v>4</v>
      </c>
      <c r="Z170">
        <v>3</v>
      </c>
      <c r="AA170">
        <v>80</v>
      </c>
      <c r="AB170">
        <v>0</v>
      </c>
      <c r="AC170">
        <v>12</v>
      </c>
      <c r="AD170">
        <v>2</v>
      </c>
      <c r="AE170">
        <v>4</v>
      </c>
      <c r="AF170">
        <v>8</v>
      </c>
      <c r="AG170">
        <v>3</v>
      </c>
      <c r="AH170">
        <v>0</v>
      </c>
      <c r="AI170">
        <v>7</v>
      </c>
      <c r="AJ170">
        <f t="shared" si="20"/>
        <v>0</v>
      </c>
      <c r="AK170">
        <f t="shared" si="21"/>
        <v>0</v>
      </c>
      <c r="AL170">
        <f t="shared" si="22"/>
        <v>0</v>
      </c>
      <c r="AM170">
        <f t="shared" si="23"/>
        <v>3</v>
      </c>
      <c r="AN170">
        <f t="shared" si="24"/>
        <v>11581.333333333334</v>
      </c>
      <c r="AO170">
        <f t="shared" si="25"/>
        <v>0.61538461538461542</v>
      </c>
      <c r="AP170" t="str">
        <f t="shared" si="26"/>
        <v>30-39</v>
      </c>
      <c r="AQ170" t="str">
        <f t="shared" si="27"/>
        <v>Very High</v>
      </c>
      <c r="AR170" t="str">
        <f t="shared" si="28"/>
        <v>Short</v>
      </c>
      <c r="AS170">
        <f t="shared" si="29"/>
        <v>0</v>
      </c>
    </row>
    <row r="171" spans="1:4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s="20">
        <v>3038</v>
      </c>
      <c r="T171">
        <v>12430</v>
      </c>
      <c r="U171">
        <v>3</v>
      </c>
      <c r="V171" t="s">
        <v>42</v>
      </c>
      <c r="W171" t="s">
        <v>43</v>
      </c>
      <c r="X171" s="19">
        <v>20</v>
      </c>
      <c r="Y171">
        <v>4</v>
      </c>
      <c r="Z171">
        <v>1</v>
      </c>
      <c r="AA171">
        <v>80</v>
      </c>
      <c r="AB171">
        <v>0</v>
      </c>
      <c r="AC171">
        <v>8</v>
      </c>
      <c r="AD171">
        <v>2</v>
      </c>
      <c r="AE171">
        <v>3</v>
      </c>
      <c r="AF171">
        <v>5</v>
      </c>
      <c r="AG171">
        <v>4</v>
      </c>
      <c r="AH171">
        <v>1</v>
      </c>
      <c r="AI171">
        <v>4</v>
      </c>
      <c r="AJ171">
        <f t="shared" si="20"/>
        <v>0</v>
      </c>
      <c r="AK171">
        <f t="shared" si="21"/>
        <v>0</v>
      </c>
      <c r="AL171">
        <f t="shared" si="22"/>
        <v>1</v>
      </c>
      <c r="AM171">
        <f t="shared" si="23"/>
        <v>2.5</v>
      </c>
      <c r="AN171">
        <f t="shared" si="24"/>
        <v>6076</v>
      </c>
      <c r="AO171">
        <f t="shared" si="25"/>
        <v>0.55555555555555558</v>
      </c>
      <c r="AP171" t="str">
        <f t="shared" si="26"/>
        <v>30-39</v>
      </c>
      <c r="AQ171" t="str">
        <f t="shared" si="27"/>
        <v>Medium</v>
      </c>
      <c r="AR171" t="str">
        <f t="shared" si="28"/>
        <v>Medium</v>
      </c>
      <c r="AS171">
        <f t="shared" si="29"/>
        <v>0</v>
      </c>
    </row>
    <row r="172" spans="1:4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s="20">
        <v>3058</v>
      </c>
      <c r="T172">
        <v>13364</v>
      </c>
      <c r="U172">
        <v>0</v>
      </c>
      <c r="V172" t="s">
        <v>42</v>
      </c>
      <c r="W172" t="s">
        <v>35</v>
      </c>
      <c r="X172" s="19">
        <v>16</v>
      </c>
      <c r="Y172">
        <v>3</v>
      </c>
      <c r="Z172">
        <v>4</v>
      </c>
      <c r="AA172">
        <v>80</v>
      </c>
      <c r="AB172">
        <v>1</v>
      </c>
      <c r="AC172">
        <v>6</v>
      </c>
      <c r="AD172">
        <v>3</v>
      </c>
      <c r="AE172">
        <v>2</v>
      </c>
      <c r="AF172">
        <v>5</v>
      </c>
      <c r="AG172">
        <v>2</v>
      </c>
      <c r="AH172">
        <v>1</v>
      </c>
      <c r="AI172">
        <v>1</v>
      </c>
      <c r="AJ172">
        <f t="shared" si="20"/>
        <v>0</v>
      </c>
      <c r="AK172">
        <f t="shared" si="21"/>
        <v>1</v>
      </c>
      <c r="AL172">
        <f t="shared" si="22"/>
        <v>1</v>
      </c>
      <c r="AM172">
        <f t="shared" si="23"/>
        <v>2.75</v>
      </c>
      <c r="AN172">
        <f t="shared" si="24"/>
        <v>6116</v>
      </c>
      <c r="AO172">
        <f t="shared" si="25"/>
        <v>0.7142857142857143</v>
      </c>
      <c r="AP172" t="str">
        <f t="shared" si="26"/>
        <v>Under 30</v>
      </c>
      <c r="AQ172" t="str">
        <f t="shared" si="27"/>
        <v>Medium</v>
      </c>
      <c r="AR172" t="str">
        <f t="shared" si="28"/>
        <v>Long</v>
      </c>
      <c r="AS172">
        <f t="shared" si="29"/>
        <v>0</v>
      </c>
    </row>
    <row r="173" spans="1:4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s="20">
        <v>2325</v>
      </c>
      <c r="T173">
        <v>20989</v>
      </c>
      <c r="U173">
        <v>0</v>
      </c>
      <c r="V173" t="s">
        <v>42</v>
      </c>
      <c r="W173" t="s">
        <v>43</v>
      </c>
      <c r="X173" s="19">
        <v>21</v>
      </c>
      <c r="Y173">
        <v>4</v>
      </c>
      <c r="Z173">
        <v>1</v>
      </c>
      <c r="AA173">
        <v>80</v>
      </c>
      <c r="AB173">
        <v>0</v>
      </c>
      <c r="AC173">
        <v>1</v>
      </c>
      <c r="AD173">
        <v>5</v>
      </c>
      <c r="AE173">
        <v>4</v>
      </c>
      <c r="AF173">
        <v>0</v>
      </c>
      <c r="AG173">
        <v>0</v>
      </c>
      <c r="AH173">
        <v>0</v>
      </c>
      <c r="AI173">
        <v>0</v>
      </c>
      <c r="AJ173">
        <f t="shared" si="20"/>
        <v>1</v>
      </c>
      <c r="AK173">
        <f t="shared" si="21"/>
        <v>0</v>
      </c>
      <c r="AL173">
        <f t="shared" si="22"/>
        <v>0</v>
      </c>
      <c r="AM173">
        <f t="shared" si="23"/>
        <v>2.25</v>
      </c>
      <c r="AN173">
        <f t="shared" si="24"/>
        <v>27900</v>
      </c>
      <c r="AO173">
        <f t="shared" si="25"/>
        <v>0</v>
      </c>
      <c r="AP173" t="str">
        <f t="shared" si="26"/>
        <v>Under 30</v>
      </c>
      <c r="AQ173" t="str">
        <f t="shared" si="27"/>
        <v>Low</v>
      </c>
      <c r="AR173" t="str">
        <f t="shared" si="28"/>
        <v>Short</v>
      </c>
      <c r="AS173">
        <f t="shared" si="29"/>
        <v>1</v>
      </c>
    </row>
    <row r="174" spans="1:4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s="20">
        <v>2088</v>
      </c>
      <c r="T174">
        <v>15062</v>
      </c>
      <c r="U174">
        <v>4</v>
      </c>
      <c r="V174" t="s">
        <v>42</v>
      </c>
      <c r="W174" t="s">
        <v>43</v>
      </c>
      <c r="X174" s="19">
        <v>12</v>
      </c>
      <c r="Y174">
        <v>3</v>
      </c>
      <c r="Z174">
        <v>3</v>
      </c>
      <c r="AA174">
        <v>80</v>
      </c>
      <c r="AB174">
        <v>0</v>
      </c>
      <c r="AC174">
        <v>13</v>
      </c>
      <c r="AD174">
        <v>3</v>
      </c>
      <c r="AE174">
        <v>2</v>
      </c>
      <c r="AF174">
        <v>8</v>
      </c>
      <c r="AG174">
        <v>7</v>
      </c>
      <c r="AH174">
        <v>7</v>
      </c>
      <c r="AI174">
        <v>2</v>
      </c>
      <c r="AJ174">
        <f t="shared" si="20"/>
        <v>0</v>
      </c>
      <c r="AK174">
        <f t="shared" si="21"/>
        <v>0</v>
      </c>
      <c r="AL174">
        <f t="shared" si="22"/>
        <v>1</v>
      </c>
      <c r="AM174">
        <f t="shared" si="23"/>
        <v>2.75</v>
      </c>
      <c r="AN174">
        <f t="shared" si="24"/>
        <v>2784</v>
      </c>
      <c r="AO174">
        <f t="shared" si="25"/>
        <v>0.5714285714285714</v>
      </c>
      <c r="AP174" t="str">
        <f t="shared" si="26"/>
        <v>30-39</v>
      </c>
      <c r="AQ174" t="str">
        <f t="shared" si="27"/>
        <v>Low</v>
      </c>
      <c r="AR174" t="str">
        <f t="shared" si="28"/>
        <v>Short</v>
      </c>
      <c r="AS174">
        <f t="shared" si="29"/>
        <v>1</v>
      </c>
    </row>
    <row r="175" spans="1:4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s="20">
        <v>3072</v>
      </c>
      <c r="T175">
        <v>11012</v>
      </c>
      <c r="U175">
        <v>1</v>
      </c>
      <c r="V175" t="s">
        <v>42</v>
      </c>
      <c r="W175" t="s">
        <v>43</v>
      </c>
      <c r="X175" s="19">
        <v>11</v>
      </c>
      <c r="Y175">
        <v>3</v>
      </c>
      <c r="Z175">
        <v>3</v>
      </c>
      <c r="AA175">
        <v>80</v>
      </c>
      <c r="AB175">
        <v>2</v>
      </c>
      <c r="AC175">
        <v>12</v>
      </c>
      <c r="AD175">
        <v>4</v>
      </c>
      <c r="AE175">
        <v>3</v>
      </c>
      <c r="AF175">
        <v>12</v>
      </c>
      <c r="AG175">
        <v>9</v>
      </c>
      <c r="AH175">
        <v>6</v>
      </c>
      <c r="AI175">
        <v>10</v>
      </c>
      <c r="AJ175">
        <f t="shared" si="20"/>
        <v>0</v>
      </c>
      <c r="AK175">
        <f t="shared" si="21"/>
        <v>0</v>
      </c>
      <c r="AL175">
        <f t="shared" si="22"/>
        <v>1</v>
      </c>
      <c r="AM175">
        <f t="shared" si="23"/>
        <v>2.5</v>
      </c>
      <c r="AN175">
        <f t="shared" si="24"/>
        <v>2835.6923076923076</v>
      </c>
      <c r="AO175">
        <f t="shared" si="25"/>
        <v>0.92307692307692313</v>
      </c>
      <c r="AP175" t="str">
        <f t="shared" si="26"/>
        <v>30-39</v>
      </c>
      <c r="AQ175" t="str">
        <f t="shared" si="27"/>
        <v>Medium</v>
      </c>
      <c r="AR175" t="str">
        <f t="shared" si="28"/>
        <v>Medium</v>
      </c>
      <c r="AS175">
        <f t="shared" si="29"/>
        <v>0</v>
      </c>
    </row>
    <row r="176" spans="1:4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s="20">
        <v>5006</v>
      </c>
      <c r="T176">
        <v>6319</v>
      </c>
      <c r="U176">
        <v>4</v>
      </c>
      <c r="V176" t="s">
        <v>42</v>
      </c>
      <c r="W176" t="s">
        <v>35</v>
      </c>
      <c r="X176" s="19">
        <v>11</v>
      </c>
      <c r="Y176">
        <v>3</v>
      </c>
      <c r="Z176">
        <v>1</v>
      </c>
      <c r="AA176">
        <v>80</v>
      </c>
      <c r="AB176">
        <v>1</v>
      </c>
      <c r="AC176">
        <v>9</v>
      </c>
      <c r="AD176">
        <v>3</v>
      </c>
      <c r="AE176">
        <v>4</v>
      </c>
      <c r="AF176">
        <v>5</v>
      </c>
      <c r="AG176">
        <v>4</v>
      </c>
      <c r="AH176">
        <v>0</v>
      </c>
      <c r="AI176">
        <v>3</v>
      </c>
      <c r="AJ176">
        <f t="shared" si="20"/>
        <v>0</v>
      </c>
      <c r="AK176">
        <f t="shared" si="21"/>
        <v>1</v>
      </c>
      <c r="AL176">
        <f t="shared" si="22"/>
        <v>0</v>
      </c>
      <c r="AM176">
        <f t="shared" si="23"/>
        <v>2.25</v>
      </c>
      <c r="AN176">
        <f t="shared" si="24"/>
        <v>10012</v>
      </c>
      <c r="AO176">
        <f t="shared" si="25"/>
        <v>0.5</v>
      </c>
      <c r="AP176" t="str">
        <f t="shared" si="26"/>
        <v>40-49</v>
      </c>
      <c r="AQ176" t="str">
        <f t="shared" si="27"/>
        <v>High</v>
      </c>
      <c r="AR176" t="str">
        <f t="shared" si="28"/>
        <v>Short</v>
      </c>
      <c r="AS176">
        <f t="shared" si="29"/>
        <v>0</v>
      </c>
    </row>
    <row r="177" spans="1:4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s="20">
        <v>4257</v>
      </c>
      <c r="T177">
        <v>13939</v>
      </c>
      <c r="U177">
        <v>4</v>
      </c>
      <c r="V177" t="s">
        <v>42</v>
      </c>
      <c r="W177" t="s">
        <v>35</v>
      </c>
      <c r="X177" s="19">
        <v>18</v>
      </c>
      <c r="Y177">
        <v>3</v>
      </c>
      <c r="Z177">
        <v>3</v>
      </c>
      <c r="AA177">
        <v>80</v>
      </c>
      <c r="AB177">
        <v>1</v>
      </c>
      <c r="AC177">
        <v>19</v>
      </c>
      <c r="AD177">
        <v>3</v>
      </c>
      <c r="AE177">
        <v>3</v>
      </c>
      <c r="AF177">
        <v>2</v>
      </c>
      <c r="AG177">
        <v>2</v>
      </c>
      <c r="AH177">
        <v>2</v>
      </c>
      <c r="AI177">
        <v>2</v>
      </c>
      <c r="AJ177">
        <f t="shared" si="20"/>
        <v>0</v>
      </c>
      <c r="AK177">
        <f t="shared" si="21"/>
        <v>1</v>
      </c>
      <c r="AL177">
        <f t="shared" si="22"/>
        <v>0</v>
      </c>
      <c r="AM177">
        <f t="shared" si="23"/>
        <v>2.5</v>
      </c>
      <c r="AN177">
        <f t="shared" si="24"/>
        <v>17028</v>
      </c>
      <c r="AO177">
        <f t="shared" si="25"/>
        <v>0.1</v>
      </c>
      <c r="AP177" t="str">
        <f t="shared" si="26"/>
        <v>50+</v>
      </c>
      <c r="AQ177" t="str">
        <f t="shared" si="27"/>
        <v>Medium</v>
      </c>
      <c r="AR177" t="str">
        <f t="shared" si="28"/>
        <v>Medium</v>
      </c>
      <c r="AS177">
        <f t="shared" si="29"/>
        <v>0</v>
      </c>
    </row>
    <row r="178" spans="1:4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s="20">
        <v>2500</v>
      </c>
      <c r="T178">
        <v>10515</v>
      </c>
      <c r="U178">
        <v>0</v>
      </c>
      <c r="V178" t="s">
        <v>42</v>
      </c>
      <c r="W178" t="s">
        <v>43</v>
      </c>
      <c r="X178" s="19">
        <v>14</v>
      </c>
      <c r="Y178">
        <v>3</v>
      </c>
      <c r="Z178">
        <v>1</v>
      </c>
      <c r="AA178">
        <v>80</v>
      </c>
      <c r="AB178">
        <v>0</v>
      </c>
      <c r="AC178">
        <v>4</v>
      </c>
      <c r="AD178">
        <v>2</v>
      </c>
      <c r="AE178">
        <v>4</v>
      </c>
      <c r="AF178">
        <v>3</v>
      </c>
      <c r="AG178">
        <v>1</v>
      </c>
      <c r="AH178">
        <v>0</v>
      </c>
      <c r="AI178">
        <v>2</v>
      </c>
      <c r="AJ178">
        <f t="shared" si="20"/>
        <v>0</v>
      </c>
      <c r="AK178">
        <f t="shared" si="21"/>
        <v>0</v>
      </c>
      <c r="AL178">
        <f t="shared" si="22"/>
        <v>1</v>
      </c>
      <c r="AM178">
        <f t="shared" si="23"/>
        <v>3</v>
      </c>
      <c r="AN178">
        <f t="shared" si="24"/>
        <v>7500</v>
      </c>
      <c r="AO178">
        <f t="shared" si="25"/>
        <v>0.6</v>
      </c>
      <c r="AP178" t="str">
        <f t="shared" si="26"/>
        <v>30-39</v>
      </c>
      <c r="AQ178" t="str">
        <f t="shared" si="27"/>
        <v>Low</v>
      </c>
      <c r="AR178" t="str">
        <f t="shared" si="28"/>
        <v>Short</v>
      </c>
      <c r="AS178">
        <f t="shared" si="29"/>
        <v>0</v>
      </c>
    </row>
    <row r="179" spans="1:4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s="20">
        <v>1102</v>
      </c>
      <c r="T179">
        <v>9241</v>
      </c>
      <c r="U179">
        <v>1</v>
      </c>
      <c r="V179" t="s">
        <v>42</v>
      </c>
      <c r="W179" t="s">
        <v>43</v>
      </c>
      <c r="X179" s="19">
        <v>22</v>
      </c>
      <c r="Y179">
        <v>4</v>
      </c>
      <c r="Z179">
        <v>3</v>
      </c>
      <c r="AA179">
        <v>80</v>
      </c>
      <c r="AB179">
        <v>0</v>
      </c>
      <c r="AC179">
        <v>1</v>
      </c>
      <c r="AD179">
        <v>3</v>
      </c>
      <c r="AE179">
        <v>2</v>
      </c>
      <c r="AF179">
        <v>1</v>
      </c>
      <c r="AG179">
        <v>0</v>
      </c>
      <c r="AH179">
        <v>1</v>
      </c>
      <c r="AI179">
        <v>0</v>
      </c>
      <c r="AJ179">
        <f t="shared" si="20"/>
        <v>1</v>
      </c>
      <c r="AK179">
        <f t="shared" si="21"/>
        <v>0</v>
      </c>
      <c r="AL179">
        <f t="shared" si="22"/>
        <v>1</v>
      </c>
      <c r="AM179">
        <f t="shared" si="23"/>
        <v>2.75</v>
      </c>
      <c r="AN179">
        <f t="shared" si="24"/>
        <v>6612</v>
      </c>
      <c r="AO179">
        <f t="shared" si="25"/>
        <v>0.5</v>
      </c>
      <c r="AP179" t="str">
        <f t="shared" si="26"/>
        <v>Under 30</v>
      </c>
      <c r="AQ179" t="str">
        <f t="shared" si="27"/>
        <v>Low</v>
      </c>
      <c r="AR179" t="str">
        <f t="shared" si="28"/>
        <v>Short</v>
      </c>
      <c r="AS179">
        <f t="shared" si="29"/>
        <v>0</v>
      </c>
    </row>
    <row r="180" spans="1:4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s="20">
        <v>10453</v>
      </c>
      <c r="T180">
        <v>2137</v>
      </c>
      <c r="U180">
        <v>1</v>
      </c>
      <c r="V180" t="s">
        <v>42</v>
      </c>
      <c r="W180" t="s">
        <v>43</v>
      </c>
      <c r="X180" s="19">
        <v>25</v>
      </c>
      <c r="Y180">
        <v>4</v>
      </c>
      <c r="Z180">
        <v>3</v>
      </c>
      <c r="AA180">
        <v>80</v>
      </c>
      <c r="AB180">
        <v>3</v>
      </c>
      <c r="AC180">
        <v>24</v>
      </c>
      <c r="AD180">
        <v>2</v>
      </c>
      <c r="AE180">
        <v>3</v>
      </c>
      <c r="AF180">
        <v>24</v>
      </c>
      <c r="AG180">
        <v>13</v>
      </c>
      <c r="AH180">
        <v>15</v>
      </c>
      <c r="AI180">
        <v>7</v>
      </c>
      <c r="AJ180">
        <f t="shared" si="20"/>
        <v>0</v>
      </c>
      <c r="AK180">
        <f t="shared" si="21"/>
        <v>0</v>
      </c>
      <c r="AL180">
        <f t="shared" si="22"/>
        <v>0</v>
      </c>
      <c r="AM180">
        <f t="shared" si="23"/>
        <v>2.25</v>
      </c>
      <c r="AN180">
        <f t="shared" si="24"/>
        <v>5017.4399999999996</v>
      </c>
      <c r="AO180">
        <f t="shared" si="25"/>
        <v>0.96</v>
      </c>
      <c r="AP180" t="str">
        <f t="shared" si="26"/>
        <v>40-49</v>
      </c>
      <c r="AQ180" t="str">
        <f t="shared" si="27"/>
        <v>Very High</v>
      </c>
      <c r="AR180" t="str">
        <f t="shared" si="28"/>
        <v>Short</v>
      </c>
      <c r="AS180">
        <f t="shared" si="29"/>
        <v>0</v>
      </c>
    </row>
    <row r="181" spans="1:4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s="20">
        <v>2288</v>
      </c>
      <c r="T181">
        <v>6319</v>
      </c>
      <c r="U181">
        <v>1</v>
      </c>
      <c r="V181" t="s">
        <v>42</v>
      </c>
      <c r="W181" t="s">
        <v>43</v>
      </c>
      <c r="X181" s="19">
        <v>12</v>
      </c>
      <c r="Y181">
        <v>3</v>
      </c>
      <c r="Z181">
        <v>3</v>
      </c>
      <c r="AA181">
        <v>80</v>
      </c>
      <c r="AB181">
        <v>0</v>
      </c>
      <c r="AC181">
        <v>2</v>
      </c>
      <c r="AD181">
        <v>3</v>
      </c>
      <c r="AE181">
        <v>3</v>
      </c>
      <c r="AF181">
        <v>2</v>
      </c>
      <c r="AG181">
        <v>2</v>
      </c>
      <c r="AH181">
        <v>2</v>
      </c>
      <c r="AI181">
        <v>1</v>
      </c>
      <c r="AJ181">
        <f t="shared" si="20"/>
        <v>0</v>
      </c>
      <c r="AK181">
        <f t="shared" si="21"/>
        <v>0</v>
      </c>
      <c r="AL181">
        <f t="shared" si="22"/>
        <v>0</v>
      </c>
      <c r="AM181">
        <f t="shared" si="23"/>
        <v>3.25</v>
      </c>
      <c r="AN181">
        <f t="shared" si="24"/>
        <v>9152</v>
      </c>
      <c r="AO181">
        <f t="shared" si="25"/>
        <v>0.66666666666666663</v>
      </c>
      <c r="AP181" t="str">
        <f t="shared" si="26"/>
        <v>30-39</v>
      </c>
      <c r="AQ181" t="str">
        <f t="shared" si="27"/>
        <v>Low</v>
      </c>
      <c r="AR181" t="str">
        <f t="shared" si="28"/>
        <v>Medium</v>
      </c>
      <c r="AS181">
        <f t="shared" si="29"/>
        <v>0</v>
      </c>
    </row>
    <row r="182" spans="1:4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s="20">
        <v>3929</v>
      </c>
      <c r="T182">
        <v>6984</v>
      </c>
      <c r="U182">
        <v>8</v>
      </c>
      <c r="V182" t="s">
        <v>42</v>
      </c>
      <c r="W182" t="s">
        <v>35</v>
      </c>
      <c r="X182" s="19">
        <v>23</v>
      </c>
      <c r="Y182">
        <v>4</v>
      </c>
      <c r="Z182">
        <v>3</v>
      </c>
      <c r="AA182">
        <v>80</v>
      </c>
      <c r="AB182">
        <v>1</v>
      </c>
      <c r="AC182">
        <v>7</v>
      </c>
      <c r="AD182">
        <v>0</v>
      </c>
      <c r="AE182">
        <v>3</v>
      </c>
      <c r="AF182">
        <v>4</v>
      </c>
      <c r="AG182">
        <v>2</v>
      </c>
      <c r="AH182">
        <v>0</v>
      </c>
      <c r="AI182">
        <v>2</v>
      </c>
      <c r="AJ182">
        <f t="shared" si="20"/>
        <v>0</v>
      </c>
      <c r="AK182">
        <f t="shared" si="21"/>
        <v>1</v>
      </c>
      <c r="AL182">
        <f t="shared" si="22"/>
        <v>0</v>
      </c>
      <c r="AM182">
        <f t="shared" si="23"/>
        <v>3.25</v>
      </c>
      <c r="AN182">
        <f t="shared" si="24"/>
        <v>9429.6</v>
      </c>
      <c r="AO182">
        <f t="shared" si="25"/>
        <v>0.5</v>
      </c>
      <c r="AP182" t="str">
        <f t="shared" si="26"/>
        <v>30-39</v>
      </c>
      <c r="AQ182" t="str">
        <f t="shared" si="27"/>
        <v>Medium</v>
      </c>
      <c r="AR182" t="str">
        <f t="shared" si="28"/>
        <v>Medium</v>
      </c>
      <c r="AS182">
        <f t="shared" si="29"/>
        <v>0</v>
      </c>
    </row>
    <row r="183" spans="1:4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s="20">
        <v>2311</v>
      </c>
      <c r="T183">
        <v>5711</v>
      </c>
      <c r="U183">
        <v>2</v>
      </c>
      <c r="V183" t="s">
        <v>42</v>
      </c>
      <c r="W183" t="s">
        <v>43</v>
      </c>
      <c r="X183" s="19">
        <v>15</v>
      </c>
      <c r="Y183">
        <v>3</v>
      </c>
      <c r="Z183">
        <v>4</v>
      </c>
      <c r="AA183">
        <v>80</v>
      </c>
      <c r="AB183">
        <v>0</v>
      </c>
      <c r="AC183">
        <v>9</v>
      </c>
      <c r="AD183">
        <v>3</v>
      </c>
      <c r="AE183">
        <v>3</v>
      </c>
      <c r="AF183">
        <v>3</v>
      </c>
      <c r="AG183">
        <v>2</v>
      </c>
      <c r="AH183">
        <v>1</v>
      </c>
      <c r="AI183">
        <v>2</v>
      </c>
      <c r="AJ183">
        <f t="shared" si="20"/>
        <v>0</v>
      </c>
      <c r="AK183">
        <f t="shared" si="21"/>
        <v>0</v>
      </c>
      <c r="AL183">
        <f t="shared" si="22"/>
        <v>0</v>
      </c>
      <c r="AM183">
        <f t="shared" si="23"/>
        <v>3.25</v>
      </c>
      <c r="AN183">
        <f t="shared" si="24"/>
        <v>6933</v>
      </c>
      <c r="AO183">
        <f t="shared" si="25"/>
        <v>0.3</v>
      </c>
      <c r="AP183" t="str">
        <f t="shared" si="26"/>
        <v>30-39</v>
      </c>
      <c r="AQ183" t="str">
        <f t="shared" si="27"/>
        <v>Low</v>
      </c>
      <c r="AR183" t="str">
        <f t="shared" si="28"/>
        <v>Long</v>
      </c>
      <c r="AS183">
        <f t="shared" si="29"/>
        <v>0</v>
      </c>
    </row>
    <row r="184" spans="1:4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s="20">
        <v>3140</v>
      </c>
      <c r="T184">
        <v>21728</v>
      </c>
      <c r="U184">
        <v>1</v>
      </c>
      <c r="V184" t="s">
        <v>42</v>
      </c>
      <c r="W184" t="s">
        <v>35</v>
      </c>
      <c r="X184" s="19">
        <v>22</v>
      </c>
      <c r="Y184">
        <v>4</v>
      </c>
      <c r="Z184">
        <v>4</v>
      </c>
      <c r="AA184">
        <v>80</v>
      </c>
      <c r="AB184">
        <v>0</v>
      </c>
      <c r="AC184">
        <v>4</v>
      </c>
      <c r="AD184">
        <v>5</v>
      </c>
      <c r="AE184">
        <v>2</v>
      </c>
      <c r="AF184">
        <v>4</v>
      </c>
      <c r="AG184">
        <v>3</v>
      </c>
      <c r="AH184">
        <v>0</v>
      </c>
      <c r="AI184">
        <v>2</v>
      </c>
      <c r="AJ184">
        <f t="shared" si="20"/>
        <v>1</v>
      </c>
      <c r="AK184">
        <f t="shared" si="21"/>
        <v>1</v>
      </c>
      <c r="AL184">
        <f t="shared" si="22"/>
        <v>0</v>
      </c>
      <c r="AM184">
        <f t="shared" si="23"/>
        <v>2.5</v>
      </c>
      <c r="AN184">
        <f t="shared" si="24"/>
        <v>7536</v>
      </c>
      <c r="AO184">
        <f t="shared" si="25"/>
        <v>0.8</v>
      </c>
      <c r="AP184" t="str">
        <f t="shared" si="26"/>
        <v>40-49</v>
      </c>
      <c r="AQ184" t="str">
        <f t="shared" si="27"/>
        <v>Medium</v>
      </c>
      <c r="AR184" t="str">
        <f t="shared" si="28"/>
        <v>Long</v>
      </c>
      <c r="AS184">
        <f t="shared" si="29"/>
        <v>0</v>
      </c>
    </row>
    <row r="185" spans="1:4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s="20">
        <v>3690</v>
      </c>
      <c r="T185">
        <v>3425</v>
      </c>
      <c r="U185">
        <v>2</v>
      </c>
      <c r="V185" t="s">
        <v>42</v>
      </c>
      <c r="W185" t="s">
        <v>43</v>
      </c>
      <c r="X185" s="19">
        <v>15</v>
      </c>
      <c r="Y185">
        <v>3</v>
      </c>
      <c r="Z185">
        <v>4</v>
      </c>
      <c r="AA185">
        <v>80</v>
      </c>
      <c r="AB185">
        <v>1</v>
      </c>
      <c r="AC185">
        <v>5</v>
      </c>
      <c r="AD185">
        <v>2</v>
      </c>
      <c r="AE185">
        <v>2</v>
      </c>
      <c r="AF185">
        <v>3</v>
      </c>
      <c r="AG185">
        <v>2</v>
      </c>
      <c r="AH185">
        <v>0</v>
      </c>
      <c r="AI185">
        <v>2</v>
      </c>
      <c r="AJ185">
        <f t="shared" si="20"/>
        <v>0</v>
      </c>
      <c r="AK185">
        <f t="shared" si="21"/>
        <v>0</v>
      </c>
      <c r="AL185">
        <f t="shared" si="22"/>
        <v>1</v>
      </c>
      <c r="AM185">
        <f t="shared" si="23"/>
        <v>3</v>
      </c>
      <c r="AN185">
        <f t="shared" si="24"/>
        <v>11070</v>
      </c>
      <c r="AO185">
        <f t="shared" si="25"/>
        <v>0.5</v>
      </c>
      <c r="AP185" t="str">
        <f t="shared" si="26"/>
        <v>50+</v>
      </c>
      <c r="AQ185" t="str">
        <f t="shared" si="27"/>
        <v>Medium</v>
      </c>
      <c r="AR185" t="str">
        <f t="shared" si="28"/>
        <v>Short</v>
      </c>
      <c r="AS185">
        <f t="shared" si="29"/>
        <v>0</v>
      </c>
    </row>
    <row r="186" spans="1:4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s="20">
        <v>4450</v>
      </c>
      <c r="T186">
        <v>26250</v>
      </c>
      <c r="U186">
        <v>1</v>
      </c>
      <c r="V186" t="s">
        <v>42</v>
      </c>
      <c r="W186" t="s">
        <v>43</v>
      </c>
      <c r="X186" s="19">
        <v>11</v>
      </c>
      <c r="Y186">
        <v>3</v>
      </c>
      <c r="Z186">
        <v>3</v>
      </c>
      <c r="AA186">
        <v>80</v>
      </c>
      <c r="AB186">
        <v>2</v>
      </c>
      <c r="AC186">
        <v>5</v>
      </c>
      <c r="AD186">
        <v>3</v>
      </c>
      <c r="AE186">
        <v>3</v>
      </c>
      <c r="AF186">
        <v>4</v>
      </c>
      <c r="AG186">
        <v>2</v>
      </c>
      <c r="AH186">
        <v>1</v>
      </c>
      <c r="AI186">
        <v>3</v>
      </c>
      <c r="AJ186">
        <f t="shared" si="20"/>
        <v>0</v>
      </c>
      <c r="AK186">
        <f t="shared" si="21"/>
        <v>0</v>
      </c>
      <c r="AL186">
        <f t="shared" si="22"/>
        <v>0</v>
      </c>
      <c r="AM186">
        <f t="shared" si="23"/>
        <v>2.75</v>
      </c>
      <c r="AN186">
        <f t="shared" si="24"/>
        <v>10680</v>
      </c>
      <c r="AO186">
        <f t="shared" si="25"/>
        <v>0.66666666666666663</v>
      </c>
      <c r="AP186" t="str">
        <f t="shared" si="26"/>
        <v>50+</v>
      </c>
      <c r="AQ186" t="str">
        <f t="shared" si="27"/>
        <v>Medium</v>
      </c>
      <c r="AR186" t="str">
        <f t="shared" si="28"/>
        <v>Medium</v>
      </c>
      <c r="AS186">
        <f t="shared" si="29"/>
        <v>0</v>
      </c>
    </row>
    <row r="187" spans="1:4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s="20">
        <v>2756</v>
      </c>
      <c r="T187">
        <v>4673</v>
      </c>
      <c r="U187">
        <v>1</v>
      </c>
      <c r="V187" t="s">
        <v>42</v>
      </c>
      <c r="W187" t="s">
        <v>43</v>
      </c>
      <c r="X187" s="19">
        <v>13</v>
      </c>
      <c r="Y187">
        <v>3</v>
      </c>
      <c r="Z187">
        <v>4</v>
      </c>
      <c r="AA187">
        <v>80</v>
      </c>
      <c r="AB187">
        <v>1</v>
      </c>
      <c r="AC187">
        <v>8</v>
      </c>
      <c r="AD187">
        <v>5</v>
      </c>
      <c r="AE187">
        <v>3</v>
      </c>
      <c r="AF187">
        <v>8</v>
      </c>
      <c r="AG187">
        <v>7</v>
      </c>
      <c r="AH187">
        <v>1</v>
      </c>
      <c r="AI187">
        <v>6</v>
      </c>
      <c r="AJ187">
        <f t="shared" si="20"/>
        <v>0</v>
      </c>
      <c r="AK187">
        <f t="shared" si="21"/>
        <v>0</v>
      </c>
      <c r="AL187">
        <f t="shared" si="22"/>
        <v>0</v>
      </c>
      <c r="AM187">
        <f t="shared" si="23"/>
        <v>3.25</v>
      </c>
      <c r="AN187">
        <f t="shared" si="24"/>
        <v>3674.6666666666665</v>
      </c>
      <c r="AO187">
        <f t="shared" si="25"/>
        <v>0.88888888888888884</v>
      </c>
      <c r="AP187" t="str">
        <f t="shared" si="26"/>
        <v>30-39</v>
      </c>
      <c r="AQ187" t="str">
        <f t="shared" si="27"/>
        <v>Low</v>
      </c>
      <c r="AR187" t="str">
        <f t="shared" si="28"/>
        <v>Medium</v>
      </c>
      <c r="AS187">
        <f t="shared" si="29"/>
        <v>0</v>
      </c>
    </row>
    <row r="188" spans="1:4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s="20">
        <v>19033</v>
      </c>
      <c r="T188">
        <v>6499</v>
      </c>
      <c r="U188">
        <v>1</v>
      </c>
      <c r="V188" t="s">
        <v>42</v>
      </c>
      <c r="W188" t="s">
        <v>43</v>
      </c>
      <c r="X188" s="19">
        <v>14</v>
      </c>
      <c r="Y188">
        <v>3</v>
      </c>
      <c r="Z188">
        <v>2</v>
      </c>
      <c r="AA188">
        <v>80</v>
      </c>
      <c r="AB188">
        <v>1</v>
      </c>
      <c r="AC188">
        <v>21</v>
      </c>
      <c r="AD188">
        <v>2</v>
      </c>
      <c r="AE188">
        <v>3</v>
      </c>
      <c r="AF188">
        <v>20</v>
      </c>
      <c r="AG188">
        <v>8</v>
      </c>
      <c r="AH188">
        <v>9</v>
      </c>
      <c r="AI188">
        <v>9</v>
      </c>
      <c r="AJ188">
        <f t="shared" si="20"/>
        <v>0</v>
      </c>
      <c r="AK188">
        <f t="shared" si="21"/>
        <v>0</v>
      </c>
      <c r="AL188">
        <f t="shared" si="22"/>
        <v>0</v>
      </c>
      <c r="AM188">
        <f t="shared" si="23"/>
        <v>3</v>
      </c>
      <c r="AN188">
        <f t="shared" si="24"/>
        <v>10876</v>
      </c>
      <c r="AO188">
        <f t="shared" si="25"/>
        <v>0.90909090909090906</v>
      </c>
      <c r="AP188" t="str">
        <f t="shared" si="26"/>
        <v>40-49</v>
      </c>
      <c r="AQ188" t="str">
        <f t="shared" si="27"/>
        <v>Very High</v>
      </c>
      <c r="AR188" t="str">
        <f t="shared" si="28"/>
        <v>Short</v>
      </c>
      <c r="AS188">
        <f t="shared" si="29"/>
        <v>0</v>
      </c>
    </row>
    <row r="189" spans="1:4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s="20">
        <v>18722</v>
      </c>
      <c r="T189">
        <v>13339</v>
      </c>
      <c r="U189">
        <v>8</v>
      </c>
      <c r="V189" t="s">
        <v>42</v>
      </c>
      <c r="W189" t="s">
        <v>43</v>
      </c>
      <c r="X189" s="19">
        <v>11</v>
      </c>
      <c r="Y189">
        <v>3</v>
      </c>
      <c r="Z189">
        <v>4</v>
      </c>
      <c r="AA189">
        <v>80</v>
      </c>
      <c r="AB189">
        <v>0</v>
      </c>
      <c r="AC189">
        <v>36</v>
      </c>
      <c r="AD189">
        <v>3</v>
      </c>
      <c r="AE189">
        <v>3</v>
      </c>
      <c r="AF189">
        <v>24</v>
      </c>
      <c r="AG189">
        <v>15</v>
      </c>
      <c r="AH189">
        <v>2</v>
      </c>
      <c r="AI189">
        <v>15</v>
      </c>
      <c r="AJ189">
        <f t="shared" si="20"/>
        <v>0</v>
      </c>
      <c r="AK189">
        <f t="shared" si="21"/>
        <v>0</v>
      </c>
      <c r="AL189">
        <f t="shared" si="22"/>
        <v>1</v>
      </c>
      <c r="AM189">
        <f t="shared" si="23"/>
        <v>3</v>
      </c>
      <c r="AN189">
        <f t="shared" si="24"/>
        <v>8986.56</v>
      </c>
      <c r="AO189">
        <f t="shared" si="25"/>
        <v>0.64864864864864868</v>
      </c>
      <c r="AP189" t="str">
        <f t="shared" si="26"/>
        <v>50+</v>
      </c>
      <c r="AQ189" t="str">
        <f t="shared" si="27"/>
        <v>Very High</v>
      </c>
      <c r="AR189" t="str">
        <f t="shared" si="28"/>
        <v>Medium</v>
      </c>
      <c r="AS189">
        <f t="shared" si="29"/>
        <v>0</v>
      </c>
    </row>
    <row r="190" spans="1:4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s="20">
        <v>9547</v>
      </c>
      <c r="T190">
        <v>14074</v>
      </c>
      <c r="U190">
        <v>1</v>
      </c>
      <c r="V190" t="s">
        <v>42</v>
      </c>
      <c r="W190" t="s">
        <v>43</v>
      </c>
      <c r="X190" s="19">
        <v>17</v>
      </c>
      <c r="Y190">
        <v>3</v>
      </c>
      <c r="Z190">
        <v>3</v>
      </c>
      <c r="AA190">
        <v>80</v>
      </c>
      <c r="AB190">
        <v>0</v>
      </c>
      <c r="AC190">
        <v>10</v>
      </c>
      <c r="AD190">
        <v>2</v>
      </c>
      <c r="AE190">
        <v>2</v>
      </c>
      <c r="AF190">
        <v>10</v>
      </c>
      <c r="AG190">
        <v>9</v>
      </c>
      <c r="AH190">
        <v>1</v>
      </c>
      <c r="AI190">
        <v>9</v>
      </c>
      <c r="AJ190">
        <f t="shared" si="20"/>
        <v>0</v>
      </c>
      <c r="AK190">
        <f t="shared" si="21"/>
        <v>0</v>
      </c>
      <c r="AL190">
        <f t="shared" si="22"/>
        <v>1</v>
      </c>
      <c r="AM190">
        <f t="shared" si="23"/>
        <v>3</v>
      </c>
      <c r="AN190">
        <f t="shared" si="24"/>
        <v>10414.90909090909</v>
      </c>
      <c r="AO190">
        <f t="shared" si="25"/>
        <v>0.90909090909090906</v>
      </c>
      <c r="AP190" t="str">
        <f t="shared" si="26"/>
        <v>30-39</v>
      </c>
      <c r="AQ190" t="str">
        <f t="shared" si="27"/>
        <v>Very High</v>
      </c>
      <c r="AR190" t="str">
        <f t="shared" si="28"/>
        <v>Short</v>
      </c>
      <c r="AS190">
        <f t="shared" si="29"/>
        <v>1</v>
      </c>
    </row>
    <row r="191" spans="1:4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s="20">
        <v>13734</v>
      </c>
      <c r="T191">
        <v>7192</v>
      </c>
      <c r="U191">
        <v>3</v>
      </c>
      <c r="V191" t="s">
        <v>42</v>
      </c>
      <c r="W191" t="s">
        <v>43</v>
      </c>
      <c r="X191" s="19">
        <v>18</v>
      </c>
      <c r="Y191">
        <v>3</v>
      </c>
      <c r="Z191">
        <v>3</v>
      </c>
      <c r="AA191">
        <v>80</v>
      </c>
      <c r="AB191">
        <v>0</v>
      </c>
      <c r="AC191">
        <v>21</v>
      </c>
      <c r="AD191">
        <v>6</v>
      </c>
      <c r="AE191">
        <v>3</v>
      </c>
      <c r="AF191">
        <v>7</v>
      </c>
      <c r="AG191">
        <v>7</v>
      </c>
      <c r="AH191">
        <v>1</v>
      </c>
      <c r="AI191">
        <v>0</v>
      </c>
      <c r="AJ191">
        <f t="shared" si="20"/>
        <v>0</v>
      </c>
      <c r="AK191">
        <f t="shared" si="21"/>
        <v>0</v>
      </c>
      <c r="AL191">
        <f t="shared" si="22"/>
        <v>0</v>
      </c>
      <c r="AM191">
        <f t="shared" si="23"/>
        <v>3</v>
      </c>
      <c r="AN191">
        <f t="shared" si="24"/>
        <v>20601</v>
      </c>
      <c r="AO191">
        <f t="shared" si="25"/>
        <v>0.31818181818181818</v>
      </c>
      <c r="AP191" t="str">
        <f t="shared" si="26"/>
        <v>50+</v>
      </c>
      <c r="AQ191" t="str">
        <f t="shared" si="27"/>
        <v>Very High</v>
      </c>
      <c r="AR191" t="str">
        <f t="shared" si="28"/>
        <v>Short</v>
      </c>
      <c r="AS191">
        <f t="shared" si="29"/>
        <v>0</v>
      </c>
    </row>
    <row r="192" spans="1:4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s="20">
        <v>19999</v>
      </c>
      <c r="T192">
        <v>5678</v>
      </c>
      <c r="U192">
        <v>0</v>
      </c>
      <c r="V192" t="s">
        <v>42</v>
      </c>
      <c r="W192" t="s">
        <v>43</v>
      </c>
      <c r="X192" s="19">
        <v>14</v>
      </c>
      <c r="Y192">
        <v>3</v>
      </c>
      <c r="Z192">
        <v>1</v>
      </c>
      <c r="AA192">
        <v>80</v>
      </c>
      <c r="AB192">
        <v>1</v>
      </c>
      <c r="AC192">
        <v>34</v>
      </c>
      <c r="AD192">
        <v>5</v>
      </c>
      <c r="AE192">
        <v>3</v>
      </c>
      <c r="AF192">
        <v>33</v>
      </c>
      <c r="AG192">
        <v>18</v>
      </c>
      <c r="AH192">
        <v>11</v>
      </c>
      <c r="AI192">
        <v>9</v>
      </c>
      <c r="AJ192">
        <f t="shared" si="20"/>
        <v>0</v>
      </c>
      <c r="AK192">
        <f t="shared" si="21"/>
        <v>0</v>
      </c>
      <c r="AL192">
        <f t="shared" si="22"/>
        <v>1</v>
      </c>
      <c r="AM192">
        <f t="shared" si="23"/>
        <v>2.5</v>
      </c>
      <c r="AN192">
        <f t="shared" si="24"/>
        <v>7058.4705882352937</v>
      </c>
      <c r="AO192">
        <f t="shared" si="25"/>
        <v>0.94285714285714284</v>
      </c>
      <c r="AP192" t="str">
        <f t="shared" si="26"/>
        <v>50+</v>
      </c>
      <c r="AQ192" t="str">
        <f t="shared" si="27"/>
        <v>Very High</v>
      </c>
      <c r="AR192" t="str">
        <f t="shared" si="28"/>
        <v>Short</v>
      </c>
      <c r="AS192">
        <f t="shared" si="29"/>
        <v>0</v>
      </c>
    </row>
    <row r="193" spans="1:4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s="20">
        <v>2279</v>
      </c>
      <c r="T193">
        <v>11781</v>
      </c>
      <c r="U193">
        <v>1</v>
      </c>
      <c r="V193" t="s">
        <v>42</v>
      </c>
      <c r="W193" t="s">
        <v>43</v>
      </c>
      <c r="X193" s="19">
        <v>16</v>
      </c>
      <c r="Y193">
        <v>3</v>
      </c>
      <c r="Z193">
        <v>4</v>
      </c>
      <c r="AA193">
        <v>80</v>
      </c>
      <c r="AB193">
        <v>0</v>
      </c>
      <c r="AC193">
        <v>7</v>
      </c>
      <c r="AD193">
        <v>2</v>
      </c>
      <c r="AE193">
        <v>2</v>
      </c>
      <c r="AF193">
        <v>7</v>
      </c>
      <c r="AG193">
        <v>7</v>
      </c>
      <c r="AH193">
        <v>0</v>
      </c>
      <c r="AI193">
        <v>3</v>
      </c>
      <c r="AJ193">
        <f t="shared" si="20"/>
        <v>0</v>
      </c>
      <c r="AK193">
        <f t="shared" si="21"/>
        <v>0</v>
      </c>
      <c r="AL193">
        <f t="shared" si="22"/>
        <v>0</v>
      </c>
      <c r="AM193">
        <f t="shared" si="23"/>
        <v>3</v>
      </c>
      <c r="AN193">
        <f t="shared" si="24"/>
        <v>3418.5</v>
      </c>
      <c r="AO193">
        <f t="shared" si="25"/>
        <v>0.875</v>
      </c>
      <c r="AP193" t="str">
        <f t="shared" si="26"/>
        <v>Under 30</v>
      </c>
      <c r="AQ193" t="str">
        <f t="shared" si="27"/>
        <v>Low</v>
      </c>
      <c r="AR193" t="str">
        <f t="shared" si="28"/>
        <v>Medium</v>
      </c>
      <c r="AS193">
        <f t="shared" si="29"/>
        <v>0</v>
      </c>
    </row>
    <row r="194" spans="1:4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s="20">
        <v>5916</v>
      </c>
      <c r="T194">
        <v>15497</v>
      </c>
      <c r="U194">
        <v>3</v>
      </c>
      <c r="V194" t="s">
        <v>42</v>
      </c>
      <c r="W194" t="s">
        <v>35</v>
      </c>
      <c r="X194" s="19">
        <v>13</v>
      </c>
      <c r="Y194">
        <v>3</v>
      </c>
      <c r="Z194">
        <v>1</v>
      </c>
      <c r="AA194">
        <v>80</v>
      </c>
      <c r="AB194">
        <v>0</v>
      </c>
      <c r="AC194">
        <v>8</v>
      </c>
      <c r="AD194">
        <v>1</v>
      </c>
      <c r="AE194">
        <v>3</v>
      </c>
      <c r="AF194">
        <v>1</v>
      </c>
      <c r="AG194">
        <v>0</v>
      </c>
      <c r="AH194">
        <v>0</v>
      </c>
      <c r="AI194">
        <v>1</v>
      </c>
      <c r="AJ194">
        <f t="shared" si="20"/>
        <v>1</v>
      </c>
      <c r="AK194">
        <f t="shared" si="21"/>
        <v>1</v>
      </c>
      <c r="AL194">
        <f t="shared" si="22"/>
        <v>1</v>
      </c>
      <c r="AM194">
        <f t="shared" si="23"/>
        <v>2.25</v>
      </c>
      <c r="AN194">
        <f t="shared" si="24"/>
        <v>35496</v>
      </c>
      <c r="AO194">
        <f t="shared" si="25"/>
        <v>0.1111111111111111</v>
      </c>
      <c r="AP194" t="str">
        <f t="shared" si="26"/>
        <v>30-39</v>
      </c>
      <c r="AQ194" t="str">
        <f t="shared" si="27"/>
        <v>High</v>
      </c>
      <c r="AR194" t="str">
        <f t="shared" si="28"/>
        <v>Long</v>
      </c>
      <c r="AS194">
        <f t="shared" si="29"/>
        <v>0</v>
      </c>
    </row>
    <row r="195" spans="1:4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s="20">
        <v>2089</v>
      </c>
      <c r="T195">
        <v>5228</v>
      </c>
      <c r="U195">
        <v>4</v>
      </c>
      <c r="V195" t="s">
        <v>42</v>
      </c>
      <c r="W195" t="s">
        <v>43</v>
      </c>
      <c r="X195" s="19">
        <v>14</v>
      </c>
      <c r="Y195">
        <v>3</v>
      </c>
      <c r="Z195">
        <v>4</v>
      </c>
      <c r="AA195">
        <v>80</v>
      </c>
      <c r="AB195">
        <v>3</v>
      </c>
      <c r="AC195">
        <v>7</v>
      </c>
      <c r="AD195">
        <v>3</v>
      </c>
      <c r="AE195">
        <v>4</v>
      </c>
      <c r="AF195">
        <v>5</v>
      </c>
      <c r="AG195">
        <v>4</v>
      </c>
      <c r="AH195">
        <v>2</v>
      </c>
      <c r="AI195">
        <v>2</v>
      </c>
      <c r="AJ195">
        <f t="shared" ref="AJ195:AJ258" si="30">IF(B195="Yes",1,0)</f>
        <v>0</v>
      </c>
      <c r="AK195">
        <f t="shared" ref="AK195:AK258" si="31">IF(W195="Yes",1,0)</f>
        <v>0</v>
      </c>
      <c r="AL195">
        <f t="shared" ref="AL195:AL258" si="32">IF(L195="Male",1,0)</f>
        <v>1</v>
      </c>
      <c r="AM195">
        <f t="shared" ref="AM195:AM258" si="33">AVERAGE(K195,Q195,Z195,AE195)</f>
        <v>4</v>
      </c>
      <c r="AN195">
        <f t="shared" ref="AN195:AN258" si="34">(S195*12)/(AF195+1)</f>
        <v>4178</v>
      </c>
      <c r="AO195">
        <f t="shared" ref="AO195:AO258" si="35">AF195/(AC195+1)</f>
        <v>0.625</v>
      </c>
      <c r="AP195" t="str">
        <f t="shared" ref="AP195:AP258" si="36">IF(A195&lt;30,"Under 30",IF(A195&lt;40,"30-39",IF(A195&lt;50,"40-49","50+")))</f>
        <v>40-49</v>
      </c>
      <c r="AQ195" t="str">
        <f t="shared" ref="AQ195:AQ258" si="37">IF(S195&lt;=$AV$1,"Low",IF(S195&lt;=$AV$2,"Medium",IF(S195&lt;=$AV$3,"High","Very High")))</f>
        <v>Low</v>
      </c>
      <c r="AR195" t="str">
        <f t="shared" ref="AR195:AR258" si="38">IF(F195&lt;=5,"Short",IF(F195&lt;=15,"Medium","Long"))</f>
        <v>Medium</v>
      </c>
      <c r="AS195">
        <f t="shared" ref="AS195:AS258" si="39">IF(C195="Travel_Frequently",1,0)</f>
        <v>0</v>
      </c>
    </row>
    <row r="196" spans="1:4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s="20">
        <v>16792</v>
      </c>
      <c r="T196">
        <v>20462</v>
      </c>
      <c r="U196">
        <v>9</v>
      </c>
      <c r="V196" t="s">
        <v>42</v>
      </c>
      <c r="W196" t="s">
        <v>43</v>
      </c>
      <c r="X196" s="19">
        <v>23</v>
      </c>
      <c r="Y196">
        <v>4</v>
      </c>
      <c r="Z196">
        <v>4</v>
      </c>
      <c r="AA196">
        <v>80</v>
      </c>
      <c r="AB196">
        <v>1</v>
      </c>
      <c r="AC196">
        <v>22</v>
      </c>
      <c r="AD196">
        <v>1</v>
      </c>
      <c r="AE196">
        <v>3</v>
      </c>
      <c r="AF196">
        <v>20</v>
      </c>
      <c r="AG196">
        <v>8</v>
      </c>
      <c r="AH196">
        <v>11</v>
      </c>
      <c r="AI196">
        <v>8</v>
      </c>
      <c r="AJ196">
        <f t="shared" si="30"/>
        <v>0</v>
      </c>
      <c r="AK196">
        <f t="shared" si="31"/>
        <v>0</v>
      </c>
      <c r="AL196">
        <f t="shared" si="32"/>
        <v>1</v>
      </c>
      <c r="AM196">
        <f t="shared" si="33"/>
        <v>3</v>
      </c>
      <c r="AN196">
        <f t="shared" si="34"/>
        <v>9595.4285714285706</v>
      </c>
      <c r="AO196">
        <f t="shared" si="35"/>
        <v>0.86956521739130432</v>
      </c>
      <c r="AP196" t="str">
        <f t="shared" si="36"/>
        <v>40-49</v>
      </c>
      <c r="AQ196" t="str">
        <f t="shared" si="37"/>
        <v>Very High</v>
      </c>
      <c r="AR196" t="str">
        <f t="shared" si="38"/>
        <v>Short</v>
      </c>
      <c r="AS196">
        <f t="shared" si="39"/>
        <v>0</v>
      </c>
    </row>
    <row r="197" spans="1:4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s="20">
        <v>3564</v>
      </c>
      <c r="T197">
        <v>22977</v>
      </c>
      <c r="U197">
        <v>1</v>
      </c>
      <c r="V197" t="s">
        <v>42</v>
      </c>
      <c r="W197" t="s">
        <v>35</v>
      </c>
      <c r="X197" s="19">
        <v>12</v>
      </c>
      <c r="Y197">
        <v>3</v>
      </c>
      <c r="Z197">
        <v>1</v>
      </c>
      <c r="AA197">
        <v>80</v>
      </c>
      <c r="AB197">
        <v>1</v>
      </c>
      <c r="AC197">
        <v>8</v>
      </c>
      <c r="AD197">
        <v>3</v>
      </c>
      <c r="AE197">
        <v>2</v>
      </c>
      <c r="AF197">
        <v>8</v>
      </c>
      <c r="AG197">
        <v>7</v>
      </c>
      <c r="AH197">
        <v>1</v>
      </c>
      <c r="AI197">
        <v>7</v>
      </c>
      <c r="AJ197">
        <f t="shared" si="30"/>
        <v>0</v>
      </c>
      <c r="AK197">
        <f t="shared" si="31"/>
        <v>1</v>
      </c>
      <c r="AL197">
        <f t="shared" si="32"/>
        <v>1</v>
      </c>
      <c r="AM197">
        <f t="shared" si="33"/>
        <v>1.5</v>
      </c>
      <c r="AN197">
        <f t="shared" si="34"/>
        <v>4752</v>
      </c>
      <c r="AO197">
        <f t="shared" si="35"/>
        <v>0.88888888888888884</v>
      </c>
      <c r="AP197" t="str">
        <f t="shared" si="36"/>
        <v>30-39</v>
      </c>
      <c r="AQ197" t="str">
        <f t="shared" si="37"/>
        <v>Medium</v>
      </c>
      <c r="AR197" t="str">
        <f t="shared" si="38"/>
        <v>Long</v>
      </c>
      <c r="AS197">
        <f t="shared" si="39"/>
        <v>0</v>
      </c>
    </row>
    <row r="198" spans="1:4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s="20">
        <v>4425</v>
      </c>
      <c r="T198">
        <v>15986</v>
      </c>
      <c r="U198">
        <v>5</v>
      </c>
      <c r="V198" t="s">
        <v>42</v>
      </c>
      <c r="W198" t="s">
        <v>43</v>
      </c>
      <c r="X198" s="19">
        <v>11</v>
      </c>
      <c r="Y198">
        <v>3</v>
      </c>
      <c r="Z198">
        <v>4</v>
      </c>
      <c r="AA198">
        <v>80</v>
      </c>
      <c r="AB198">
        <v>0</v>
      </c>
      <c r="AC198">
        <v>10</v>
      </c>
      <c r="AD198">
        <v>5</v>
      </c>
      <c r="AE198">
        <v>3</v>
      </c>
      <c r="AF198">
        <v>6</v>
      </c>
      <c r="AG198">
        <v>2</v>
      </c>
      <c r="AH198">
        <v>1</v>
      </c>
      <c r="AI198">
        <v>2</v>
      </c>
      <c r="AJ198">
        <f t="shared" si="30"/>
        <v>0</v>
      </c>
      <c r="AK198">
        <f t="shared" si="31"/>
        <v>0</v>
      </c>
      <c r="AL198">
        <f t="shared" si="32"/>
        <v>0</v>
      </c>
      <c r="AM198">
        <f t="shared" si="33"/>
        <v>2.75</v>
      </c>
      <c r="AN198">
        <f t="shared" si="34"/>
        <v>7585.7142857142853</v>
      </c>
      <c r="AO198">
        <f t="shared" si="35"/>
        <v>0.54545454545454541</v>
      </c>
      <c r="AP198" t="str">
        <f t="shared" si="36"/>
        <v>30-39</v>
      </c>
      <c r="AQ198" t="str">
        <f t="shared" si="37"/>
        <v>Medium</v>
      </c>
      <c r="AR198" t="str">
        <f t="shared" si="38"/>
        <v>Short</v>
      </c>
      <c r="AS198">
        <f t="shared" si="39"/>
        <v>1</v>
      </c>
    </row>
    <row r="199" spans="1:4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s="20">
        <v>5265</v>
      </c>
      <c r="T199">
        <v>16439</v>
      </c>
      <c r="U199">
        <v>2</v>
      </c>
      <c r="V199" t="s">
        <v>42</v>
      </c>
      <c r="W199" t="s">
        <v>43</v>
      </c>
      <c r="X199" s="19">
        <v>16</v>
      </c>
      <c r="Y199">
        <v>3</v>
      </c>
      <c r="Z199">
        <v>2</v>
      </c>
      <c r="AA199">
        <v>80</v>
      </c>
      <c r="AB199">
        <v>1</v>
      </c>
      <c r="AC199">
        <v>11</v>
      </c>
      <c r="AD199">
        <v>5</v>
      </c>
      <c r="AE199">
        <v>3</v>
      </c>
      <c r="AF199">
        <v>5</v>
      </c>
      <c r="AG199">
        <v>3</v>
      </c>
      <c r="AH199">
        <v>0</v>
      </c>
      <c r="AI199">
        <v>2</v>
      </c>
      <c r="AJ199">
        <f t="shared" si="30"/>
        <v>0</v>
      </c>
      <c r="AK199">
        <f t="shared" si="31"/>
        <v>0</v>
      </c>
      <c r="AL199">
        <f t="shared" si="32"/>
        <v>0</v>
      </c>
      <c r="AM199">
        <f t="shared" si="33"/>
        <v>2.75</v>
      </c>
      <c r="AN199">
        <f t="shared" si="34"/>
        <v>10530</v>
      </c>
      <c r="AO199">
        <f t="shared" si="35"/>
        <v>0.41666666666666669</v>
      </c>
      <c r="AP199" t="str">
        <f t="shared" si="36"/>
        <v>40-49</v>
      </c>
      <c r="AQ199" t="str">
        <f t="shared" si="37"/>
        <v>High</v>
      </c>
      <c r="AR199" t="str">
        <f t="shared" si="38"/>
        <v>Long</v>
      </c>
      <c r="AS199">
        <f t="shared" si="39"/>
        <v>0</v>
      </c>
    </row>
    <row r="200" spans="1:4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s="20">
        <v>6553</v>
      </c>
      <c r="T200">
        <v>7259</v>
      </c>
      <c r="U200">
        <v>9</v>
      </c>
      <c r="V200" t="s">
        <v>42</v>
      </c>
      <c r="W200" t="s">
        <v>43</v>
      </c>
      <c r="X200" s="19">
        <v>14</v>
      </c>
      <c r="Y200">
        <v>3</v>
      </c>
      <c r="Z200">
        <v>2</v>
      </c>
      <c r="AA200">
        <v>80</v>
      </c>
      <c r="AB200">
        <v>0</v>
      </c>
      <c r="AC200">
        <v>14</v>
      </c>
      <c r="AD200">
        <v>3</v>
      </c>
      <c r="AE200">
        <v>3</v>
      </c>
      <c r="AF200">
        <v>1</v>
      </c>
      <c r="AG200">
        <v>0</v>
      </c>
      <c r="AH200">
        <v>0</v>
      </c>
      <c r="AI200">
        <v>0</v>
      </c>
      <c r="AJ200">
        <f t="shared" si="30"/>
        <v>0</v>
      </c>
      <c r="AK200">
        <f t="shared" si="31"/>
        <v>0</v>
      </c>
      <c r="AL200">
        <f t="shared" si="32"/>
        <v>1</v>
      </c>
      <c r="AM200">
        <f t="shared" si="33"/>
        <v>3</v>
      </c>
      <c r="AN200">
        <f t="shared" si="34"/>
        <v>39318</v>
      </c>
      <c r="AO200">
        <f t="shared" si="35"/>
        <v>6.6666666666666666E-2</v>
      </c>
      <c r="AP200" t="str">
        <f t="shared" si="36"/>
        <v>30-39</v>
      </c>
      <c r="AQ200" t="str">
        <f t="shared" si="37"/>
        <v>High</v>
      </c>
      <c r="AR200" t="str">
        <f t="shared" si="38"/>
        <v>Short</v>
      </c>
      <c r="AS200">
        <f t="shared" si="39"/>
        <v>0</v>
      </c>
    </row>
    <row r="201" spans="1:4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s="20">
        <v>6261</v>
      </c>
      <c r="T201">
        <v>4185</v>
      </c>
      <c r="U201">
        <v>3</v>
      </c>
      <c r="V201" t="s">
        <v>42</v>
      </c>
      <c r="W201" t="s">
        <v>43</v>
      </c>
      <c r="X201" s="19">
        <v>18</v>
      </c>
      <c r="Y201">
        <v>3</v>
      </c>
      <c r="Z201">
        <v>1</v>
      </c>
      <c r="AA201">
        <v>80</v>
      </c>
      <c r="AB201">
        <v>1</v>
      </c>
      <c r="AC201">
        <v>9</v>
      </c>
      <c r="AD201">
        <v>3</v>
      </c>
      <c r="AE201">
        <v>1</v>
      </c>
      <c r="AF201">
        <v>7</v>
      </c>
      <c r="AG201">
        <v>7</v>
      </c>
      <c r="AH201">
        <v>1</v>
      </c>
      <c r="AI201">
        <v>7</v>
      </c>
      <c r="AJ201">
        <f t="shared" si="30"/>
        <v>0</v>
      </c>
      <c r="AK201">
        <f t="shared" si="31"/>
        <v>0</v>
      </c>
      <c r="AL201">
        <f t="shared" si="32"/>
        <v>1</v>
      </c>
      <c r="AM201">
        <f t="shared" si="33"/>
        <v>2.5</v>
      </c>
      <c r="AN201">
        <f t="shared" si="34"/>
        <v>9391.5</v>
      </c>
      <c r="AO201">
        <f t="shared" si="35"/>
        <v>0.7</v>
      </c>
      <c r="AP201" t="str">
        <f t="shared" si="36"/>
        <v>30-39</v>
      </c>
      <c r="AQ201" t="str">
        <f t="shared" si="37"/>
        <v>High</v>
      </c>
      <c r="AR201" t="str">
        <f t="shared" si="38"/>
        <v>Long</v>
      </c>
      <c r="AS201">
        <f t="shared" si="39"/>
        <v>0</v>
      </c>
    </row>
    <row r="202" spans="1:45" x14ac:dyDescent="0.3">
      <c r="A202">
        <v>27</v>
      </c>
      <c r="B202" t="s">
        <v>43</v>
      </c>
      <c r="C202" t="s">
        <v>44</v>
      </c>
      <c r="D202">
        <v>472</v>
      </c>
      <c r="E202" t="s">
        <v>37</v>
      </c>
      <c r="F202">
        <v>1</v>
      </c>
      <c r="G202">
        <v>1</v>
      </c>
      <c r="H202" t="s">
        <v>60</v>
      </c>
      <c r="I202">
        <v>1</v>
      </c>
      <c r="J202">
        <v>274</v>
      </c>
      <c r="K202">
        <v>3</v>
      </c>
      <c r="L202" t="s">
        <v>46</v>
      </c>
      <c r="M202">
        <v>60</v>
      </c>
      <c r="N202">
        <v>2</v>
      </c>
      <c r="O202">
        <v>2</v>
      </c>
      <c r="P202" t="s">
        <v>53</v>
      </c>
      <c r="Q202">
        <v>1</v>
      </c>
      <c r="R202" t="s">
        <v>48</v>
      </c>
      <c r="S202" s="20">
        <v>4298</v>
      </c>
      <c r="T202">
        <v>9679</v>
      </c>
      <c r="U202">
        <v>5</v>
      </c>
      <c r="V202" t="s">
        <v>42</v>
      </c>
      <c r="W202" t="s">
        <v>43</v>
      </c>
      <c r="X202" s="19">
        <v>19</v>
      </c>
      <c r="Y202">
        <v>3</v>
      </c>
      <c r="Z202">
        <v>3</v>
      </c>
      <c r="AA202">
        <v>80</v>
      </c>
      <c r="AB202">
        <v>1</v>
      </c>
      <c r="AC202">
        <v>6</v>
      </c>
      <c r="AD202">
        <v>1</v>
      </c>
      <c r="AE202">
        <v>3</v>
      </c>
      <c r="AF202">
        <v>2</v>
      </c>
      <c r="AG202">
        <v>2</v>
      </c>
      <c r="AH202">
        <v>2</v>
      </c>
      <c r="AI202">
        <v>0</v>
      </c>
      <c r="AJ202">
        <f t="shared" si="30"/>
        <v>0</v>
      </c>
      <c r="AK202">
        <f t="shared" si="31"/>
        <v>0</v>
      </c>
      <c r="AL202">
        <f t="shared" si="32"/>
        <v>1</v>
      </c>
      <c r="AM202">
        <f t="shared" si="33"/>
        <v>2.5</v>
      </c>
      <c r="AN202">
        <f t="shared" si="34"/>
        <v>17192</v>
      </c>
      <c r="AO202">
        <f t="shared" si="35"/>
        <v>0.2857142857142857</v>
      </c>
      <c r="AP202" t="str">
        <f t="shared" si="36"/>
        <v>Under 30</v>
      </c>
      <c r="AQ202" t="str">
        <f t="shared" si="37"/>
        <v>Medium</v>
      </c>
      <c r="AR202" t="str">
        <f t="shared" si="38"/>
        <v>Short</v>
      </c>
      <c r="AS202">
        <f t="shared" si="39"/>
        <v>1</v>
      </c>
    </row>
    <row r="203" spans="1:4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s="20">
        <v>6804</v>
      </c>
      <c r="T203">
        <v>23793</v>
      </c>
      <c r="U203">
        <v>1</v>
      </c>
      <c r="V203" t="s">
        <v>42</v>
      </c>
      <c r="W203" t="s">
        <v>35</v>
      </c>
      <c r="X203" s="19">
        <v>15</v>
      </c>
      <c r="Y203">
        <v>3</v>
      </c>
      <c r="Z203">
        <v>1</v>
      </c>
      <c r="AA203">
        <v>80</v>
      </c>
      <c r="AB203">
        <v>2</v>
      </c>
      <c r="AC203">
        <v>7</v>
      </c>
      <c r="AD203">
        <v>0</v>
      </c>
      <c r="AE203">
        <v>3</v>
      </c>
      <c r="AF203">
        <v>7</v>
      </c>
      <c r="AG203">
        <v>7</v>
      </c>
      <c r="AH203">
        <v>1</v>
      </c>
      <c r="AI203">
        <v>7</v>
      </c>
      <c r="AJ203">
        <f t="shared" si="30"/>
        <v>0</v>
      </c>
      <c r="AK203">
        <f t="shared" si="31"/>
        <v>1</v>
      </c>
      <c r="AL203">
        <f t="shared" si="32"/>
        <v>1</v>
      </c>
      <c r="AM203">
        <f t="shared" si="33"/>
        <v>3</v>
      </c>
      <c r="AN203">
        <f t="shared" si="34"/>
        <v>10206</v>
      </c>
      <c r="AO203">
        <f t="shared" si="35"/>
        <v>0.875</v>
      </c>
      <c r="AP203" t="str">
        <f t="shared" si="36"/>
        <v>40-49</v>
      </c>
      <c r="AQ203" t="str">
        <f t="shared" si="37"/>
        <v>High</v>
      </c>
      <c r="AR203" t="str">
        <f t="shared" si="38"/>
        <v>Long</v>
      </c>
      <c r="AS203">
        <f t="shared" si="39"/>
        <v>0</v>
      </c>
    </row>
    <row r="204" spans="1:4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s="20">
        <v>3815</v>
      </c>
      <c r="T204">
        <v>5972</v>
      </c>
      <c r="U204">
        <v>1</v>
      </c>
      <c r="V204" t="s">
        <v>42</v>
      </c>
      <c r="W204" t="s">
        <v>35</v>
      </c>
      <c r="X204" s="19">
        <v>17</v>
      </c>
      <c r="Y204">
        <v>3</v>
      </c>
      <c r="Z204">
        <v>4</v>
      </c>
      <c r="AA204">
        <v>80</v>
      </c>
      <c r="AB204">
        <v>1</v>
      </c>
      <c r="AC204">
        <v>5</v>
      </c>
      <c r="AD204">
        <v>4</v>
      </c>
      <c r="AE204">
        <v>4</v>
      </c>
      <c r="AF204">
        <v>5</v>
      </c>
      <c r="AG204">
        <v>3</v>
      </c>
      <c r="AH204">
        <v>2</v>
      </c>
      <c r="AI204">
        <v>0</v>
      </c>
      <c r="AJ204">
        <f t="shared" si="30"/>
        <v>0</v>
      </c>
      <c r="AK204">
        <f t="shared" si="31"/>
        <v>1</v>
      </c>
      <c r="AL204">
        <f t="shared" si="32"/>
        <v>1</v>
      </c>
      <c r="AM204">
        <f t="shared" si="33"/>
        <v>3.75</v>
      </c>
      <c r="AN204">
        <f t="shared" si="34"/>
        <v>7630</v>
      </c>
      <c r="AO204">
        <f t="shared" si="35"/>
        <v>0.83333333333333337</v>
      </c>
      <c r="AP204" t="str">
        <f t="shared" si="36"/>
        <v>30-39</v>
      </c>
      <c r="AQ204" t="str">
        <f t="shared" si="37"/>
        <v>Medium</v>
      </c>
      <c r="AR204" t="str">
        <f t="shared" si="38"/>
        <v>Medium</v>
      </c>
      <c r="AS204">
        <f t="shared" si="39"/>
        <v>1</v>
      </c>
    </row>
    <row r="205" spans="1:4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s="20">
        <v>2741</v>
      </c>
      <c r="T205">
        <v>16523</v>
      </c>
      <c r="U205">
        <v>8</v>
      </c>
      <c r="V205" t="s">
        <v>42</v>
      </c>
      <c r="W205" t="s">
        <v>35</v>
      </c>
      <c r="X205" s="19">
        <v>15</v>
      </c>
      <c r="Y205">
        <v>3</v>
      </c>
      <c r="Z205">
        <v>3</v>
      </c>
      <c r="AA205">
        <v>80</v>
      </c>
      <c r="AB205">
        <v>1</v>
      </c>
      <c r="AC205">
        <v>15</v>
      </c>
      <c r="AD205">
        <v>2</v>
      </c>
      <c r="AE205">
        <v>4</v>
      </c>
      <c r="AF205">
        <v>7</v>
      </c>
      <c r="AG205">
        <v>2</v>
      </c>
      <c r="AH205">
        <v>3</v>
      </c>
      <c r="AI205">
        <v>7</v>
      </c>
      <c r="AJ205">
        <f t="shared" si="30"/>
        <v>0</v>
      </c>
      <c r="AK205">
        <f t="shared" si="31"/>
        <v>1</v>
      </c>
      <c r="AL205">
        <f t="shared" si="32"/>
        <v>1</v>
      </c>
      <c r="AM205">
        <f t="shared" si="33"/>
        <v>3.5</v>
      </c>
      <c r="AN205">
        <f t="shared" si="34"/>
        <v>4111.5</v>
      </c>
      <c r="AO205">
        <f t="shared" si="35"/>
        <v>0.4375</v>
      </c>
      <c r="AP205" t="str">
        <f t="shared" si="36"/>
        <v>40-49</v>
      </c>
      <c r="AQ205" t="str">
        <f t="shared" si="37"/>
        <v>Low</v>
      </c>
      <c r="AR205" t="str">
        <f t="shared" si="38"/>
        <v>Long</v>
      </c>
      <c r="AS205">
        <f t="shared" si="39"/>
        <v>0</v>
      </c>
    </row>
    <row r="206" spans="1:4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s="20">
        <v>6673</v>
      </c>
      <c r="T206">
        <v>11354</v>
      </c>
      <c r="U206">
        <v>7</v>
      </c>
      <c r="V206" t="s">
        <v>42</v>
      </c>
      <c r="W206" t="s">
        <v>35</v>
      </c>
      <c r="X206" s="19">
        <v>19</v>
      </c>
      <c r="Y206">
        <v>3</v>
      </c>
      <c r="Z206">
        <v>2</v>
      </c>
      <c r="AA206">
        <v>80</v>
      </c>
      <c r="AB206">
        <v>0</v>
      </c>
      <c r="AC206">
        <v>17</v>
      </c>
      <c r="AD206">
        <v>2</v>
      </c>
      <c r="AE206">
        <v>3</v>
      </c>
      <c r="AF206">
        <v>1</v>
      </c>
      <c r="AG206">
        <v>0</v>
      </c>
      <c r="AH206">
        <v>0</v>
      </c>
      <c r="AI206">
        <v>0</v>
      </c>
      <c r="AJ206">
        <f t="shared" si="30"/>
        <v>1</v>
      </c>
      <c r="AK206">
        <f t="shared" si="31"/>
        <v>1</v>
      </c>
      <c r="AL206">
        <f t="shared" si="32"/>
        <v>1</v>
      </c>
      <c r="AM206">
        <f t="shared" si="33"/>
        <v>2</v>
      </c>
      <c r="AN206">
        <f t="shared" si="34"/>
        <v>40038</v>
      </c>
      <c r="AO206">
        <f t="shared" si="35"/>
        <v>5.5555555555555552E-2</v>
      </c>
      <c r="AP206" t="str">
        <f t="shared" si="36"/>
        <v>30-39</v>
      </c>
      <c r="AQ206" t="str">
        <f t="shared" si="37"/>
        <v>High</v>
      </c>
      <c r="AR206" t="str">
        <f t="shared" si="38"/>
        <v>Long</v>
      </c>
      <c r="AS206">
        <f t="shared" si="39"/>
        <v>0</v>
      </c>
    </row>
    <row r="207" spans="1:4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s="20">
        <v>7639</v>
      </c>
      <c r="T207">
        <v>24525</v>
      </c>
      <c r="U207">
        <v>1</v>
      </c>
      <c r="V207" t="s">
        <v>42</v>
      </c>
      <c r="W207" t="s">
        <v>43</v>
      </c>
      <c r="X207" s="19">
        <v>22</v>
      </c>
      <c r="Y207">
        <v>4</v>
      </c>
      <c r="Z207">
        <v>4</v>
      </c>
      <c r="AA207">
        <v>80</v>
      </c>
      <c r="AB207">
        <v>3</v>
      </c>
      <c r="AC207">
        <v>10</v>
      </c>
      <c r="AD207">
        <v>3</v>
      </c>
      <c r="AE207">
        <v>2</v>
      </c>
      <c r="AF207">
        <v>10</v>
      </c>
      <c r="AG207">
        <v>4</v>
      </c>
      <c r="AH207">
        <v>1</v>
      </c>
      <c r="AI207">
        <v>9</v>
      </c>
      <c r="AJ207">
        <f t="shared" si="30"/>
        <v>1</v>
      </c>
      <c r="AK207">
        <f t="shared" si="31"/>
        <v>0</v>
      </c>
      <c r="AL207">
        <f t="shared" si="32"/>
        <v>0</v>
      </c>
      <c r="AM207">
        <f t="shared" si="33"/>
        <v>3</v>
      </c>
      <c r="AN207">
        <f t="shared" si="34"/>
        <v>8333.454545454546</v>
      </c>
      <c r="AO207">
        <f t="shared" si="35"/>
        <v>0.90909090909090906</v>
      </c>
      <c r="AP207" t="str">
        <f t="shared" si="36"/>
        <v>Under 30</v>
      </c>
      <c r="AQ207" t="str">
        <f t="shared" si="37"/>
        <v>High</v>
      </c>
      <c r="AR207" t="str">
        <f t="shared" si="38"/>
        <v>Long</v>
      </c>
      <c r="AS207">
        <f t="shared" si="39"/>
        <v>0</v>
      </c>
    </row>
    <row r="208" spans="1:4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s="20">
        <v>2328</v>
      </c>
      <c r="T208">
        <v>12392</v>
      </c>
      <c r="U208">
        <v>1</v>
      </c>
      <c r="V208" t="s">
        <v>42</v>
      </c>
      <c r="W208" t="s">
        <v>35</v>
      </c>
      <c r="X208" s="19">
        <v>16</v>
      </c>
      <c r="Y208">
        <v>3</v>
      </c>
      <c r="Z208">
        <v>1</v>
      </c>
      <c r="AA208">
        <v>80</v>
      </c>
      <c r="AB208">
        <v>1</v>
      </c>
      <c r="AC208">
        <v>4</v>
      </c>
      <c r="AD208">
        <v>2</v>
      </c>
      <c r="AE208">
        <v>2</v>
      </c>
      <c r="AF208">
        <v>4</v>
      </c>
      <c r="AG208">
        <v>2</v>
      </c>
      <c r="AH208">
        <v>2</v>
      </c>
      <c r="AI208">
        <v>2</v>
      </c>
      <c r="AJ208">
        <f t="shared" si="30"/>
        <v>0</v>
      </c>
      <c r="AK208">
        <f t="shared" si="31"/>
        <v>1</v>
      </c>
      <c r="AL208">
        <f t="shared" si="32"/>
        <v>1</v>
      </c>
      <c r="AM208">
        <f t="shared" si="33"/>
        <v>2.25</v>
      </c>
      <c r="AN208">
        <f t="shared" si="34"/>
        <v>5587.2</v>
      </c>
      <c r="AO208">
        <f t="shared" si="35"/>
        <v>0.8</v>
      </c>
      <c r="AP208" t="str">
        <f t="shared" si="36"/>
        <v>Under 30</v>
      </c>
      <c r="AQ208" t="str">
        <f t="shared" si="37"/>
        <v>Low</v>
      </c>
      <c r="AR208" t="str">
        <f t="shared" si="38"/>
        <v>Short</v>
      </c>
      <c r="AS208">
        <f t="shared" si="39"/>
        <v>0</v>
      </c>
    </row>
    <row r="209" spans="1:4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s="20">
        <v>2153</v>
      </c>
      <c r="T209">
        <v>7703</v>
      </c>
      <c r="U209">
        <v>1</v>
      </c>
      <c r="V209" t="s">
        <v>42</v>
      </c>
      <c r="W209" t="s">
        <v>43</v>
      </c>
      <c r="X209" s="19">
        <v>13</v>
      </c>
      <c r="Y209">
        <v>3</v>
      </c>
      <c r="Z209">
        <v>1</v>
      </c>
      <c r="AA209">
        <v>80</v>
      </c>
      <c r="AB209">
        <v>0</v>
      </c>
      <c r="AC209">
        <v>8</v>
      </c>
      <c r="AD209">
        <v>2</v>
      </c>
      <c r="AE209">
        <v>3</v>
      </c>
      <c r="AF209">
        <v>8</v>
      </c>
      <c r="AG209">
        <v>1</v>
      </c>
      <c r="AH209">
        <v>1</v>
      </c>
      <c r="AI209">
        <v>7</v>
      </c>
      <c r="AJ209">
        <f t="shared" si="30"/>
        <v>0</v>
      </c>
      <c r="AK209">
        <f t="shared" si="31"/>
        <v>0</v>
      </c>
      <c r="AL209">
        <f t="shared" si="32"/>
        <v>0</v>
      </c>
      <c r="AM209">
        <f t="shared" si="33"/>
        <v>2.5</v>
      </c>
      <c r="AN209">
        <f t="shared" si="34"/>
        <v>2870.6666666666665</v>
      </c>
      <c r="AO209">
        <f t="shared" si="35"/>
        <v>0.88888888888888884</v>
      </c>
      <c r="AP209" t="str">
        <f t="shared" si="36"/>
        <v>30-39</v>
      </c>
      <c r="AQ209" t="str">
        <f t="shared" si="37"/>
        <v>Low</v>
      </c>
      <c r="AR209" t="str">
        <f t="shared" si="38"/>
        <v>Long</v>
      </c>
      <c r="AS209">
        <f t="shared" si="39"/>
        <v>1</v>
      </c>
    </row>
    <row r="210" spans="1:4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s="20">
        <v>4876</v>
      </c>
      <c r="T210">
        <v>14242</v>
      </c>
      <c r="U210">
        <v>9</v>
      </c>
      <c r="V210" t="s">
        <v>42</v>
      </c>
      <c r="W210" t="s">
        <v>43</v>
      </c>
      <c r="X210" s="19">
        <v>14</v>
      </c>
      <c r="Y210">
        <v>3</v>
      </c>
      <c r="Z210">
        <v>4</v>
      </c>
      <c r="AA210">
        <v>80</v>
      </c>
      <c r="AB210">
        <v>1</v>
      </c>
      <c r="AC210">
        <v>5</v>
      </c>
      <c r="AD210">
        <v>5</v>
      </c>
      <c r="AE210">
        <v>1</v>
      </c>
      <c r="AF210">
        <v>3</v>
      </c>
      <c r="AG210">
        <v>2</v>
      </c>
      <c r="AH210">
        <v>0</v>
      </c>
      <c r="AI210">
        <v>2</v>
      </c>
      <c r="AJ210">
        <f t="shared" si="30"/>
        <v>0</v>
      </c>
      <c r="AK210">
        <f t="shared" si="31"/>
        <v>0</v>
      </c>
      <c r="AL210">
        <f t="shared" si="32"/>
        <v>1</v>
      </c>
      <c r="AM210">
        <f t="shared" si="33"/>
        <v>3.25</v>
      </c>
      <c r="AN210">
        <f t="shared" si="34"/>
        <v>14628</v>
      </c>
      <c r="AO210">
        <f t="shared" si="35"/>
        <v>0.5</v>
      </c>
      <c r="AP210" t="str">
        <f t="shared" si="36"/>
        <v>40-49</v>
      </c>
      <c r="AQ210" t="str">
        <f t="shared" si="37"/>
        <v>Medium</v>
      </c>
      <c r="AR210" t="str">
        <f t="shared" si="38"/>
        <v>Medium</v>
      </c>
      <c r="AS210">
        <f t="shared" si="39"/>
        <v>0</v>
      </c>
    </row>
    <row r="211" spans="1:4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s="20">
        <v>9396</v>
      </c>
      <c r="T211">
        <v>12368</v>
      </c>
      <c r="U211">
        <v>7</v>
      </c>
      <c r="V211" t="s">
        <v>42</v>
      </c>
      <c r="W211" t="s">
        <v>43</v>
      </c>
      <c r="X211" s="19">
        <v>16</v>
      </c>
      <c r="Y211">
        <v>3</v>
      </c>
      <c r="Z211">
        <v>3</v>
      </c>
      <c r="AA211">
        <v>80</v>
      </c>
      <c r="AB211">
        <v>1</v>
      </c>
      <c r="AC211">
        <v>17</v>
      </c>
      <c r="AD211">
        <v>3</v>
      </c>
      <c r="AE211">
        <v>3</v>
      </c>
      <c r="AF211">
        <v>4</v>
      </c>
      <c r="AG211">
        <v>2</v>
      </c>
      <c r="AH211">
        <v>0</v>
      </c>
      <c r="AI211">
        <v>3</v>
      </c>
      <c r="AJ211">
        <f t="shared" si="30"/>
        <v>0</v>
      </c>
      <c r="AK211">
        <f t="shared" si="31"/>
        <v>0</v>
      </c>
      <c r="AL211">
        <f t="shared" si="32"/>
        <v>1</v>
      </c>
      <c r="AM211">
        <f t="shared" si="33"/>
        <v>2.75</v>
      </c>
      <c r="AN211">
        <f t="shared" si="34"/>
        <v>22550.400000000001</v>
      </c>
      <c r="AO211">
        <f t="shared" si="35"/>
        <v>0.22222222222222221</v>
      </c>
      <c r="AP211" t="str">
        <f t="shared" si="36"/>
        <v>40-49</v>
      </c>
      <c r="AQ211" t="str">
        <f t="shared" si="37"/>
        <v>Very High</v>
      </c>
      <c r="AR211" t="str">
        <f t="shared" si="38"/>
        <v>Short</v>
      </c>
      <c r="AS211">
        <f t="shared" si="39"/>
        <v>0</v>
      </c>
    </row>
    <row r="212" spans="1:45" x14ac:dyDescent="0.3">
      <c r="A212">
        <v>32</v>
      </c>
      <c r="B212" t="s">
        <v>35</v>
      </c>
      <c r="C212" t="s">
        <v>36</v>
      </c>
      <c r="D212">
        <v>1045</v>
      </c>
      <c r="E212" t="s">
        <v>37</v>
      </c>
      <c r="F212">
        <v>4</v>
      </c>
      <c r="G212">
        <v>4</v>
      </c>
      <c r="H212" t="s">
        <v>51</v>
      </c>
      <c r="I212">
        <v>1</v>
      </c>
      <c r="J212">
        <v>291</v>
      </c>
      <c r="K212">
        <v>4</v>
      </c>
      <c r="L212" t="s">
        <v>39</v>
      </c>
      <c r="M212">
        <v>32</v>
      </c>
      <c r="N212">
        <v>1</v>
      </c>
      <c r="O212">
        <v>3</v>
      </c>
      <c r="P212" t="s">
        <v>40</v>
      </c>
      <c r="Q212">
        <v>4</v>
      </c>
      <c r="R212" t="s">
        <v>48</v>
      </c>
      <c r="S212" s="20">
        <v>10400</v>
      </c>
      <c r="T212">
        <v>25812</v>
      </c>
      <c r="U212">
        <v>1</v>
      </c>
      <c r="V212" t="s">
        <v>42</v>
      </c>
      <c r="W212" t="s">
        <v>43</v>
      </c>
      <c r="X212" s="19">
        <v>11</v>
      </c>
      <c r="Y212">
        <v>3</v>
      </c>
      <c r="Z212">
        <v>3</v>
      </c>
      <c r="AA212">
        <v>80</v>
      </c>
      <c r="AB212">
        <v>0</v>
      </c>
      <c r="AC212">
        <v>14</v>
      </c>
      <c r="AD212">
        <v>2</v>
      </c>
      <c r="AE212">
        <v>2</v>
      </c>
      <c r="AF212">
        <v>14</v>
      </c>
      <c r="AG212">
        <v>8</v>
      </c>
      <c r="AH212">
        <v>9</v>
      </c>
      <c r="AI212">
        <v>8</v>
      </c>
      <c r="AJ212">
        <f t="shared" si="30"/>
        <v>1</v>
      </c>
      <c r="AK212">
        <f t="shared" si="31"/>
        <v>0</v>
      </c>
      <c r="AL212">
        <f t="shared" si="32"/>
        <v>0</v>
      </c>
      <c r="AM212">
        <f t="shared" si="33"/>
        <v>3.25</v>
      </c>
      <c r="AN212">
        <f t="shared" si="34"/>
        <v>8320</v>
      </c>
      <c r="AO212">
        <f t="shared" si="35"/>
        <v>0.93333333333333335</v>
      </c>
      <c r="AP212" t="str">
        <f t="shared" si="36"/>
        <v>30-39</v>
      </c>
      <c r="AQ212" t="str">
        <f t="shared" si="37"/>
        <v>Very High</v>
      </c>
      <c r="AR212" t="str">
        <f t="shared" si="38"/>
        <v>Short</v>
      </c>
      <c r="AS212">
        <f t="shared" si="39"/>
        <v>0</v>
      </c>
    </row>
    <row r="213" spans="1:4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s="20">
        <v>8474</v>
      </c>
      <c r="T213">
        <v>20925</v>
      </c>
      <c r="U213">
        <v>1</v>
      </c>
      <c r="V213" t="s">
        <v>42</v>
      </c>
      <c r="W213" t="s">
        <v>43</v>
      </c>
      <c r="X213" s="19">
        <v>22</v>
      </c>
      <c r="Y213">
        <v>4</v>
      </c>
      <c r="Z213">
        <v>3</v>
      </c>
      <c r="AA213">
        <v>80</v>
      </c>
      <c r="AB213">
        <v>0</v>
      </c>
      <c r="AC213">
        <v>12</v>
      </c>
      <c r="AD213">
        <v>2</v>
      </c>
      <c r="AE213">
        <v>3</v>
      </c>
      <c r="AF213">
        <v>11</v>
      </c>
      <c r="AG213">
        <v>8</v>
      </c>
      <c r="AH213">
        <v>5</v>
      </c>
      <c r="AI213">
        <v>8</v>
      </c>
      <c r="AJ213">
        <f t="shared" si="30"/>
        <v>0</v>
      </c>
      <c r="AK213">
        <f t="shared" si="31"/>
        <v>0</v>
      </c>
      <c r="AL213">
        <f t="shared" si="32"/>
        <v>1</v>
      </c>
      <c r="AM213">
        <f t="shared" si="33"/>
        <v>3</v>
      </c>
      <c r="AN213">
        <f t="shared" si="34"/>
        <v>8474</v>
      </c>
      <c r="AO213">
        <f t="shared" si="35"/>
        <v>0.84615384615384615</v>
      </c>
      <c r="AP213" t="str">
        <f t="shared" si="36"/>
        <v>30-39</v>
      </c>
      <c r="AQ213" t="str">
        <f t="shared" si="37"/>
        <v>Very High</v>
      </c>
      <c r="AR213" t="str">
        <f t="shared" si="38"/>
        <v>Short</v>
      </c>
      <c r="AS213">
        <f t="shared" si="39"/>
        <v>0</v>
      </c>
    </row>
    <row r="214" spans="1:4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s="20">
        <v>9981</v>
      </c>
      <c r="T214">
        <v>12916</v>
      </c>
      <c r="U214">
        <v>1</v>
      </c>
      <c r="V214" t="s">
        <v>42</v>
      </c>
      <c r="W214" t="s">
        <v>43</v>
      </c>
      <c r="X214" s="19">
        <v>14</v>
      </c>
      <c r="Y214">
        <v>3</v>
      </c>
      <c r="Z214">
        <v>4</v>
      </c>
      <c r="AA214">
        <v>80</v>
      </c>
      <c r="AB214">
        <v>0</v>
      </c>
      <c r="AC214">
        <v>7</v>
      </c>
      <c r="AD214">
        <v>2</v>
      </c>
      <c r="AE214">
        <v>3</v>
      </c>
      <c r="AF214">
        <v>7</v>
      </c>
      <c r="AG214">
        <v>7</v>
      </c>
      <c r="AH214">
        <v>0</v>
      </c>
      <c r="AI214">
        <v>7</v>
      </c>
      <c r="AJ214">
        <f t="shared" si="30"/>
        <v>0</v>
      </c>
      <c r="AK214">
        <f t="shared" si="31"/>
        <v>0</v>
      </c>
      <c r="AL214">
        <f t="shared" si="32"/>
        <v>0</v>
      </c>
      <c r="AM214">
        <f t="shared" si="33"/>
        <v>3.5</v>
      </c>
      <c r="AN214">
        <f t="shared" si="34"/>
        <v>14971.5</v>
      </c>
      <c r="AO214">
        <f t="shared" si="35"/>
        <v>0.875</v>
      </c>
      <c r="AP214" t="str">
        <f t="shared" si="36"/>
        <v>Under 30</v>
      </c>
      <c r="AQ214" t="str">
        <f t="shared" si="37"/>
        <v>Very High</v>
      </c>
      <c r="AR214" t="str">
        <f t="shared" si="38"/>
        <v>Long</v>
      </c>
      <c r="AS214">
        <f t="shared" si="39"/>
        <v>1</v>
      </c>
    </row>
    <row r="215" spans="1:4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s="20">
        <v>12490</v>
      </c>
      <c r="T215">
        <v>15736</v>
      </c>
      <c r="U215">
        <v>5</v>
      </c>
      <c r="V215" t="s">
        <v>42</v>
      </c>
      <c r="W215" t="s">
        <v>43</v>
      </c>
      <c r="X215" s="19">
        <v>16</v>
      </c>
      <c r="Y215">
        <v>3</v>
      </c>
      <c r="Z215">
        <v>4</v>
      </c>
      <c r="AA215">
        <v>80</v>
      </c>
      <c r="AB215">
        <v>2</v>
      </c>
      <c r="AC215">
        <v>16</v>
      </c>
      <c r="AD215">
        <v>5</v>
      </c>
      <c r="AE215">
        <v>1</v>
      </c>
      <c r="AF215">
        <v>10</v>
      </c>
      <c r="AG215">
        <v>9</v>
      </c>
      <c r="AH215">
        <v>4</v>
      </c>
      <c r="AI215">
        <v>7</v>
      </c>
      <c r="AJ215">
        <f t="shared" si="30"/>
        <v>0</v>
      </c>
      <c r="AK215">
        <f t="shared" si="31"/>
        <v>0</v>
      </c>
      <c r="AL215">
        <f t="shared" si="32"/>
        <v>1</v>
      </c>
      <c r="AM215">
        <f t="shared" si="33"/>
        <v>2.25</v>
      </c>
      <c r="AN215">
        <f t="shared" si="34"/>
        <v>13625.454545454546</v>
      </c>
      <c r="AO215">
        <f t="shared" si="35"/>
        <v>0.58823529411764708</v>
      </c>
      <c r="AP215" t="str">
        <f t="shared" si="36"/>
        <v>50+</v>
      </c>
      <c r="AQ215" t="str">
        <f t="shared" si="37"/>
        <v>Very High</v>
      </c>
      <c r="AR215" t="str">
        <f t="shared" si="38"/>
        <v>Medium</v>
      </c>
      <c r="AS215">
        <f t="shared" si="39"/>
        <v>0</v>
      </c>
    </row>
    <row r="216" spans="1:4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s="20">
        <v>2657</v>
      </c>
      <c r="T216">
        <v>8556</v>
      </c>
      <c r="U216">
        <v>5</v>
      </c>
      <c r="V216" t="s">
        <v>42</v>
      </c>
      <c r="W216" t="s">
        <v>35</v>
      </c>
      <c r="X216" s="19">
        <v>11</v>
      </c>
      <c r="Y216">
        <v>3</v>
      </c>
      <c r="Z216">
        <v>3</v>
      </c>
      <c r="AA216">
        <v>80</v>
      </c>
      <c r="AB216">
        <v>0</v>
      </c>
      <c r="AC216">
        <v>8</v>
      </c>
      <c r="AD216">
        <v>5</v>
      </c>
      <c r="AE216">
        <v>3</v>
      </c>
      <c r="AF216">
        <v>5</v>
      </c>
      <c r="AG216">
        <v>2</v>
      </c>
      <c r="AH216">
        <v>0</v>
      </c>
      <c r="AI216">
        <v>4</v>
      </c>
      <c r="AJ216">
        <f t="shared" si="30"/>
        <v>1</v>
      </c>
      <c r="AK216">
        <f t="shared" si="31"/>
        <v>1</v>
      </c>
      <c r="AL216">
        <f t="shared" si="32"/>
        <v>0</v>
      </c>
      <c r="AM216">
        <f t="shared" si="33"/>
        <v>2.75</v>
      </c>
      <c r="AN216">
        <f t="shared" si="34"/>
        <v>5314</v>
      </c>
      <c r="AO216">
        <f t="shared" si="35"/>
        <v>0.55555555555555558</v>
      </c>
      <c r="AP216" t="str">
        <f t="shared" si="36"/>
        <v>30-39</v>
      </c>
      <c r="AQ216" t="str">
        <f t="shared" si="37"/>
        <v>Low</v>
      </c>
      <c r="AR216" t="str">
        <f t="shared" si="38"/>
        <v>Short</v>
      </c>
      <c r="AS216">
        <f t="shared" si="39"/>
        <v>0</v>
      </c>
    </row>
    <row r="217" spans="1:4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s="20">
        <v>13591</v>
      </c>
      <c r="T217">
        <v>14674</v>
      </c>
      <c r="U217">
        <v>3</v>
      </c>
      <c r="V217" t="s">
        <v>42</v>
      </c>
      <c r="W217" t="s">
        <v>35</v>
      </c>
      <c r="X217" s="19">
        <v>18</v>
      </c>
      <c r="Y217">
        <v>3</v>
      </c>
      <c r="Z217">
        <v>3</v>
      </c>
      <c r="AA217">
        <v>80</v>
      </c>
      <c r="AB217">
        <v>0</v>
      </c>
      <c r="AC217">
        <v>16</v>
      </c>
      <c r="AD217">
        <v>3</v>
      </c>
      <c r="AE217">
        <v>3</v>
      </c>
      <c r="AF217">
        <v>1</v>
      </c>
      <c r="AG217">
        <v>0</v>
      </c>
      <c r="AH217">
        <v>0</v>
      </c>
      <c r="AI217">
        <v>0</v>
      </c>
      <c r="AJ217">
        <f t="shared" si="30"/>
        <v>0</v>
      </c>
      <c r="AK217">
        <f t="shared" si="31"/>
        <v>1</v>
      </c>
      <c r="AL217">
        <f t="shared" si="32"/>
        <v>0</v>
      </c>
      <c r="AM217">
        <f t="shared" si="33"/>
        <v>3.5</v>
      </c>
      <c r="AN217">
        <f t="shared" si="34"/>
        <v>81546</v>
      </c>
      <c r="AO217">
        <f t="shared" si="35"/>
        <v>5.8823529411764705E-2</v>
      </c>
      <c r="AP217" t="str">
        <f t="shared" si="36"/>
        <v>40-49</v>
      </c>
      <c r="AQ217" t="str">
        <f t="shared" si="37"/>
        <v>Very High</v>
      </c>
      <c r="AR217" t="str">
        <f t="shared" si="38"/>
        <v>Medium</v>
      </c>
      <c r="AS217">
        <f t="shared" si="39"/>
        <v>0</v>
      </c>
    </row>
    <row r="218" spans="1:4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s="20">
        <v>6696</v>
      </c>
      <c r="T218">
        <v>22967</v>
      </c>
      <c r="U218">
        <v>5</v>
      </c>
      <c r="V218" t="s">
        <v>42</v>
      </c>
      <c r="W218" t="s">
        <v>43</v>
      </c>
      <c r="X218" s="19">
        <v>15</v>
      </c>
      <c r="Y218">
        <v>3</v>
      </c>
      <c r="Z218">
        <v>3</v>
      </c>
      <c r="AA218">
        <v>80</v>
      </c>
      <c r="AB218">
        <v>0</v>
      </c>
      <c r="AC218">
        <v>9</v>
      </c>
      <c r="AD218">
        <v>5</v>
      </c>
      <c r="AE218">
        <v>2</v>
      </c>
      <c r="AF218">
        <v>6</v>
      </c>
      <c r="AG218">
        <v>3</v>
      </c>
      <c r="AH218">
        <v>0</v>
      </c>
      <c r="AI218">
        <v>1</v>
      </c>
      <c r="AJ218">
        <f t="shared" si="30"/>
        <v>1</v>
      </c>
      <c r="AK218">
        <f t="shared" si="31"/>
        <v>0</v>
      </c>
      <c r="AL218">
        <f t="shared" si="32"/>
        <v>0</v>
      </c>
      <c r="AM218">
        <f t="shared" si="33"/>
        <v>2.25</v>
      </c>
      <c r="AN218">
        <f t="shared" si="34"/>
        <v>11478.857142857143</v>
      </c>
      <c r="AO218">
        <f t="shared" si="35"/>
        <v>0.6</v>
      </c>
      <c r="AP218" t="str">
        <f t="shared" si="36"/>
        <v>30-39</v>
      </c>
      <c r="AQ218" t="str">
        <f t="shared" si="37"/>
        <v>High</v>
      </c>
      <c r="AR218" t="str">
        <f t="shared" si="38"/>
        <v>Long</v>
      </c>
      <c r="AS218">
        <f t="shared" si="39"/>
        <v>1</v>
      </c>
    </row>
    <row r="219" spans="1:4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s="20">
        <v>2058</v>
      </c>
      <c r="T219">
        <v>19757</v>
      </c>
      <c r="U219">
        <v>0</v>
      </c>
      <c r="V219" t="s">
        <v>42</v>
      </c>
      <c r="W219" t="s">
        <v>43</v>
      </c>
      <c r="X219" s="19">
        <v>14</v>
      </c>
      <c r="Y219">
        <v>3</v>
      </c>
      <c r="Z219">
        <v>4</v>
      </c>
      <c r="AA219">
        <v>80</v>
      </c>
      <c r="AB219">
        <v>0</v>
      </c>
      <c r="AC219">
        <v>7</v>
      </c>
      <c r="AD219">
        <v>1</v>
      </c>
      <c r="AE219">
        <v>2</v>
      </c>
      <c r="AF219">
        <v>6</v>
      </c>
      <c r="AG219">
        <v>2</v>
      </c>
      <c r="AH219">
        <v>1</v>
      </c>
      <c r="AI219">
        <v>5</v>
      </c>
      <c r="AJ219">
        <f t="shared" si="30"/>
        <v>1</v>
      </c>
      <c r="AK219">
        <f t="shared" si="31"/>
        <v>0</v>
      </c>
      <c r="AL219">
        <f t="shared" si="32"/>
        <v>1</v>
      </c>
      <c r="AM219">
        <f t="shared" si="33"/>
        <v>3</v>
      </c>
      <c r="AN219">
        <f t="shared" si="34"/>
        <v>3528</v>
      </c>
      <c r="AO219">
        <f t="shared" si="35"/>
        <v>0.75</v>
      </c>
      <c r="AP219" t="str">
        <f t="shared" si="36"/>
        <v>Under 30</v>
      </c>
      <c r="AQ219" t="str">
        <f t="shared" si="37"/>
        <v>Low</v>
      </c>
      <c r="AR219" t="str">
        <f t="shared" si="38"/>
        <v>Short</v>
      </c>
      <c r="AS219">
        <f t="shared" si="39"/>
        <v>0</v>
      </c>
    </row>
    <row r="220" spans="1:4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s="20">
        <v>8865</v>
      </c>
      <c r="T220">
        <v>16840</v>
      </c>
      <c r="U220">
        <v>6</v>
      </c>
      <c r="V220" t="s">
        <v>42</v>
      </c>
      <c r="W220" t="s">
        <v>43</v>
      </c>
      <c r="X220" s="19">
        <v>12</v>
      </c>
      <c r="Y220">
        <v>3</v>
      </c>
      <c r="Z220">
        <v>4</v>
      </c>
      <c r="AA220">
        <v>80</v>
      </c>
      <c r="AB220">
        <v>0</v>
      </c>
      <c r="AC220">
        <v>23</v>
      </c>
      <c r="AD220">
        <v>2</v>
      </c>
      <c r="AE220">
        <v>3</v>
      </c>
      <c r="AF220">
        <v>19</v>
      </c>
      <c r="AG220">
        <v>7</v>
      </c>
      <c r="AH220">
        <v>12</v>
      </c>
      <c r="AI220">
        <v>8</v>
      </c>
      <c r="AJ220">
        <f t="shared" si="30"/>
        <v>0</v>
      </c>
      <c r="AK220">
        <f t="shared" si="31"/>
        <v>0</v>
      </c>
      <c r="AL220">
        <f t="shared" si="32"/>
        <v>0</v>
      </c>
      <c r="AM220">
        <f t="shared" si="33"/>
        <v>3.75</v>
      </c>
      <c r="AN220">
        <f t="shared" si="34"/>
        <v>5319</v>
      </c>
      <c r="AO220">
        <f t="shared" si="35"/>
        <v>0.79166666666666663</v>
      </c>
      <c r="AP220" t="str">
        <f t="shared" si="36"/>
        <v>40-49</v>
      </c>
      <c r="AQ220" t="str">
        <f t="shared" si="37"/>
        <v>Very High</v>
      </c>
      <c r="AR220" t="str">
        <f t="shared" si="38"/>
        <v>Medium</v>
      </c>
      <c r="AS220">
        <f t="shared" si="39"/>
        <v>0</v>
      </c>
    </row>
    <row r="221" spans="1:4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s="20">
        <v>5940</v>
      </c>
      <c r="T221">
        <v>17011</v>
      </c>
      <c r="U221">
        <v>2</v>
      </c>
      <c r="V221" t="s">
        <v>42</v>
      </c>
      <c r="W221" t="s">
        <v>43</v>
      </c>
      <c r="X221" s="19">
        <v>14</v>
      </c>
      <c r="Y221">
        <v>3</v>
      </c>
      <c r="Z221">
        <v>4</v>
      </c>
      <c r="AA221">
        <v>80</v>
      </c>
      <c r="AB221">
        <v>1</v>
      </c>
      <c r="AC221">
        <v>16</v>
      </c>
      <c r="AD221">
        <v>4</v>
      </c>
      <c r="AE221">
        <v>3</v>
      </c>
      <c r="AF221">
        <v>6</v>
      </c>
      <c r="AG221">
        <v>2</v>
      </c>
      <c r="AH221">
        <v>0</v>
      </c>
      <c r="AI221">
        <v>5</v>
      </c>
      <c r="AJ221">
        <f t="shared" si="30"/>
        <v>0</v>
      </c>
      <c r="AK221">
        <f t="shared" si="31"/>
        <v>0</v>
      </c>
      <c r="AL221">
        <f t="shared" si="32"/>
        <v>0</v>
      </c>
      <c r="AM221">
        <f t="shared" si="33"/>
        <v>3</v>
      </c>
      <c r="AN221">
        <f t="shared" si="34"/>
        <v>10182.857142857143</v>
      </c>
      <c r="AO221">
        <f t="shared" si="35"/>
        <v>0.35294117647058826</v>
      </c>
      <c r="AP221" t="str">
        <f t="shared" si="36"/>
        <v>50+</v>
      </c>
      <c r="AQ221" t="str">
        <f t="shared" si="37"/>
        <v>High</v>
      </c>
      <c r="AR221" t="str">
        <f t="shared" si="38"/>
        <v>Short</v>
      </c>
      <c r="AS221">
        <f t="shared" si="39"/>
        <v>0</v>
      </c>
    </row>
    <row r="222" spans="1:4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s="20">
        <v>5914</v>
      </c>
      <c r="T222">
        <v>9945</v>
      </c>
      <c r="U222">
        <v>8</v>
      </c>
      <c r="V222" t="s">
        <v>42</v>
      </c>
      <c r="W222" t="s">
        <v>35</v>
      </c>
      <c r="X222" s="19">
        <v>16</v>
      </c>
      <c r="Y222">
        <v>3</v>
      </c>
      <c r="Z222">
        <v>4</v>
      </c>
      <c r="AA222">
        <v>80</v>
      </c>
      <c r="AB222">
        <v>0</v>
      </c>
      <c r="AC222">
        <v>16</v>
      </c>
      <c r="AD222">
        <v>3</v>
      </c>
      <c r="AE222">
        <v>4</v>
      </c>
      <c r="AF222">
        <v>13</v>
      </c>
      <c r="AG222">
        <v>11</v>
      </c>
      <c r="AH222">
        <v>3</v>
      </c>
      <c r="AI222">
        <v>7</v>
      </c>
      <c r="AJ222">
        <f t="shared" si="30"/>
        <v>0</v>
      </c>
      <c r="AK222">
        <f t="shared" si="31"/>
        <v>1</v>
      </c>
      <c r="AL222">
        <f t="shared" si="32"/>
        <v>1</v>
      </c>
      <c r="AM222">
        <f t="shared" si="33"/>
        <v>3.5</v>
      </c>
      <c r="AN222">
        <f t="shared" si="34"/>
        <v>5069.1428571428569</v>
      </c>
      <c r="AO222">
        <f t="shared" si="35"/>
        <v>0.76470588235294112</v>
      </c>
      <c r="AP222" t="str">
        <f t="shared" si="36"/>
        <v>30-39</v>
      </c>
      <c r="AQ222" t="str">
        <f t="shared" si="37"/>
        <v>High</v>
      </c>
      <c r="AR222" t="str">
        <f t="shared" si="38"/>
        <v>Short</v>
      </c>
      <c r="AS222">
        <f t="shared" si="39"/>
        <v>0</v>
      </c>
    </row>
    <row r="223" spans="1:4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s="20">
        <v>2622</v>
      </c>
      <c r="T223">
        <v>13248</v>
      </c>
      <c r="U223">
        <v>6</v>
      </c>
      <c r="V223" t="s">
        <v>42</v>
      </c>
      <c r="W223" t="s">
        <v>43</v>
      </c>
      <c r="X223" s="19">
        <v>21</v>
      </c>
      <c r="Y223">
        <v>4</v>
      </c>
      <c r="Z223">
        <v>4</v>
      </c>
      <c r="AA223">
        <v>80</v>
      </c>
      <c r="AB223">
        <v>0</v>
      </c>
      <c r="AC223">
        <v>7</v>
      </c>
      <c r="AD223">
        <v>3</v>
      </c>
      <c r="AE223">
        <v>3</v>
      </c>
      <c r="AF223">
        <v>3</v>
      </c>
      <c r="AG223">
        <v>2</v>
      </c>
      <c r="AH223">
        <v>1</v>
      </c>
      <c r="AI223">
        <v>1</v>
      </c>
      <c r="AJ223">
        <f t="shared" si="30"/>
        <v>0</v>
      </c>
      <c r="AK223">
        <f t="shared" si="31"/>
        <v>0</v>
      </c>
      <c r="AL223">
        <f t="shared" si="32"/>
        <v>0</v>
      </c>
      <c r="AM223">
        <f t="shared" si="33"/>
        <v>3</v>
      </c>
      <c r="AN223">
        <f t="shared" si="34"/>
        <v>7866</v>
      </c>
      <c r="AO223">
        <f t="shared" si="35"/>
        <v>0.375</v>
      </c>
      <c r="AP223" t="str">
        <f t="shared" si="36"/>
        <v>30-39</v>
      </c>
      <c r="AQ223" t="str">
        <f t="shared" si="37"/>
        <v>Low</v>
      </c>
      <c r="AR223" t="str">
        <f t="shared" si="38"/>
        <v>Short</v>
      </c>
      <c r="AS223">
        <f t="shared" si="39"/>
        <v>0</v>
      </c>
    </row>
    <row r="224" spans="1:4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s="20">
        <v>12185</v>
      </c>
      <c r="T224">
        <v>10056</v>
      </c>
      <c r="U224">
        <v>1</v>
      </c>
      <c r="V224" t="s">
        <v>42</v>
      </c>
      <c r="W224" t="s">
        <v>35</v>
      </c>
      <c r="X224" s="19">
        <v>14</v>
      </c>
      <c r="Y224">
        <v>3</v>
      </c>
      <c r="Z224">
        <v>3</v>
      </c>
      <c r="AA224">
        <v>80</v>
      </c>
      <c r="AB224">
        <v>3</v>
      </c>
      <c r="AC224">
        <v>10</v>
      </c>
      <c r="AD224">
        <v>1</v>
      </c>
      <c r="AE224">
        <v>3</v>
      </c>
      <c r="AF224">
        <v>10</v>
      </c>
      <c r="AG224">
        <v>8</v>
      </c>
      <c r="AH224">
        <v>0</v>
      </c>
      <c r="AI224">
        <v>7</v>
      </c>
      <c r="AJ224">
        <f t="shared" si="30"/>
        <v>0</v>
      </c>
      <c r="AK224">
        <f t="shared" si="31"/>
        <v>1</v>
      </c>
      <c r="AL224">
        <f t="shared" si="32"/>
        <v>1</v>
      </c>
      <c r="AM224">
        <f t="shared" si="33"/>
        <v>3</v>
      </c>
      <c r="AN224">
        <f t="shared" si="34"/>
        <v>13292.727272727272</v>
      </c>
      <c r="AO224">
        <f t="shared" si="35"/>
        <v>0.90909090909090906</v>
      </c>
      <c r="AP224" t="str">
        <f t="shared" si="36"/>
        <v>30-39</v>
      </c>
      <c r="AQ224" t="str">
        <f t="shared" si="37"/>
        <v>Very High</v>
      </c>
      <c r="AR224" t="str">
        <f t="shared" si="38"/>
        <v>Medium</v>
      </c>
      <c r="AS224">
        <f t="shared" si="39"/>
        <v>1</v>
      </c>
    </row>
    <row r="225" spans="1:4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s="20">
        <v>10609</v>
      </c>
      <c r="T225">
        <v>9647</v>
      </c>
      <c r="U225">
        <v>0</v>
      </c>
      <c r="V225" t="s">
        <v>42</v>
      </c>
      <c r="W225" t="s">
        <v>43</v>
      </c>
      <c r="X225" s="19">
        <v>12</v>
      </c>
      <c r="Y225">
        <v>3</v>
      </c>
      <c r="Z225">
        <v>3</v>
      </c>
      <c r="AA225">
        <v>80</v>
      </c>
      <c r="AB225">
        <v>2</v>
      </c>
      <c r="AC225">
        <v>17</v>
      </c>
      <c r="AD225">
        <v>6</v>
      </c>
      <c r="AE225">
        <v>2</v>
      </c>
      <c r="AF225">
        <v>16</v>
      </c>
      <c r="AG225">
        <v>10</v>
      </c>
      <c r="AH225">
        <v>5</v>
      </c>
      <c r="AI225">
        <v>13</v>
      </c>
      <c r="AJ225">
        <f t="shared" si="30"/>
        <v>0</v>
      </c>
      <c r="AK225">
        <f t="shared" si="31"/>
        <v>0</v>
      </c>
      <c r="AL225">
        <f t="shared" si="32"/>
        <v>1</v>
      </c>
      <c r="AM225">
        <f t="shared" si="33"/>
        <v>2.25</v>
      </c>
      <c r="AN225">
        <f t="shared" si="34"/>
        <v>7488.7058823529414</v>
      </c>
      <c r="AO225">
        <f t="shared" si="35"/>
        <v>0.88888888888888884</v>
      </c>
      <c r="AP225" t="str">
        <f t="shared" si="36"/>
        <v>30-39</v>
      </c>
      <c r="AQ225" t="str">
        <f t="shared" si="37"/>
        <v>Very High</v>
      </c>
      <c r="AR225" t="str">
        <f t="shared" si="38"/>
        <v>Short</v>
      </c>
      <c r="AS225">
        <f t="shared" si="39"/>
        <v>0</v>
      </c>
    </row>
    <row r="226" spans="1:4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s="20">
        <v>4345</v>
      </c>
      <c r="T226">
        <v>4381</v>
      </c>
      <c r="U226">
        <v>0</v>
      </c>
      <c r="V226" t="s">
        <v>42</v>
      </c>
      <c r="W226" t="s">
        <v>43</v>
      </c>
      <c r="X226" s="19">
        <v>12</v>
      </c>
      <c r="Y226">
        <v>3</v>
      </c>
      <c r="Z226">
        <v>4</v>
      </c>
      <c r="AA226">
        <v>80</v>
      </c>
      <c r="AB226">
        <v>1</v>
      </c>
      <c r="AC226">
        <v>6</v>
      </c>
      <c r="AD226">
        <v>2</v>
      </c>
      <c r="AE226">
        <v>3</v>
      </c>
      <c r="AF226">
        <v>5</v>
      </c>
      <c r="AG226">
        <v>4</v>
      </c>
      <c r="AH226">
        <v>1</v>
      </c>
      <c r="AI226">
        <v>4</v>
      </c>
      <c r="AJ226">
        <f t="shared" si="30"/>
        <v>0</v>
      </c>
      <c r="AK226">
        <f t="shared" si="31"/>
        <v>0</v>
      </c>
      <c r="AL226">
        <f t="shared" si="32"/>
        <v>1</v>
      </c>
      <c r="AM226">
        <f t="shared" si="33"/>
        <v>3.25</v>
      </c>
      <c r="AN226">
        <f t="shared" si="34"/>
        <v>8690</v>
      </c>
      <c r="AO226">
        <f t="shared" si="35"/>
        <v>0.7142857142857143</v>
      </c>
      <c r="AP226" t="str">
        <f t="shared" si="36"/>
        <v>30-39</v>
      </c>
      <c r="AQ226" t="str">
        <f t="shared" si="37"/>
        <v>Medium</v>
      </c>
      <c r="AR226" t="str">
        <f t="shared" si="38"/>
        <v>Short</v>
      </c>
      <c r="AS226">
        <f t="shared" si="39"/>
        <v>0</v>
      </c>
    </row>
    <row r="227" spans="1:4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s="20">
        <v>2177</v>
      </c>
      <c r="T227">
        <v>8456</v>
      </c>
      <c r="U227">
        <v>3</v>
      </c>
      <c r="V227" t="s">
        <v>42</v>
      </c>
      <c r="W227" t="s">
        <v>43</v>
      </c>
      <c r="X227" s="19">
        <v>17</v>
      </c>
      <c r="Y227">
        <v>3</v>
      </c>
      <c r="Z227">
        <v>1</v>
      </c>
      <c r="AA227">
        <v>80</v>
      </c>
      <c r="AB227">
        <v>1</v>
      </c>
      <c r="AC227">
        <v>7</v>
      </c>
      <c r="AD227">
        <v>6</v>
      </c>
      <c r="AE227">
        <v>3</v>
      </c>
      <c r="AF227">
        <v>1</v>
      </c>
      <c r="AG227">
        <v>0</v>
      </c>
      <c r="AH227">
        <v>0</v>
      </c>
      <c r="AI227">
        <v>0</v>
      </c>
      <c r="AJ227">
        <f t="shared" si="30"/>
        <v>0</v>
      </c>
      <c r="AK227">
        <f t="shared" si="31"/>
        <v>0</v>
      </c>
      <c r="AL227">
        <f t="shared" si="32"/>
        <v>1</v>
      </c>
      <c r="AM227">
        <f t="shared" si="33"/>
        <v>2.75</v>
      </c>
      <c r="AN227">
        <f t="shared" si="34"/>
        <v>13062</v>
      </c>
      <c r="AO227">
        <f t="shared" si="35"/>
        <v>0.125</v>
      </c>
      <c r="AP227" t="str">
        <f t="shared" si="36"/>
        <v>50+</v>
      </c>
      <c r="AQ227" t="str">
        <f t="shared" si="37"/>
        <v>Low</v>
      </c>
      <c r="AR227" t="str">
        <f t="shared" si="38"/>
        <v>Short</v>
      </c>
      <c r="AS227">
        <f t="shared" si="39"/>
        <v>0</v>
      </c>
    </row>
    <row r="228" spans="1:4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s="20">
        <v>2793</v>
      </c>
      <c r="T228">
        <v>2539</v>
      </c>
      <c r="U228">
        <v>4</v>
      </c>
      <c r="V228" t="s">
        <v>42</v>
      </c>
      <c r="W228" t="s">
        <v>43</v>
      </c>
      <c r="X228" s="19">
        <v>17</v>
      </c>
      <c r="Y228">
        <v>3</v>
      </c>
      <c r="Z228">
        <v>3</v>
      </c>
      <c r="AA228">
        <v>80</v>
      </c>
      <c r="AB228">
        <v>1</v>
      </c>
      <c r="AC228">
        <v>13</v>
      </c>
      <c r="AD228">
        <v>2</v>
      </c>
      <c r="AE228">
        <v>3</v>
      </c>
      <c r="AF228">
        <v>9</v>
      </c>
      <c r="AG228">
        <v>8</v>
      </c>
      <c r="AH228">
        <v>5</v>
      </c>
      <c r="AI228">
        <v>8</v>
      </c>
      <c r="AJ228">
        <f t="shared" si="30"/>
        <v>0</v>
      </c>
      <c r="AK228">
        <f t="shared" si="31"/>
        <v>0</v>
      </c>
      <c r="AL228">
        <f t="shared" si="32"/>
        <v>1</v>
      </c>
      <c r="AM228">
        <f t="shared" si="33"/>
        <v>2.75</v>
      </c>
      <c r="AN228">
        <f t="shared" si="34"/>
        <v>3351.6</v>
      </c>
      <c r="AO228">
        <f t="shared" si="35"/>
        <v>0.6428571428571429</v>
      </c>
      <c r="AP228" t="str">
        <f t="shared" si="36"/>
        <v>30-39</v>
      </c>
      <c r="AQ228" t="str">
        <f t="shared" si="37"/>
        <v>Low</v>
      </c>
      <c r="AR228" t="str">
        <f t="shared" si="38"/>
        <v>Short</v>
      </c>
      <c r="AS228">
        <f t="shared" si="39"/>
        <v>1</v>
      </c>
    </row>
    <row r="229" spans="1:4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s="20">
        <v>7918</v>
      </c>
      <c r="T229">
        <v>6599</v>
      </c>
      <c r="U229">
        <v>1</v>
      </c>
      <c r="V229" t="s">
        <v>42</v>
      </c>
      <c r="W229" t="s">
        <v>43</v>
      </c>
      <c r="X229" s="19">
        <v>14</v>
      </c>
      <c r="Y229">
        <v>3</v>
      </c>
      <c r="Z229">
        <v>4</v>
      </c>
      <c r="AA229">
        <v>80</v>
      </c>
      <c r="AB229">
        <v>1</v>
      </c>
      <c r="AC229">
        <v>11</v>
      </c>
      <c r="AD229">
        <v>5</v>
      </c>
      <c r="AE229">
        <v>3</v>
      </c>
      <c r="AF229">
        <v>11</v>
      </c>
      <c r="AG229">
        <v>10</v>
      </c>
      <c r="AH229">
        <v>4</v>
      </c>
      <c r="AI229">
        <v>1</v>
      </c>
      <c r="AJ229">
        <f t="shared" si="30"/>
        <v>0</v>
      </c>
      <c r="AK229">
        <f t="shared" si="31"/>
        <v>0</v>
      </c>
      <c r="AL229">
        <f t="shared" si="32"/>
        <v>0</v>
      </c>
      <c r="AM229">
        <f t="shared" si="33"/>
        <v>3.25</v>
      </c>
      <c r="AN229">
        <f t="shared" si="34"/>
        <v>7918</v>
      </c>
      <c r="AO229">
        <f t="shared" si="35"/>
        <v>0.91666666666666663</v>
      </c>
      <c r="AP229" t="str">
        <f t="shared" si="36"/>
        <v>Under 30</v>
      </c>
      <c r="AQ229" t="str">
        <f t="shared" si="37"/>
        <v>High</v>
      </c>
      <c r="AR229" t="str">
        <f t="shared" si="38"/>
        <v>Short</v>
      </c>
      <c r="AS229">
        <f t="shared" si="39"/>
        <v>1</v>
      </c>
    </row>
    <row r="230" spans="1:4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s="20">
        <v>8789</v>
      </c>
      <c r="T230">
        <v>9096</v>
      </c>
      <c r="U230">
        <v>1</v>
      </c>
      <c r="V230" t="s">
        <v>42</v>
      </c>
      <c r="W230" t="s">
        <v>43</v>
      </c>
      <c r="X230" s="19">
        <v>14</v>
      </c>
      <c r="Y230">
        <v>3</v>
      </c>
      <c r="Z230">
        <v>1</v>
      </c>
      <c r="AA230">
        <v>80</v>
      </c>
      <c r="AB230">
        <v>0</v>
      </c>
      <c r="AC230">
        <v>10</v>
      </c>
      <c r="AD230">
        <v>3</v>
      </c>
      <c r="AE230">
        <v>4</v>
      </c>
      <c r="AF230">
        <v>10</v>
      </c>
      <c r="AG230">
        <v>7</v>
      </c>
      <c r="AH230">
        <v>0</v>
      </c>
      <c r="AI230">
        <v>8</v>
      </c>
      <c r="AJ230">
        <f t="shared" si="30"/>
        <v>0</v>
      </c>
      <c r="AK230">
        <f t="shared" si="31"/>
        <v>0</v>
      </c>
      <c r="AL230">
        <f t="shared" si="32"/>
        <v>0</v>
      </c>
      <c r="AM230">
        <f t="shared" si="33"/>
        <v>2.75</v>
      </c>
      <c r="AN230">
        <f t="shared" si="34"/>
        <v>9588</v>
      </c>
      <c r="AO230">
        <f t="shared" si="35"/>
        <v>0.90909090909090906</v>
      </c>
      <c r="AP230" t="str">
        <f t="shared" si="36"/>
        <v>30-39</v>
      </c>
      <c r="AQ230" t="str">
        <f t="shared" si="37"/>
        <v>Very High</v>
      </c>
      <c r="AR230" t="str">
        <f t="shared" si="38"/>
        <v>Short</v>
      </c>
      <c r="AS230">
        <f t="shared" si="39"/>
        <v>1</v>
      </c>
    </row>
    <row r="231" spans="1:4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s="20">
        <v>2389</v>
      </c>
      <c r="T231">
        <v>14961</v>
      </c>
      <c r="U231">
        <v>1</v>
      </c>
      <c r="V231" t="s">
        <v>42</v>
      </c>
      <c r="W231" t="s">
        <v>35</v>
      </c>
      <c r="X231" s="19">
        <v>13</v>
      </c>
      <c r="Y231">
        <v>3</v>
      </c>
      <c r="Z231">
        <v>3</v>
      </c>
      <c r="AA231">
        <v>80</v>
      </c>
      <c r="AB231">
        <v>0</v>
      </c>
      <c r="AC231">
        <v>4</v>
      </c>
      <c r="AD231">
        <v>3</v>
      </c>
      <c r="AE231">
        <v>2</v>
      </c>
      <c r="AF231">
        <v>4</v>
      </c>
      <c r="AG231">
        <v>3</v>
      </c>
      <c r="AH231">
        <v>0</v>
      </c>
      <c r="AI231">
        <v>1</v>
      </c>
      <c r="AJ231">
        <f t="shared" si="30"/>
        <v>1</v>
      </c>
      <c r="AK231">
        <f t="shared" si="31"/>
        <v>1</v>
      </c>
      <c r="AL231">
        <f t="shared" si="32"/>
        <v>1</v>
      </c>
      <c r="AM231">
        <f t="shared" si="33"/>
        <v>3</v>
      </c>
      <c r="AN231">
        <f t="shared" si="34"/>
        <v>5733.6</v>
      </c>
      <c r="AO231">
        <f t="shared" si="35"/>
        <v>0.8</v>
      </c>
      <c r="AP231" t="str">
        <f t="shared" si="36"/>
        <v>Under 30</v>
      </c>
      <c r="AQ231" t="str">
        <f t="shared" si="37"/>
        <v>Low</v>
      </c>
      <c r="AR231" t="str">
        <f t="shared" si="38"/>
        <v>Long</v>
      </c>
      <c r="AS231">
        <f t="shared" si="39"/>
        <v>0</v>
      </c>
    </row>
    <row r="232" spans="1:4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48</v>
      </c>
      <c r="S232" s="20">
        <v>2674</v>
      </c>
      <c r="T232">
        <v>3300</v>
      </c>
      <c r="U232">
        <v>7</v>
      </c>
      <c r="V232" t="s">
        <v>42</v>
      </c>
      <c r="W232" t="s">
        <v>43</v>
      </c>
      <c r="X232" s="19">
        <v>15</v>
      </c>
      <c r="Y232">
        <v>3</v>
      </c>
      <c r="Z232">
        <v>2</v>
      </c>
      <c r="AA232">
        <v>80</v>
      </c>
      <c r="AB232">
        <v>0</v>
      </c>
      <c r="AC232">
        <v>6</v>
      </c>
      <c r="AD232">
        <v>3</v>
      </c>
      <c r="AE232">
        <v>2</v>
      </c>
      <c r="AF232">
        <v>2</v>
      </c>
      <c r="AG232">
        <v>2</v>
      </c>
      <c r="AH232">
        <v>2</v>
      </c>
      <c r="AI232">
        <v>2</v>
      </c>
      <c r="AJ232">
        <f t="shared" si="30"/>
        <v>0</v>
      </c>
      <c r="AK232">
        <f t="shared" si="31"/>
        <v>0</v>
      </c>
      <c r="AL232">
        <f t="shared" si="32"/>
        <v>0</v>
      </c>
      <c r="AM232">
        <f t="shared" si="33"/>
        <v>2.75</v>
      </c>
      <c r="AN232">
        <f t="shared" si="34"/>
        <v>10696</v>
      </c>
      <c r="AO232">
        <f t="shared" si="35"/>
        <v>0.2857142857142857</v>
      </c>
      <c r="AP232" t="str">
        <f t="shared" si="36"/>
        <v>50+</v>
      </c>
      <c r="AQ232" t="str">
        <f t="shared" si="37"/>
        <v>Low</v>
      </c>
      <c r="AR232" t="str">
        <f t="shared" si="38"/>
        <v>Short</v>
      </c>
      <c r="AS232">
        <f t="shared" si="39"/>
        <v>0</v>
      </c>
    </row>
    <row r="233" spans="1:4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s="20">
        <v>19232</v>
      </c>
      <c r="T233">
        <v>4933</v>
      </c>
      <c r="U233">
        <v>1</v>
      </c>
      <c r="V233" t="s">
        <v>42</v>
      </c>
      <c r="W233" t="s">
        <v>43</v>
      </c>
      <c r="X233" s="19">
        <v>11</v>
      </c>
      <c r="Y233">
        <v>3</v>
      </c>
      <c r="Z233">
        <v>4</v>
      </c>
      <c r="AA233">
        <v>80</v>
      </c>
      <c r="AB233">
        <v>0</v>
      </c>
      <c r="AC233">
        <v>22</v>
      </c>
      <c r="AD233">
        <v>3</v>
      </c>
      <c r="AE233">
        <v>3</v>
      </c>
      <c r="AF233">
        <v>22</v>
      </c>
      <c r="AG233">
        <v>17</v>
      </c>
      <c r="AH233">
        <v>11</v>
      </c>
      <c r="AI233">
        <v>15</v>
      </c>
      <c r="AJ233">
        <f t="shared" si="30"/>
        <v>0</v>
      </c>
      <c r="AK233">
        <f t="shared" si="31"/>
        <v>0</v>
      </c>
      <c r="AL233">
        <f t="shared" si="32"/>
        <v>1</v>
      </c>
      <c r="AM233">
        <f t="shared" si="33"/>
        <v>3.5</v>
      </c>
      <c r="AN233">
        <f t="shared" si="34"/>
        <v>10034.08695652174</v>
      </c>
      <c r="AO233">
        <f t="shared" si="35"/>
        <v>0.95652173913043481</v>
      </c>
      <c r="AP233" t="str">
        <f t="shared" si="36"/>
        <v>40-49</v>
      </c>
      <c r="AQ233" t="str">
        <f t="shared" si="37"/>
        <v>Very High</v>
      </c>
      <c r="AR233" t="str">
        <f t="shared" si="38"/>
        <v>Short</v>
      </c>
      <c r="AS233">
        <f t="shared" si="39"/>
        <v>0</v>
      </c>
    </row>
    <row r="234" spans="1:4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s="20">
        <v>2267</v>
      </c>
      <c r="T234">
        <v>25657</v>
      </c>
      <c r="U234">
        <v>8</v>
      </c>
      <c r="V234" t="s">
        <v>42</v>
      </c>
      <c r="W234" t="s">
        <v>43</v>
      </c>
      <c r="X234" s="19">
        <v>17</v>
      </c>
      <c r="Y234">
        <v>3</v>
      </c>
      <c r="Z234">
        <v>4</v>
      </c>
      <c r="AA234">
        <v>80</v>
      </c>
      <c r="AB234">
        <v>0</v>
      </c>
      <c r="AC234">
        <v>7</v>
      </c>
      <c r="AD234">
        <v>2</v>
      </c>
      <c r="AE234">
        <v>2</v>
      </c>
      <c r="AF234">
        <v>2</v>
      </c>
      <c r="AG234">
        <v>2</v>
      </c>
      <c r="AH234">
        <v>2</v>
      </c>
      <c r="AI234">
        <v>2</v>
      </c>
      <c r="AJ234">
        <f t="shared" si="30"/>
        <v>0</v>
      </c>
      <c r="AK234">
        <f t="shared" si="31"/>
        <v>0</v>
      </c>
      <c r="AL234">
        <f t="shared" si="32"/>
        <v>1</v>
      </c>
      <c r="AM234">
        <f t="shared" si="33"/>
        <v>2.75</v>
      </c>
      <c r="AN234">
        <f t="shared" si="34"/>
        <v>9068</v>
      </c>
      <c r="AO234">
        <f t="shared" si="35"/>
        <v>0.25</v>
      </c>
      <c r="AP234" t="str">
        <f t="shared" si="36"/>
        <v>50+</v>
      </c>
      <c r="AQ234" t="str">
        <f t="shared" si="37"/>
        <v>Low</v>
      </c>
      <c r="AR234" t="str">
        <f t="shared" si="38"/>
        <v>Medium</v>
      </c>
      <c r="AS234">
        <f t="shared" si="39"/>
        <v>0</v>
      </c>
    </row>
    <row r="235" spans="1:4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s="20">
        <v>19517</v>
      </c>
      <c r="T235">
        <v>24118</v>
      </c>
      <c r="U235">
        <v>3</v>
      </c>
      <c r="V235" t="s">
        <v>42</v>
      </c>
      <c r="W235" t="s">
        <v>43</v>
      </c>
      <c r="X235" s="19">
        <v>11</v>
      </c>
      <c r="Y235">
        <v>3</v>
      </c>
      <c r="Z235">
        <v>3</v>
      </c>
      <c r="AA235">
        <v>80</v>
      </c>
      <c r="AB235">
        <v>1</v>
      </c>
      <c r="AC235">
        <v>32</v>
      </c>
      <c r="AD235">
        <v>3</v>
      </c>
      <c r="AE235">
        <v>2</v>
      </c>
      <c r="AF235">
        <v>7</v>
      </c>
      <c r="AG235">
        <v>0</v>
      </c>
      <c r="AH235">
        <v>0</v>
      </c>
      <c r="AI235">
        <v>6</v>
      </c>
      <c r="AJ235">
        <f t="shared" si="30"/>
        <v>0</v>
      </c>
      <c r="AK235">
        <f t="shared" si="31"/>
        <v>0</v>
      </c>
      <c r="AL235">
        <f t="shared" si="32"/>
        <v>0</v>
      </c>
      <c r="AM235">
        <f t="shared" si="33"/>
        <v>3.25</v>
      </c>
      <c r="AN235">
        <f t="shared" si="34"/>
        <v>29275.5</v>
      </c>
      <c r="AO235">
        <f t="shared" si="35"/>
        <v>0.21212121212121213</v>
      </c>
      <c r="AP235" t="str">
        <f t="shared" si="36"/>
        <v>50+</v>
      </c>
      <c r="AQ235" t="str">
        <f t="shared" si="37"/>
        <v>Very High</v>
      </c>
      <c r="AR235" t="str">
        <f t="shared" si="38"/>
        <v>Short</v>
      </c>
      <c r="AS235">
        <f t="shared" si="39"/>
        <v>0</v>
      </c>
    </row>
    <row r="236" spans="1:4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s="20">
        <v>2436</v>
      </c>
      <c r="T236">
        <v>22149</v>
      </c>
      <c r="U236">
        <v>5</v>
      </c>
      <c r="V236" t="s">
        <v>42</v>
      </c>
      <c r="W236" t="s">
        <v>35</v>
      </c>
      <c r="X236" s="19">
        <v>13</v>
      </c>
      <c r="Y236">
        <v>3</v>
      </c>
      <c r="Z236">
        <v>3</v>
      </c>
      <c r="AA236">
        <v>80</v>
      </c>
      <c r="AB236">
        <v>1</v>
      </c>
      <c r="AC236">
        <v>8</v>
      </c>
      <c r="AD236">
        <v>2</v>
      </c>
      <c r="AE236">
        <v>1</v>
      </c>
      <c r="AF236">
        <v>5</v>
      </c>
      <c r="AG236">
        <v>4</v>
      </c>
      <c r="AH236">
        <v>0</v>
      </c>
      <c r="AI236">
        <v>4</v>
      </c>
      <c r="AJ236">
        <f t="shared" si="30"/>
        <v>1</v>
      </c>
      <c r="AK236">
        <f t="shared" si="31"/>
        <v>1</v>
      </c>
      <c r="AL236">
        <f t="shared" si="32"/>
        <v>1</v>
      </c>
      <c r="AM236">
        <f t="shared" si="33"/>
        <v>2.75</v>
      </c>
      <c r="AN236">
        <f t="shared" si="34"/>
        <v>4872</v>
      </c>
      <c r="AO236">
        <f t="shared" si="35"/>
        <v>0.55555555555555558</v>
      </c>
      <c r="AP236" t="str">
        <f t="shared" si="36"/>
        <v>30-39</v>
      </c>
      <c r="AQ236" t="str">
        <f t="shared" si="37"/>
        <v>Low</v>
      </c>
      <c r="AR236" t="str">
        <f t="shared" si="38"/>
        <v>Medium</v>
      </c>
      <c r="AS236">
        <f t="shared" si="39"/>
        <v>0</v>
      </c>
    </row>
    <row r="237" spans="1:45" x14ac:dyDescent="0.3">
      <c r="A237">
        <v>43</v>
      </c>
      <c r="B237" t="s">
        <v>43</v>
      </c>
      <c r="C237" t="s">
        <v>36</v>
      </c>
      <c r="D237">
        <v>1034</v>
      </c>
      <c r="E237" t="s">
        <v>37</v>
      </c>
      <c r="F237">
        <v>16</v>
      </c>
      <c r="G237">
        <v>3</v>
      </c>
      <c r="H237" t="s">
        <v>59</v>
      </c>
      <c r="I237">
        <v>1</v>
      </c>
      <c r="J237">
        <v>327</v>
      </c>
      <c r="K237">
        <v>3</v>
      </c>
      <c r="L237" t="s">
        <v>39</v>
      </c>
      <c r="M237">
        <v>80</v>
      </c>
      <c r="N237">
        <v>3</v>
      </c>
      <c r="O237">
        <v>4</v>
      </c>
      <c r="P237" t="s">
        <v>56</v>
      </c>
      <c r="Q237">
        <v>4</v>
      </c>
      <c r="R237" t="s">
        <v>48</v>
      </c>
      <c r="S237" s="20">
        <v>16064</v>
      </c>
      <c r="T237">
        <v>7744</v>
      </c>
      <c r="U237">
        <v>5</v>
      </c>
      <c r="V237" t="s">
        <v>42</v>
      </c>
      <c r="W237" t="s">
        <v>35</v>
      </c>
      <c r="X237" s="19">
        <v>22</v>
      </c>
      <c r="Y237">
        <v>4</v>
      </c>
      <c r="Z237">
        <v>3</v>
      </c>
      <c r="AA237">
        <v>80</v>
      </c>
      <c r="AB237">
        <v>1</v>
      </c>
      <c r="AC237">
        <v>22</v>
      </c>
      <c r="AD237">
        <v>3</v>
      </c>
      <c r="AE237">
        <v>3</v>
      </c>
      <c r="AF237">
        <v>17</v>
      </c>
      <c r="AG237">
        <v>13</v>
      </c>
      <c r="AH237">
        <v>1</v>
      </c>
      <c r="AI237">
        <v>9</v>
      </c>
      <c r="AJ237">
        <f t="shared" si="30"/>
        <v>0</v>
      </c>
      <c r="AK237">
        <f t="shared" si="31"/>
        <v>1</v>
      </c>
      <c r="AL237">
        <f t="shared" si="32"/>
        <v>0</v>
      </c>
      <c r="AM237">
        <f t="shared" si="33"/>
        <v>3.25</v>
      </c>
      <c r="AN237">
        <f t="shared" si="34"/>
        <v>10709.333333333334</v>
      </c>
      <c r="AO237">
        <f t="shared" si="35"/>
        <v>0.73913043478260865</v>
      </c>
      <c r="AP237" t="str">
        <f t="shared" si="36"/>
        <v>40-49</v>
      </c>
      <c r="AQ237" t="str">
        <f t="shared" si="37"/>
        <v>Very High</v>
      </c>
      <c r="AR237" t="str">
        <f t="shared" si="38"/>
        <v>Long</v>
      </c>
      <c r="AS237">
        <f t="shared" si="39"/>
        <v>0</v>
      </c>
    </row>
    <row r="238" spans="1:4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s="20">
        <v>2707</v>
      </c>
      <c r="T238">
        <v>21509</v>
      </c>
      <c r="U238">
        <v>7</v>
      </c>
      <c r="V238" t="s">
        <v>42</v>
      </c>
      <c r="W238" t="s">
        <v>43</v>
      </c>
      <c r="X238" s="19">
        <v>20</v>
      </c>
      <c r="Y238">
        <v>4</v>
      </c>
      <c r="Z238">
        <v>1</v>
      </c>
      <c r="AA238">
        <v>80</v>
      </c>
      <c r="AB238">
        <v>0</v>
      </c>
      <c r="AC238">
        <v>13</v>
      </c>
      <c r="AD238">
        <v>3</v>
      </c>
      <c r="AE238">
        <v>4</v>
      </c>
      <c r="AF238">
        <v>9</v>
      </c>
      <c r="AG238">
        <v>7</v>
      </c>
      <c r="AH238">
        <v>1</v>
      </c>
      <c r="AI238">
        <v>7</v>
      </c>
      <c r="AJ238">
        <f t="shared" si="30"/>
        <v>1</v>
      </c>
      <c r="AK238">
        <f t="shared" si="31"/>
        <v>0</v>
      </c>
      <c r="AL238">
        <f t="shared" si="32"/>
        <v>0</v>
      </c>
      <c r="AM238">
        <f t="shared" si="33"/>
        <v>1.75</v>
      </c>
      <c r="AN238">
        <f t="shared" si="34"/>
        <v>3248.4</v>
      </c>
      <c r="AO238">
        <f t="shared" si="35"/>
        <v>0.6428571428571429</v>
      </c>
      <c r="AP238" t="str">
        <f t="shared" si="36"/>
        <v>30-39</v>
      </c>
      <c r="AQ238" t="str">
        <f t="shared" si="37"/>
        <v>Low</v>
      </c>
      <c r="AR238" t="str">
        <f t="shared" si="38"/>
        <v>Short</v>
      </c>
      <c r="AS238">
        <f t="shared" si="39"/>
        <v>0</v>
      </c>
    </row>
    <row r="239" spans="1:4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s="20">
        <v>19068</v>
      </c>
      <c r="T239">
        <v>21030</v>
      </c>
      <c r="U239">
        <v>1</v>
      </c>
      <c r="V239" t="s">
        <v>42</v>
      </c>
      <c r="W239" t="s">
        <v>35</v>
      </c>
      <c r="X239" s="19">
        <v>18</v>
      </c>
      <c r="Y239">
        <v>3</v>
      </c>
      <c r="Z239">
        <v>4</v>
      </c>
      <c r="AA239">
        <v>80</v>
      </c>
      <c r="AB239">
        <v>0</v>
      </c>
      <c r="AC239">
        <v>33</v>
      </c>
      <c r="AD239">
        <v>2</v>
      </c>
      <c r="AE239">
        <v>4</v>
      </c>
      <c r="AF239">
        <v>33</v>
      </c>
      <c r="AG239">
        <v>7</v>
      </c>
      <c r="AH239">
        <v>15</v>
      </c>
      <c r="AI239">
        <v>12</v>
      </c>
      <c r="AJ239">
        <f t="shared" si="30"/>
        <v>0</v>
      </c>
      <c r="AK239">
        <f t="shared" si="31"/>
        <v>1</v>
      </c>
      <c r="AL239">
        <f t="shared" si="32"/>
        <v>1</v>
      </c>
      <c r="AM239">
        <f t="shared" si="33"/>
        <v>3</v>
      </c>
      <c r="AN239">
        <f t="shared" si="34"/>
        <v>6729.8823529411766</v>
      </c>
      <c r="AO239">
        <f t="shared" si="35"/>
        <v>0.97058823529411764</v>
      </c>
      <c r="AP239" t="str">
        <f t="shared" si="36"/>
        <v>50+</v>
      </c>
      <c r="AQ239" t="str">
        <f t="shared" si="37"/>
        <v>Very High</v>
      </c>
      <c r="AR239" t="str">
        <f t="shared" si="38"/>
        <v>Short</v>
      </c>
      <c r="AS239">
        <f t="shared" si="39"/>
        <v>0</v>
      </c>
    </row>
    <row r="240" spans="1:4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s="20">
        <v>3931</v>
      </c>
      <c r="T240">
        <v>20990</v>
      </c>
      <c r="U240">
        <v>2</v>
      </c>
      <c r="V240" t="s">
        <v>42</v>
      </c>
      <c r="W240" t="s">
        <v>43</v>
      </c>
      <c r="X240" s="19">
        <v>11</v>
      </c>
      <c r="Y240">
        <v>3</v>
      </c>
      <c r="Z240">
        <v>1</v>
      </c>
      <c r="AA240">
        <v>80</v>
      </c>
      <c r="AB240">
        <v>1</v>
      </c>
      <c r="AC240">
        <v>6</v>
      </c>
      <c r="AD240">
        <v>5</v>
      </c>
      <c r="AE240">
        <v>3</v>
      </c>
      <c r="AF240">
        <v>4</v>
      </c>
      <c r="AG240">
        <v>3</v>
      </c>
      <c r="AH240">
        <v>1</v>
      </c>
      <c r="AI240">
        <v>2</v>
      </c>
      <c r="AJ240">
        <f t="shared" si="30"/>
        <v>0</v>
      </c>
      <c r="AK240">
        <f t="shared" si="31"/>
        <v>0</v>
      </c>
      <c r="AL240">
        <f t="shared" si="32"/>
        <v>0</v>
      </c>
      <c r="AM240">
        <f t="shared" si="33"/>
        <v>2.25</v>
      </c>
      <c r="AN240">
        <f t="shared" si="34"/>
        <v>9434.4</v>
      </c>
      <c r="AO240">
        <f t="shared" si="35"/>
        <v>0.5714285714285714</v>
      </c>
      <c r="AP240" t="str">
        <f t="shared" si="36"/>
        <v>30-39</v>
      </c>
      <c r="AQ240" t="str">
        <f t="shared" si="37"/>
        <v>Medium</v>
      </c>
      <c r="AR240" t="str">
        <f t="shared" si="38"/>
        <v>Short</v>
      </c>
      <c r="AS240">
        <f t="shared" si="39"/>
        <v>0</v>
      </c>
    </row>
    <row r="241" spans="1:4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s="20">
        <v>3730</v>
      </c>
      <c r="T241">
        <v>9571</v>
      </c>
      <c r="U241">
        <v>0</v>
      </c>
      <c r="V241" t="s">
        <v>42</v>
      </c>
      <c r="W241" t="s">
        <v>35</v>
      </c>
      <c r="X241" s="19">
        <v>14</v>
      </c>
      <c r="Y241">
        <v>3</v>
      </c>
      <c r="Z241">
        <v>4</v>
      </c>
      <c r="AA241">
        <v>80</v>
      </c>
      <c r="AB241">
        <v>0</v>
      </c>
      <c r="AC241">
        <v>4</v>
      </c>
      <c r="AD241">
        <v>2</v>
      </c>
      <c r="AE241">
        <v>1</v>
      </c>
      <c r="AF241">
        <v>3</v>
      </c>
      <c r="AG241">
        <v>2</v>
      </c>
      <c r="AH241">
        <v>1</v>
      </c>
      <c r="AI241">
        <v>2</v>
      </c>
      <c r="AJ241">
        <f t="shared" si="30"/>
        <v>1</v>
      </c>
      <c r="AK241">
        <f t="shared" si="31"/>
        <v>1</v>
      </c>
      <c r="AL241">
        <f t="shared" si="32"/>
        <v>1</v>
      </c>
      <c r="AM241">
        <f t="shared" si="33"/>
        <v>3</v>
      </c>
      <c r="AN241">
        <f t="shared" si="34"/>
        <v>11190</v>
      </c>
      <c r="AO241">
        <f t="shared" si="35"/>
        <v>0.6</v>
      </c>
      <c r="AP241" t="str">
        <f t="shared" si="36"/>
        <v>30-39</v>
      </c>
      <c r="AQ241" t="str">
        <f t="shared" si="37"/>
        <v>Medium</v>
      </c>
      <c r="AR241" t="str">
        <f t="shared" si="38"/>
        <v>Short</v>
      </c>
      <c r="AS241">
        <f t="shared" si="39"/>
        <v>0</v>
      </c>
    </row>
    <row r="242" spans="1:45" x14ac:dyDescent="0.3">
      <c r="A242">
        <v>39</v>
      </c>
      <c r="B242" t="s">
        <v>43</v>
      </c>
      <c r="C242" t="s">
        <v>44</v>
      </c>
      <c r="D242">
        <v>1431</v>
      </c>
      <c r="E242" t="s">
        <v>45</v>
      </c>
      <c r="F242">
        <v>1</v>
      </c>
      <c r="G242">
        <v>4</v>
      </c>
      <c r="H242" t="s">
        <v>51</v>
      </c>
      <c r="I242">
        <v>1</v>
      </c>
      <c r="J242">
        <v>332</v>
      </c>
      <c r="K242">
        <v>3</v>
      </c>
      <c r="L242" t="s">
        <v>39</v>
      </c>
      <c r="M242">
        <v>96</v>
      </c>
      <c r="N242">
        <v>3</v>
      </c>
      <c r="O242">
        <v>1</v>
      </c>
      <c r="P242" t="s">
        <v>50</v>
      </c>
      <c r="Q242">
        <v>3</v>
      </c>
      <c r="R242" t="s">
        <v>52</v>
      </c>
      <c r="S242" s="20">
        <v>2232</v>
      </c>
      <c r="T242">
        <v>15417</v>
      </c>
      <c r="U242">
        <v>7</v>
      </c>
      <c r="V242" t="s">
        <v>42</v>
      </c>
      <c r="W242" t="s">
        <v>43</v>
      </c>
      <c r="X242" s="19">
        <v>14</v>
      </c>
      <c r="Y242">
        <v>3</v>
      </c>
      <c r="Z242">
        <v>3</v>
      </c>
      <c r="AA242">
        <v>80</v>
      </c>
      <c r="AB242">
        <v>3</v>
      </c>
      <c r="AC242">
        <v>7</v>
      </c>
      <c r="AD242">
        <v>1</v>
      </c>
      <c r="AE242">
        <v>3</v>
      </c>
      <c r="AF242">
        <v>3</v>
      </c>
      <c r="AG242">
        <v>2</v>
      </c>
      <c r="AH242">
        <v>1</v>
      </c>
      <c r="AI242">
        <v>2</v>
      </c>
      <c r="AJ242">
        <f t="shared" si="30"/>
        <v>0</v>
      </c>
      <c r="AK242">
        <f t="shared" si="31"/>
        <v>0</v>
      </c>
      <c r="AL242">
        <f t="shared" si="32"/>
        <v>0</v>
      </c>
      <c r="AM242">
        <f t="shared" si="33"/>
        <v>3</v>
      </c>
      <c r="AN242">
        <f t="shared" si="34"/>
        <v>6696</v>
      </c>
      <c r="AO242">
        <f t="shared" si="35"/>
        <v>0.375</v>
      </c>
      <c r="AP242" t="str">
        <f t="shared" si="36"/>
        <v>30-39</v>
      </c>
      <c r="AQ242" t="str">
        <f t="shared" si="37"/>
        <v>Low</v>
      </c>
      <c r="AR242" t="str">
        <f t="shared" si="38"/>
        <v>Short</v>
      </c>
      <c r="AS242">
        <f t="shared" si="39"/>
        <v>1</v>
      </c>
    </row>
    <row r="243" spans="1:4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s="20">
        <v>4465</v>
      </c>
      <c r="T243">
        <v>12069</v>
      </c>
      <c r="U243">
        <v>0</v>
      </c>
      <c r="V243" t="s">
        <v>42</v>
      </c>
      <c r="W243" t="s">
        <v>43</v>
      </c>
      <c r="X243" s="19">
        <v>18</v>
      </c>
      <c r="Y243">
        <v>3</v>
      </c>
      <c r="Z243">
        <v>1</v>
      </c>
      <c r="AA243">
        <v>80</v>
      </c>
      <c r="AB243">
        <v>0</v>
      </c>
      <c r="AC243">
        <v>4</v>
      </c>
      <c r="AD243">
        <v>2</v>
      </c>
      <c r="AE243">
        <v>3</v>
      </c>
      <c r="AF243">
        <v>3</v>
      </c>
      <c r="AG243">
        <v>2</v>
      </c>
      <c r="AH243">
        <v>2</v>
      </c>
      <c r="AI243">
        <v>2</v>
      </c>
      <c r="AJ243">
        <f t="shared" si="30"/>
        <v>0</v>
      </c>
      <c r="AK243">
        <f t="shared" si="31"/>
        <v>0</v>
      </c>
      <c r="AL243">
        <f t="shared" si="32"/>
        <v>1</v>
      </c>
      <c r="AM243">
        <f t="shared" si="33"/>
        <v>2.75</v>
      </c>
      <c r="AN243">
        <f t="shared" si="34"/>
        <v>13395</v>
      </c>
      <c r="AO243">
        <f t="shared" si="35"/>
        <v>0.6</v>
      </c>
      <c r="AP243" t="str">
        <f t="shared" si="36"/>
        <v>30-39</v>
      </c>
      <c r="AQ243" t="str">
        <f t="shared" si="37"/>
        <v>Medium</v>
      </c>
      <c r="AR243" t="str">
        <f t="shared" si="38"/>
        <v>Long</v>
      </c>
      <c r="AS243">
        <f t="shared" si="39"/>
        <v>0</v>
      </c>
    </row>
    <row r="244" spans="1:4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s="20">
        <v>3072</v>
      </c>
      <c r="T244">
        <v>19877</v>
      </c>
      <c r="U244">
        <v>2</v>
      </c>
      <c r="V244" t="s">
        <v>42</v>
      </c>
      <c r="W244" t="s">
        <v>43</v>
      </c>
      <c r="X244" s="19">
        <v>16</v>
      </c>
      <c r="Y244">
        <v>3</v>
      </c>
      <c r="Z244">
        <v>1</v>
      </c>
      <c r="AA244">
        <v>80</v>
      </c>
      <c r="AB244">
        <v>2</v>
      </c>
      <c r="AC244">
        <v>17</v>
      </c>
      <c r="AD244">
        <v>2</v>
      </c>
      <c r="AE244">
        <v>2</v>
      </c>
      <c r="AF244">
        <v>1</v>
      </c>
      <c r="AG244">
        <v>0</v>
      </c>
      <c r="AH244">
        <v>0</v>
      </c>
      <c r="AI244">
        <v>0</v>
      </c>
      <c r="AJ244">
        <f t="shared" si="30"/>
        <v>0</v>
      </c>
      <c r="AK244">
        <f t="shared" si="31"/>
        <v>0</v>
      </c>
      <c r="AL244">
        <f t="shared" si="32"/>
        <v>1</v>
      </c>
      <c r="AM244">
        <f t="shared" si="33"/>
        <v>1.75</v>
      </c>
      <c r="AN244">
        <f t="shared" si="34"/>
        <v>18432</v>
      </c>
      <c r="AO244">
        <f t="shared" si="35"/>
        <v>5.5555555555555552E-2</v>
      </c>
      <c r="AP244" t="str">
        <f t="shared" si="36"/>
        <v>40-49</v>
      </c>
      <c r="AQ244" t="str">
        <f t="shared" si="37"/>
        <v>Medium</v>
      </c>
      <c r="AR244" t="str">
        <f t="shared" si="38"/>
        <v>Long</v>
      </c>
      <c r="AS244">
        <f t="shared" si="39"/>
        <v>0</v>
      </c>
    </row>
    <row r="245" spans="1:4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s="20">
        <v>3319</v>
      </c>
      <c r="T245">
        <v>24447</v>
      </c>
      <c r="U245">
        <v>1</v>
      </c>
      <c r="V245" t="s">
        <v>42</v>
      </c>
      <c r="W245" t="s">
        <v>43</v>
      </c>
      <c r="X245" s="19">
        <v>17</v>
      </c>
      <c r="Y245">
        <v>3</v>
      </c>
      <c r="Z245">
        <v>1</v>
      </c>
      <c r="AA245">
        <v>80</v>
      </c>
      <c r="AB245">
        <v>2</v>
      </c>
      <c r="AC245">
        <v>9</v>
      </c>
      <c r="AD245">
        <v>3</v>
      </c>
      <c r="AE245">
        <v>3</v>
      </c>
      <c r="AF245">
        <v>9</v>
      </c>
      <c r="AG245">
        <v>8</v>
      </c>
      <c r="AH245">
        <v>4</v>
      </c>
      <c r="AI245">
        <v>7</v>
      </c>
      <c r="AJ245">
        <f t="shared" si="30"/>
        <v>0</v>
      </c>
      <c r="AK245">
        <f t="shared" si="31"/>
        <v>0</v>
      </c>
      <c r="AL245">
        <f t="shared" si="32"/>
        <v>1</v>
      </c>
      <c r="AM245">
        <f t="shared" si="33"/>
        <v>2.25</v>
      </c>
      <c r="AN245">
        <f t="shared" si="34"/>
        <v>3982.8</v>
      </c>
      <c r="AO245">
        <f t="shared" si="35"/>
        <v>0.9</v>
      </c>
      <c r="AP245" t="str">
        <f t="shared" si="36"/>
        <v>40-49</v>
      </c>
      <c r="AQ245" t="str">
        <f t="shared" si="37"/>
        <v>Medium</v>
      </c>
      <c r="AR245" t="str">
        <f t="shared" si="38"/>
        <v>Long</v>
      </c>
      <c r="AS245">
        <f t="shared" si="39"/>
        <v>0</v>
      </c>
    </row>
    <row r="246" spans="1:4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s="20">
        <v>19202</v>
      </c>
      <c r="T246">
        <v>15970</v>
      </c>
      <c r="U246">
        <v>0</v>
      </c>
      <c r="V246" t="s">
        <v>42</v>
      </c>
      <c r="W246" t="s">
        <v>43</v>
      </c>
      <c r="X246" s="19">
        <v>11</v>
      </c>
      <c r="Y246">
        <v>3</v>
      </c>
      <c r="Z246">
        <v>3</v>
      </c>
      <c r="AA246">
        <v>80</v>
      </c>
      <c r="AB246">
        <v>1</v>
      </c>
      <c r="AC246">
        <v>25</v>
      </c>
      <c r="AD246">
        <v>2</v>
      </c>
      <c r="AE246">
        <v>3</v>
      </c>
      <c r="AF246">
        <v>24</v>
      </c>
      <c r="AG246">
        <v>0</v>
      </c>
      <c r="AH246">
        <v>1</v>
      </c>
      <c r="AI246">
        <v>7</v>
      </c>
      <c r="AJ246">
        <f t="shared" si="30"/>
        <v>0</v>
      </c>
      <c r="AK246">
        <f t="shared" si="31"/>
        <v>0</v>
      </c>
      <c r="AL246">
        <f t="shared" si="32"/>
        <v>1</v>
      </c>
      <c r="AM246">
        <f t="shared" si="33"/>
        <v>3.25</v>
      </c>
      <c r="AN246">
        <f t="shared" si="34"/>
        <v>9216.9599999999991</v>
      </c>
      <c r="AO246">
        <f t="shared" si="35"/>
        <v>0.92307692307692313</v>
      </c>
      <c r="AP246" t="str">
        <f t="shared" si="36"/>
        <v>40-49</v>
      </c>
      <c r="AQ246" t="str">
        <f t="shared" si="37"/>
        <v>Very High</v>
      </c>
      <c r="AR246" t="str">
        <f t="shared" si="38"/>
        <v>Short</v>
      </c>
      <c r="AS246">
        <f t="shared" si="39"/>
        <v>0</v>
      </c>
    </row>
    <row r="247" spans="1:4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s="20">
        <v>13675</v>
      </c>
      <c r="T247">
        <v>13523</v>
      </c>
      <c r="U247">
        <v>9</v>
      </c>
      <c r="V247" t="s">
        <v>42</v>
      </c>
      <c r="W247" t="s">
        <v>43</v>
      </c>
      <c r="X247" s="19">
        <v>12</v>
      </c>
      <c r="Y247">
        <v>3</v>
      </c>
      <c r="Z247">
        <v>1</v>
      </c>
      <c r="AA247">
        <v>80</v>
      </c>
      <c r="AB247">
        <v>1</v>
      </c>
      <c r="AC247">
        <v>9</v>
      </c>
      <c r="AD247">
        <v>3</v>
      </c>
      <c r="AE247">
        <v>3</v>
      </c>
      <c r="AF247">
        <v>2</v>
      </c>
      <c r="AG247">
        <v>2</v>
      </c>
      <c r="AH247">
        <v>2</v>
      </c>
      <c r="AI247">
        <v>2</v>
      </c>
      <c r="AJ247">
        <f t="shared" si="30"/>
        <v>0</v>
      </c>
      <c r="AK247">
        <f t="shared" si="31"/>
        <v>0</v>
      </c>
      <c r="AL247">
        <f t="shared" si="32"/>
        <v>1</v>
      </c>
      <c r="AM247">
        <f t="shared" si="33"/>
        <v>2.25</v>
      </c>
      <c r="AN247">
        <f t="shared" si="34"/>
        <v>54700</v>
      </c>
      <c r="AO247">
        <f t="shared" si="35"/>
        <v>0.2</v>
      </c>
      <c r="AP247" t="str">
        <f t="shared" si="36"/>
        <v>30-39</v>
      </c>
      <c r="AQ247" t="str">
        <f t="shared" si="37"/>
        <v>Very High</v>
      </c>
      <c r="AR247" t="str">
        <f t="shared" si="38"/>
        <v>Short</v>
      </c>
      <c r="AS247">
        <f t="shared" si="39"/>
        <v>1</v>
      </c>
    </row>
    <row r="248" spans="1:4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s="20">
        <v>2911</v>
      </c>
      <c r="T248">
        <v>14776</v>
      </c>
      <c r="U248">
        <v>1</v>
      </c>
      <c r="V248" t="s">
        <v>42</v>
      </c>
      <c r="W248" t="s">
        <v>43</v>
      </c>
      <c r="X248" s="19">
        <v>13</v>
      </c>
      <c r="Y248">
        <v>3</v>
      </c>
      <c r="Z248">
        <v>3</v>
      </c>
      <c r="AA248">
        <v>80</v>
      </c>
      <c r="AB248">
        <v>1</v>
      </c>
      <c r="AC248">
        <v>2</v>
      </c>
      <c r="AD248">
        <v>2</v>
      </c>
      <c r="AE248">
        <v>2</v>
      </c>
      <c r="AF248">
        <v>2</v>
      </c>
      <c r="AG248">
        <v>2</v>
      </c>
      <c r="AH248">
        <v>0</v>
      </c>
      <c r="AI248">
        <v>2</v>
      </c>
      <c r="AJ248">
        <f t="shared" si="30"/>
        <v>0</v>
      </c>
      <c r="AK248">
        <f t="shared" si="31"/>
        <v>0</v>
      </c>
      <c r="AL248">
        <f t="shared" si="32"/>
        <v>0</v>
      </c>
      <c r="AM248">
        <f t="shared" si="33"/>
        <v>3</v>
      </c>
      <c r="AN248">
        <f t="shared" si="34"/>
        <v>11644</v>
      </c>
      <c r="AO248">
        <f t="shared" si="35"/>
        <v>0.66666666666666663</v>
      </c>
      <c r="AP248" t="str">
        <f t="shared" si="36"/>
        <v>30-39</v>
      </c>
      <c r="AQ248" t="str">
        <f t="shared" si="37"/>
        <v>Medium</v>
      </c>
      <c r="AR248" t="str">
        <f t="shared" si="38"/>
        <v>Short</v>
      </c>
      <c r="AS248">
        <f t="shared" si="39"/>
        <v>0</v>
      </c>
    </row>
    <row r="249" spans="1:4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s="20">
        <v>5957</v>
      </c>
      <c r="T249">
        <v>23687</v>
      </c>
      <c r="U249">
        <v>6</v>
      </c>
      <c r="V249" t="s">
        <v>42</v>
      </c>
      <c r="W249" t="s">
        <v>43</v>
      </c>
      <c r="X249" s="19">
        <v>13</v>
      </c>
      <c r="Y249">
        <v>3</v>
      </c>
      <c r="Z249">
        <v>2</v>
      </c>
      <c r="AA249">
        <v>80</v>
      </c>
      <c r="AB249">
        <v>1</v>
      </c>
      <c r="AC249">
        <v>13</v>
      </c>
      <c r="AD249">
        <v>3</v>
      </c>
      <c r="AE249">
        <v>3</v>
      </c>
      <c r="AF249">
        <v>11</v>
      </c>
      <c r="AG249">
        <v>9</v>
      </c>
      <c r="AH249">
        <v>5</v>
      </c>
      <c r="AI249">
        <v>9</v>
      </c>
      <c r="AJ249">
        <f t="shared" si="30"/>
        <v>0</v>
      </c>
      <c r="AK249">
        <f t="shared" si="31"/>
        <v>0</v>
      </c>
      <c r="AL249">
        <f t="shared" si="32"/>
        <v>1</v>
      </c>
      <c r="AM249">
        <f t="shared" si="33"/>
        <v>2.5</v>
      </c>
      <c r="AN249">
        <f t="shared" si="34"/>
        <v>5957</v>
      </c>
      <c r="AO249">
        <f t="shared" si="35"/>
        <v>0.7857142857142857</v>
      </c>
      <c r="AP249" t="str">
        <f t="shared" si="36"/>
        <v>30-39</v>
      </c>
      <c r="AQ249" t="str">
        <f t="shared" si="37"/>
        <v>High</v>
      </c>
      <c r="AR249" t="str">
        <f t="shared" si="38"/>
        <v>Short</v>
      </c>
      <c r="AS249">
        <f t="shared" si="39"/>
        <v>0</v>
      </c>
    </row>
    <row r="250" spans="1:4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s="20">
        <v>3920</v>
      </c>
      <c r="T250">
        <v>18697</v>
      </c>
      <c r="U250">
        <v>2</v>
      </c>
      <c r="V250" t="s">
        <v>42</v>
      </c>
      <c r="W250" t="s">
        <v>43</v>
      </c>
      <c r="X250" s="19">
        <v>14</v>
      </c>
      <c r="Y250">
        <v>3</v>
      </c>
      <c r="Z250">
        <v>1</v>
      </c>
      <c r="AA250">
        <v>80</v>
      </c>
      <c r="AB250">
        <v>1</v>
      </c>
      <c r="AC250">
        <v>17</v>
      </c>
      <c r="AD250">
        <v>2</v>
      </c>
      <c r="AE250">
        <v>2</v>
      </c>
      <c r="AF250">
        <v>3</v>
      </c>
      <c r="AG250">
        <v>1</v>
      </c>
      <c r="AH250">
        <v>0</v>
      </c>
      <c r="AI250">
        <v>2</v>
      </c>
      <c r="AJ250">
        <f t="shared" si="30"/>
        <v>0</v>
      </c>
      <c r="AK250">
        <f t="shared" si="31"/>
        <v>0</v>
      </c>
      <c r="AL250">
        <f t="shared" si="32"/>
        <v>0</v>
      </c>
      <c r="AM250">
        <f t="shared" si="33"/>
        <v>1.75</v>
      </c>
      <c r="AN250">
        <f t="shared" si="34"/>
        <v>11760</v>
      </c>
      <c r="AO250">
        <f t="shared" si="35"/>
        <v>0.16666666666666666</v>
      </c>
      <c r="AP250" t="str">
        <f t="shared" si="36"/>
        <v>30-39</v>
      </c>
      <c r="AQ250" t="str">
        <f t="shared" si="37"/>
        <v>Medium</v>
      </c>
      <c r="AR250" t="str">
        <f t="shared" si="38"/>
        <v>Short</v>
      </c>
      <c r="AS250">
        <f t="shared" si="39"/>
        <v>0</v>
      </c>
    </row>
    <row r="251" spans="1:4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s="20">
        <v>6434</v>
      </c>
      <c r="T251">
        <v>5118</v>
      </c>
      <c r="U251">
        <v>4</v>
      </c>
      <c r="V251" t="s">
        <v>42</v>
      </c>
      <c r="W251" t="s">
        <v>43</v>
      </c>
      <c r="X251" s="19">
        <v>17</v>
      </c>
      <c r="Y251">
        <v>3</v>
      </c>
      <c r="Z251">
        <v>4</v>
      </c>
      <c r="AA251">
        <v>80</v>
      </c>
      <c r="AB251">
        <v>1</v>
      </c>
      <c r="AC251">
        <v>9</v>
      </c>
      <c r="AD251">
        <v>1</v>
      </c>
      <c r="AE251">
        <v>3</v>
      </c>
      <c r="AF251">
        <v>3</v>
      </c>
      <c r="AG251">
        <v>2</v>
      </c>
      <c r="AH251">
        <v>0</v>
      </c>
      <c r="AI251">
        <v>2</v>
      </c>
      <c r="AJ251">
        <f t="shared" si="30"/>
        <v>0</v>
      </c>
      <c r="AK251">
        <f t="shared" si="31"/>
        <v>0</v>
      </c>
      <c r="AL251">
        <f t="shared" si="32"/>
        <v>1</v>
      </c>
      <c r="AM251">
        <f t="shared" si="33"/>
        <v>2.75</v>
      </c>
      <c r="AN251">
        <f t="shared" si="34"/>
        <v>19302</v>
      </c>
      <c r="AO251">
        <f t="shared" si="35"/>
        <v>0.3</v>
      </c>
      <c r="AP251" t="str">
        <f t="shared" si="36"/>
        <v>40-49</v>
      </c>
      <c r="AQ251" t="str">
        <f t="shared" si="37"/>
        <v>High</v>
      </c>
      <c r="AR251" t="str">
        <f t="shared" si="38"/>
        <v>Medium</v>
      </c>
      <c r="AS251">
        <f t="shared" si="39"/>
        <v>1</v>
      </c>
    </row>
    <row r="252" spans="1:4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s="20">
        <v>10048</v>
      </c>
      <c r="T252">
        <v>22573</v>
      </c>
      <c r="U252">
        <v>6</v>
      </c>
      <c r="V252" t="s">
        <v>42</v>
      </c>
      <c r="W252" t="s">
        <v>43</v>
      </c>
      <c r="X252" s="19">
        <v>11</v>
      </c>
      <c r="Y252">
        <v>3</v>
      </c>
      <c r="Z252">
        <v>2</v>
      </c>
      <c r="AA252">
        <v>80</v>
      </c>
      <c r="AB252">
        <v>2</v>
      </c>
      <c r="AC252">
        <v>17</v>
      </c>
      <c r="AD252">
        <v>5</v>
      </c>
      <c r="AE252">
        <v>3</v>
      </c>
      <c r="AF252">
        <v>1</v>
      </c>
      <c r="AG252">
        <v>0</v>
      </c>
      <c r="AH252">
        <v>0</v>
      </c>
      <c r="AI252">
        <v>0</v>
      </c>
      <c r="AJ252">
        <f t="shared" si="30"/>
        <v>1</v>
      </c>
      <c r="AK252">
        <f t="shared" si="31"/>
        <v>0</v>
      </c>
      <c r="AL252">
        <f t="shared" si="32"/>
        <v>1</v>
      </c>
      <c r="AM252">
        <f t="shared" si="33"/>
        <v>2.25</v>
      </c>
      <c r="AN252">
        <f t="shared" si="34"/>
        <v>60288</v>
      </c>
      <c r="AO252">
        <f t="shared" si="35"/>
        <v>5.5555555555555552E-2</v>
      </c>
      <c r="AP252" t="str">
        <f t="shared" si="36"/>
        <v>30-39</v>
      </c>
      <c r="AQ252" t="str">
        <f t="shared" si="37"/>
        <v>Very High</v>
      </c>
      <c r="AR252" t="str">
        <f t="shared" si="38"/>
        <v>Medium</v>
      </c>
      <c r="AS252">
        <f t="shared" si="39"/>
        <v>1</v>
      </c>
    </row>
    <row r="253" spans="1:4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s="20">
        <v>10938</v>
      </c>
      <c r="T253">
        <v>6420</v>
      </c>
      <c r="U253">
        <v>0</v>
      </c>
      <c r="V253" t="s">
        <v>42</v>
      </c>
      <c r="W253" t="s">
        <v>43</v>
      </c>
      <c r="X253" s="19">
        <v>25</v>
      </c>
      <c r="Y253">
        <v>4</v>
      </c>
      <c r="Z253">
        <v>4</v>
      </c>
      <c r="AA253">
        <v>80</v>
      </c>
      <c r="AB253">
        <v>0</v>
      </c>
      <c r="AC253">
        <v>20</v>
      </c>
      <c r="AD253">
        <v>1</v>
      </c>
      <c r="AE253">
        <v>3</v>
      </c>
      <c r="AF253">
        <v>19</v>
      </c>
      <c r="AG253">
        <v>6</v>
      </c>
      <c r="AH253">
        <v>11</v>
      </c>
      <c r="AI253">
        <v>8</v>
      </c>
      <c r="AJ253">
        <f t="shared" si="30"/>
        <v>0</v>
      </c>
      <c r="AK253">
        <f t="shared" si="31"/>
        <v>0</v>
      </c>
      <c r="AL253">
        <f t="shared" si="32"/>
        <v>0</v>
      </c>
      <c r="AM253">
        <f t="shared" si="33"/>
        <v>3.25</v>
      </c>
      <c r="AN253">
        <f t="shared" si="34"/>
        <v>6562.8</v>
      </c>
      <c r="AO253">
        <f t="shared" si="35"/>
        <v>0.90476190476190477</v>
      </c>
      <c r="AP253" t="str">
        <f t="shared" si="36"/>
        <v>30-39</v>
      </c>
      <c r="AQ253" t="str">
        <f t="shared" si="37"/>
        <v>Very High</v>
      </c>
      <c r="AR253" t="str">
        <f t="shared" si="38"/>
        <v>Short</v>
      </c>
      <c r="AS253">
        <f t="shared" si="39"/>
        <v>1</v>
      </c>
    </row>
    <row r="254" spans="1:4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s="20">
        <v>2340</v>
      </c>
      <c r="T254">
        <v>22673</v>
      </c>
      <c r="U254">
        <v>1</v>
      </c>
      <c r="V254" t="s">
        <v>42</v>
      </c>
      <c r="W254" t="s">
        <v>43</v>
      </c>
      <c r="X254" s="19">
        <v>19</v>
      </c>
      <c r="Y254">
        <v>3</v>
      </c>
      <c r="Z254">
        <v>1</v>
      </c>
      <c r="AA254">
        <v>80</v>
      </c>
      <c r="AB254">
        <v>0</v>
      </c>
      <c r="AC254">
        <v>6</v>
      </c>
      <c r="AD254">
        <v>1</v>
      </c>
      <c r="AE254">
        <v>3</v>
      </c>
      <c r="AF254">
        <v>6</v>
      </c>
      <c r="AG254">
        <v>5</v>
      </c>
      <c r="AH254">
        <v>1</v>
      </c>
      <c r="AI254">
        <v>5</v>
      </c>
      <c r="AJ254">
        <f t="shared" si="30"/>
        <v>0</v>
      </c>
      <c r="AK254">
        <f t="shared" si="31"/>
        <v>0</v>
      </c>
      <c r="AL254">
        <f t="shared" si="32"/>
        <v>1</v>
      </c>
      <c r="AM254">
        <f t="shared" si="33"/>
        <v>2.75</v>
      </c>
      <c r="AN254">
        <f t="shared" si="34"/>
        <v>4011.4285714285716</v>
      </c>
      <c r="AO254">
        <f t="shared" si="35"/>
        <v>0.8571428571428571</v>
      </c>
      <c r="AP254" t="str">
        <f t="shared" si="36"/>
        <v>Under 30</v>
      </c>
      <c r="AQ254" t="str">
        <f t="shared" si="37"/>
        <v>Low</v>
      </c>
      <c r="AR254" t="str">
        <f t="shared" si="38"/>
        <v>Medium</v>
      </c>
      <c r="AS254">
        <f t="shared" si="39"/>
        <v>0</v>
      </c>
    </row>
    <row r="255" spans="1:4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s="20">
        <v>6545</v>
      </c>
      <c r="T255">
        <v>23016</v>
      </c>
      <c r="U255">
        <v>3</v>
      </c>
      <c r="V255" t="s">
        <v>42</v>
      </c>
      <c r="W255" t="s">
        <v>35</v>
      </c>
      <c r="X255" s="19">
        <v>13</v>
      </c>
      <c r="Y255">
        <v>3</v>
      </c>
      <c r="Z255">
        <v>3</v>
      </c>
      <c r="AA255">
        <v>80</v>
      </c>
      <c r="AB255">
        <v>0</v>
      </c>
      <c r="AC255">
        <v>10</v>
      </c>
      <c r="AD255">
        <v>1</v>
      </c>
      <c r="AE255">
        <v>3</v>
      </c>
      <c r="AF255">
        <v>3</v>
      </c>
      <c r="AG255">
        <v>2</v>
      </c>
      <c r="AH255">
        <v>0</v>
      </c>
      <c r="AI255">
        <v>2</v>
      </c>
      <c r="AJ255">
        <f t="shared" si="30"/>
        <v>0</v>
      </c>
      <c r="AK255">
        <f t="shared" si="31"/>
        <v>1</v>
      </c>
      <c r="AL255">
        <f t="shared" si="32"/>
        <v>0</v>
      </c>
      <c r="AM255">
        <f t="shared" si="33"/>
        <v>2.75</v>
      </c>
      <c r="AN255">
        <f t="shared" si="34"/>
        <v>19635</v>
      </c>
      <c r="AO255">
        <f t="shared" si="35"/>
        <v>0.27272727272727271</v>
      </c>
      <c r="AP255" t="str">
        <f t="shared" si="36"/>
        <v>40-49</v>
      </c>
      <c r="AQ255" t="str">
        <f t="shared" si="37"/>
        <v>High</v>
      </c>
      <c r="AR255" t="str">
        <f t="shared" si="38"/>
        <v>Long</v>
      </c>
      <c r="AS255">
        <f t="shared" si="39"/>
        <v>0</v>
      </c>
    </row>
    <row r="256" spans="1:4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s="20">
        <v>6931</v>
      </c>
      <c r="T256">
        <v>10732</v>
      </c>
      <c r="U256">
        <v>2</v>
      </c>
      <c r="V256" t="s">
        <v>42</v>
      </c>
      <c r="W256" t="s">
        <v>43</v>
      </c>
      <c r="X256" s="19">
        <v>14</v>
      </c>
      <c r="Y256">
        <v>3</v>
      </c>
      <c r="Z256">
        <v>4</v>
      </c>
      <c r="AA256">
        <v>80</v>
      </c>
      <c r="AB256">
        <v>1</v>
      </c>
      <c r="AC256">
        <v>10</v>
      </c>
      <c r="AD256">
        <v>2</v>
      </c>
      <c r="AE256">
        <v>3</v>
      </c>
      <c r="AF256">
        <v>3</v>
      </c>
      <c r="AG256">
        <v>2</v>
      </c>
      <c r="AH256">
        <v>0</v>
      </c>
      <c r="AI256">
        <v>2</v>
      </c>
      <c r="AJ256">
        <f t="shared" si="30"/>
        <v>0</v>
      </c>
      <c r="AK256">
        <f t="shared" si="31"/>
        <v>0</v>
      </c>
      <c r="AL256">
        <f t="shared" si="32"/>
        <v>1</v>
      </c>
      <c r="AM256">
        <f t="shared" si="33"/>
        <v>3.75</v>
      </c>
      <c r="AN256">
        <f t="shared" si="34"/>
        <v>20793</v>
      </c>
      <c r="AO256">
        <f t="shared" si="35"/>
        <v>0.27272727272727271</v>
      </c>
      <c r="AP256" t="str">
        <f t="shared" si="36"/>
        <v>Under 30</v>
      </c>
      <c r="AQ256" t="str">
        <f t="shared" si="37"/>
        <v>High</v>
      </c>
      <c r="AR256" t="str">
        <f t="shared" si="38"/>
        <v>Long</v>
      </c>
      <c r="AS256">
        <f t="shared" si="39"/>
        <v>0</v>
      </c>
    </row>
    <row r="257" spans="1:4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s="20">
        <v>4898</v>
      </c>
      <c r="T257">
        <v>7505</v>
      </c>
      <c r="U257">
        <v>0</v>
      </c>
      <c r="V257" t="s">
        <v>42</v>
      </c>
      <c r="W257" t="s">
        <v>43</v>
      </c>
      <c r="X257" s="19">
        <v>12</v>
      </c>
      <c r="Y257">
        <v>3</v>
      </c>
      <c r="Z257">
        <v>4</v>
      </c>
      <c r="AA257">
        <v>80</v>
      </c>
      <c r="AB257">
        <v>2</v>
      </c>
      <c r="AC257">
        <v>5</v>
      </c>
      <c r="AD257">
        <v>3</v>
      </c>
      <c r="AE257">
        <v>3</v>
      </c>
      <c r="AF257">
        <v>4</v>
      </c>
      <c r="AG257">
        <v>2</v>
      </c>
      <c r="AH257">
        <v>1</v>
      </c>
      <c r="AI257">
        <v>2</v>
      </c>
      <c r="AJ257">
        <f t="shared" si="30"/>
        <v>0</v>
      </c>
      <c r="AK257">
        <f t="shared" si="31"/>
        <v>0</v>
      </c>
      <c r="AL257">
        <f t="shared" si="32"/>
        <v>0</v>
      </c>
      <c r="AM257">
        <f t="shared" si="33"/>
        <v>2.75</v>
      </c>
      <c r="AN257">
        <f t="shared" si="34"/>
        <v>11755.2</v>
      </c>
      <c r="AO257">
        <f t="shared" si="35"/>
        <v>0.66666666666666663</v>
      </c>
      <c r="AP257" t="str">
        <f t="shared" si="36"/>
        <v>Under 30</v>
      </c>
      <c r="AQ257" t="str">
        <f t="shared" si="37"/>
        <v>Medium</v>
      </c>
      <c r="AR257" t="str">
        <f t="shared" si="38"/>
        <v>Short</v>
      </c>
      <c r="AS257">
        <f t="shared" si="39"/>
        <v>0</v>
      </c>
    </row>
    <row r="258" spans="1:4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s="20">
        <v>2593</v>
      </c>
      <c r="T258">
        <v>8007</v>
      </c>
      <c r="U258">
        <v>0</v>
      </c>
      <c r="V258" t="s">
        <v>42</v>
      </c>
      <c r="W258" t="s">
        <v>35</v>
      </c>
      <c r="X258" s="19">
        <v>11</v>
      </c>
      <c r="Y258">
        <v>3</v>
      </c>
      <c r="Z258">
        <v>3</v>
      </c>
      <c r="AA258">
        <v>80</v>
      </c>
      <c r="AB258">
        <v>1</v>
      </c>
      <c r="AC258">
        <v>10</v>
      </c>
      <c r="AD258">
        <v>4</v>
      </c>
      <c r="AE258">
        <v>3</v>
      </c>
      <c r="AF258">
        <v>9</v>
      </c>
      <c r="AG258">
        <v>6</v>
      </c>
      <c r="AH258">
        <v>7</v>
      </c>
      <c r="AI258">
        <v>8</v>
      </c>
      <c r="AJ258">
        <f t="shared" si="30"/>
        <v>0</v>
      </c>
      <c r="AK258">
        <f t="shared" si="31"/>
        <v>1</v>
      </c>
      <c r="AL258">
        <f t="shared" si="32"/>
        <v>0</v>
      </c>
      <c r="AM258">
        <f t="shared" si="33"/>
        <v>2.75</v>
      </c>
      <c r="AN258">
        <f t="shared" si="34"/>
        <v>3111.6</v>
      </c>
      <c r="AO258">
        <f t="shared" si="35"/>
        <v>0.81818181818181823</v>
      </c>
      <c r="AP258" t="str">
        <f t="shared" si="36"/>
        <v>40-49</v>
      </c>
      <c r="AQ258" t="str">
        <f t="shared" si="37"/>
        <v>Low</v>
      </c>
      <c r="AR258" t="str">
        <f t="shared" si="38"/>
        <v>Short</v>
      </c>
      <c r="AS258">
        <f t="shared" si="39"/>
        <v>0</v>
      </c>
    </row>
    <row r="259" spans="1:4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s="20">
        <v>19436</v>
      </c>
      <c r="T259">
        <v>5949</v>
      </c>
      <c r="U259">
        <v>0</v>
      </c>
      <c r="V259" t="s">
        <v>42</v>
      </c>
      <c r="W259" t="s">
        <v>43</v>
      </c>
      <c r="X259" s="19">
        <v>19</v>
      </c>
      <c r="Y259">
        <v>3</v>
      </c>
      <c r="Z259">
        <v>4</v>
      </c>
      <c r="AA259">
        <v>80</v>
      </c>
      <c r="AB259">
        <v>1</v>
      </c>
      <c r="AC259">
        <v>22</v>
      </c>
      <c r="AD259">
        <v>5</v>
      </c>
      <c r="AE259">
        <v>3</v>
      </c>
      <c r="AF259">
        <v>21</v>
      </c>
      <c r="AG259">
        <v>7</v>
      </c>
      <c r="AH259">
        <v>3</v>
      </c>
      <c r="AI259">
        <v>9</v>
      </c>
      <c r="AJ259">
        <f t="shared" ref="AJ259:AJ322" si="40">IF(B259="Yes",1,0)</f>
        <v>0</v>
      </c>
      <c r="AK259">
        <f t="shared" ref="AK259:AK322" si="41">IF(W259="Yes",1,0)</f>
        <v>0</v>
      </c>
      <c r="AL259">
        <f t="shared" ref="AL259:AL322" si="42">IF(L259="Male",1,0)</f>
        <v>1</v>
      </c>
      <c r="AM259">
        <f t="shared" ref="AM259:AM322" si="43">AVERAGE(K259,Q259,Z259,AE259)</f>
        <v>2.75</v>
      </c>
      <c r="AN259">
        <f t="shared" ref="AN259:AN322" si="44">(S259*12)/(AF259+1)</f>
        <v>10601.454545454546</v>
      </c>
      <c r="AO259">
        <f t="shared" ref="AO259:AO322" si="45">AF259/(AC259+1)</f>
        <v>0.91304347826086951</v>
      </c>
      <c r="AP259" t="str">
        <f t="shared" ref="AP259:AP322" si="46">IF(A259&lt;30,"Under 30",IF(A259&lt;40,"30-39",IF(A259&lt;50,"40-49","50+")))</f>
        <v>40-49</v>
      </c>
      <c r="AQ259" t="str">
        <f t="shared" ref="AQ259:AQ322" si="47">IF(S259&lt;=$AV$1,"Low",IF(S259&lt;=$AV$2,"Medium",IF(S259&lt;=$AV$3,"High","Very High")))</f>
        <v>Very High</v>
      </c>
      <c r="AR259" t="str">
        <f t="shared" ref="AR259:AR322" si="48">IF(F259&lt;=5,"Short",IF(F259&lt;=15,"Medium","Long"))</f>
        <v>Short</v>
      </c>
      <c r="AS259">
        <f t="shared" ref="AS259:AS322" si="49">IF(C259="Travel_Frequently",1,0)</f>
        <v>0</v>
      </c>
    </row>
    <row r="260" spans="1:4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s="20">
        <v>2723</v>
      </c>
      <c r="T260">
        <v>23231</v>
      </c>
      <c r="U260">
        <v>1</v>
      </c>
      <c r="V260" t="s">
        <v>42</v>
      </c>
      <c r="W260" t="s">
        <v>43</v>
      </c>
      <c r="X260" s="19">
        <v>11</v>
      </c>
      <c r="Y260">
        <v>3</v>
      </c>
      <c r="Z260">
        <v>2</v>
      </c>
      <c r="AA260">
        <v>80</v>
      </c>
      <c r="AB260">
        <v>0</v>
      </c>
      <c r="AC260">
        <v>1</v>
      </c>
      <c r="AD260">
        <v>0</v>
      </c>
      <c r="AE260">
        <v>2</v>
      </c>
      <c r="AF260">
        <v>1</v>
      </c>
      <c r="AG260">
        <v>0</v>
      </c>
      <c r="AH260">
        <v>0</v>
      </c>
      <c r="AI260">
        <v>0</v>
      </c>
      <c r="AJ260">
        <f t="shared" si="40"/>
        <v>0</v>
      </c>
      <c r="AK260">
        <f t="shared" si="41"/>
        <v>0</v>
      </c>
      <c r="AL260">
        <f t="shared" si="42"/>
        <v>1</v>
      </c>
      <c r="AM260">
        <f t="shared" si="43"/>
        <v>2.75</v>
      </c>
      <c r="AN260">
        <f t="shared" si="44"/>
        <v>16338</v>
      </c>
      <c r="AO260">
        <f t="shared" si="45"/>
        <v>0.5</v>
      </c>
      <c r="AP260" t="str">
        <f t="shared" si="46"/>
        <v>50+</v>
      </c>
      <c r="AQ260" t="str">
        <f t="shared" si="47"/>
        <v>Low</v>
      </c>
      <c r="AR260" t="str">
        <f t="shared" si="48"/>
        <v>Short</v>
      </c>
      <c r="AS260">
        <f t="shared" si="49"/>
        <v>0</v>
      </c>
    </row>
    <row r="261" spans="1:4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s="20">
        <v>3479</v>
      </c>
      <c r="T261">
        <v>11652</v>
      </c>
      <c r="U261">
        <v>0</v>
      </c>
      <c r="V261" t="s">
        <v>42</v>
      </c>
      <c r="W261" t="s">
        <v>43</v>
      </c>
      <c r="X261" s="19">
        <v>11</v>
      </c>
      <c r="Y261">
        <v>3</v>
      </c>
      <c r="Z261">
        <v>2</v>
      </c>
      <c r="AA261">
        <v>80</v>
      </c>
      <c r="AB261">
        <v>0</v>
      </c>
      <c r="AC261">
        <v>6</v>
      </c>
      <c r="AD261">
        <v>2</v>
      </c>
      <c r="AE261">
        <v>4</v>
      </c>
      <c r="AF261">
        <v>5</v>
      </c>
      <c r="AG261">
        <v>4</v>
      </c>
      <c r="AH261">
        <v>1</v>
      </c>
      <c r="AI261">
        <v>4</v>
      </c>
      <c r="AJ261">
        <f t="shared" si="40"/>
        <v>1</v>
      </c>
      <c r="AK261">
        <f t="shared" si="41"/>
        <v>0</v>
      </c>
      <c r="AL261">
        <f t="shared" si="42"/>
        <v>1</v>
      </c>
      <c r="AM261">
        <f t="shared" si="43"/>
        <v>2.75</v>
      </c>
      <c r="AN261">
        <f t="shared" si="44"/>
        <v>6958</v>
      </c>
      <c r="AO261">
        <f t="shared" si="45"/>
        <v>0.7142857142857143</v>
      </c>
      <c r="AP261" t="str">
        <f t="shared" si="46"/>
        <v>30-39</v>
      </c>
      <c r="AQ261" t="str">
        <f t="shared" si="47"/>
        <v>Medium</v>
      </c>
      <c r="AR261" t="str">
        <f t="shared" si="48"/>
        <v>Long</v>
      </c>
      <c r="AS261">
        <f t="shared" si="49"/>
        <v>1</v>
      </c>
    </row>
    <row r="262" spans="1:4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s="20">
        <v>2794</v>
      </c>
      <c r="T262">
        <v>26062</v>
      </c>
      <c r="U262">
        <v>1</v>
      </c>
      <c r="V262" t="s">
        <v>42</v>
      </c>
      <c r="W262" t="s">
        <v>43</v>
      </c>
      <c r="X262" s="19">
        <v>20</v>
      </c>
      <c r="Y262">
        <v>4</v>
      </c>
      <c r="Z262">
        <v>3</v>
      </c>
      <c r="AA262">
        <v>80</v>
      </c>
      <c r="AB262">
        <v>0</v>
      </c>
      <c r="AC262">
        <v>10</v>
      </c>
      <c r="AD262">
        <v>3</v>
      </c>
      <c r="AE262">
        <v>1</v>
      </c>
      <c r="AF262">
        <v>5</v>
      </c>
      <c r="AG262">
        <v>1</v>
      </c>
      <c r="AH262">
        <v>0</v>
      </c>
      <c r="AI262">
        <v>3</v>
      </c>
      <c r="AJ262">
        <f t="shared" si="40"/>
        <v>0</v>
      </c>
      <c r="AK262">
        <f t="shared" si="41"/>
        <v>0</v>
      </c>
      <c r="AL262">
        <f t="shared" si="42"/>
        <v>1</v>
      </c>
      <c r="AM262">
        <f t="shared" si="43"/>
        <v>2</v>
      </c>
      <c r="AN262">
        <f t="shared" si="44"/>
        <v>5588</v>
      </c>
      <c r="AO262">
        <f t="shared" si="45"/>
        <v>0.45454545454545453</v>
      </c>
      <c r="AP262" t="str">
        <f t="shared" si="46"/>
        <v>30-39</v>
      </c>
      <c r="AQ262" t="str">
        <f t="shared" si="47"/>
        <v>Low</v>
      </c>
      <c r="AR262" t="str">
        <f t="shared" si="48"/>
        <v>Medium</v>
      </c>
      <c r="AS262">
        <f t="shared" si="49"/>
        <v>1</v>
      </c>
    </row>
    <row r="263" spans="1:4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s="20">
        <v>5249</v>
      </c>
      <c r="T263">
        <v>19682</v>
      </c>
      <c r="U263">
        <v>3</v>
      </c>
      <c r="V263" t="s">
        <v>42</v>
      </c>
      <c r="W263" t="s">
        <v>43</v>
      </c>
      <c r="X263" s="19">
        <v>18</v>
      </c>
      <c r="Y263">
        <v>3</v>
      </c>
      <c r="Z263">
        <v>4</v>
      </c>
      <c r="AA263">
        <v>80</v>
      </c>
      <c r="AB263">
        <v>1</v>
      </c>
      <c r="AC263">
        <v>13</v>
      </c>
      <c r="AD263">
        <v>0</v>
      </c>
      <c r="AE263">
        <v>3</v>
      </c>
      <c r="AF263">
        <v>8</v>
      </c>
      <c r="AG263">
        <v>7</v>
      </c>
      <c r="AH263">
        <v>7</v>
      </c>
      <c r="AI263">
        <v>5</v>
      </c>
      <c r="AJ263">
        <f t="shared" si="40"/>
        <v>0</v>
      </c>
      <c r="AK263">
        <f t="shared" si="41"/>
        <v>0</v>
      </c>
      <c r="AL263">
        <f t="shared" si="42"/>
        <v>1</v>
      </c>
      <c r="AM263">
        <f t="shared" si="43"/>
        <v>3.75</v>
      </c>
      <c r="AN263">
        <f t="shared" si="44"/>
        <v>6998.666666666667</v>
      </c>
      <c r="AO263">
        <f t="shared" si="45"/>
        <v>0.5714285714285714</v>
      </c>
      <c r="AP263" t="str">
        <f t="shared" si="46"/>
        <v>30-39</v>
      </c>
      <c r="AQ263" t="str">
        <f t="shared" si="47"/>
        <v>High</v>
      </c>
      <c r="AR263" t="str">
        <f t="shared" si="48"/>
        <v>Short</v>
      </c>
      <c r="AS263">
        <f t="shared" si="49"/>
        <v>0</v>
      </c>
    </row>
    <row r="264" spans="1:4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s="20">
        <v>2176</v>
      </c>
      <c r="T264">
        <v>19737</v>
      </c>
      <c r="U264">
        <v>4</v>
      </c>
      <c r="V264" t="s">
        <v>42</v>
      </c>
      <c r="W264" t="s">
        <v>43</v>
      </c>
      <c r="X264" s="19">
        <v>13</v>
      </c>
      <c r="Y264">
        <v>3</v>
      </c>
      <c r="Z264">
        <v>4</v>
      </c>
      <c r="AA264">
        <v>80</v>
      </c>
      <c r="AB264">
        <v>0</v>
      </c>
      <c r="AC264">
        <v>9</v>
      </c>
      <c r="AD264">
        <v>5</v>
      </c>
      <c r="AE264">
        <v>3</v>
      </c>
      <c r="AF264">
        <v>6</v>
      </c>
      <c r="AG264">
        <v>2</v>
      </c>
      <c r="AH264">
        <v>0</v>
      </c>
      <c r="AI264">
        <v>4</v>
      </c>
      <c r="AJ264">
        <f t="shared" si="40"/>
        <v>0</v>
      </c>
      <c r="AK264">
        <f t="shared" si="41"/>
        <v>0</v>
      </c>
      <c r="AL264">
        <f t="shared" si="42"/>
        <v>1</v>
      </c>
      <c r="AM264">
        <f t="shared" si="43"/>
        <v>3</v>
      </c>
      <c r="AN264">
        <f t="shared" si="44"/>
        <v>3730.2857142857142</v>
      </c>
      <c r="AO264">
        <f t="shared" si="45"/>
        <v>0.6</v>
      </c>
      <c r="AP264" t="str">
        <f t="shared" si="46"/>
        <v>30-39</v>
      </c>
      <c r="AQ264" t="str">
        <f t="shared" si="47"/>
        <v>Low</v>
      </c>
      <c r="AR264" t="str">
        <f t="shared" si="48"/>
        <v>Short</v>
      </c>
      <c r="AS264">
        <f t="shared" si="49"/>
        <v>0</v>
      </c>
    </row>
    <row r="265" spans="1:4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s="20">
        <v>16872</v>
      </c>
      <c r="T265">
        <v>14977</v>
      </c>
      <c r="U265">
        <v>3</v>
      </c>
      <c r="V265" t="s">
        <v>42</v>
      </c>
      <c r="W265" t="s">
        <v>35</v>
      </c>
      <c r="X265" s="19">
        <v>12</v>
      </c>
      <c r="Y265">
        <v>3</v>
      </c>
      <c r="Z265">
        <v>2</v>
      </c>
      <c r="AA265">
        <v>80</v>
      </c>
      <c r="AB265">
        <v>1</v>
      </c>
      <c r="AC265">
        <v>28</v>
      </c>
      <c r="AD265">
        <v>2</v>
      </c>
      <c r="AE265">
        <v>2</v>
      </c>
      <c r="AF265">
        <v>7</v>
      </c>
      <c r="AG265">
        <v>7</v>
      </c>
      <c r="AH265">
        <v>7</v>
      </c>
      <c r="AI265">
        <v>7</v>
      </c>
      <c r="AJ265">
        <f t="shared" si="40"/>
        <v>0</v>
      </c>
      <c r="AK265">
        <f t="shared" si="41"/>
        <v>1</v>
      </c>
      <c r="AL265">
        <f t="shared" si="42"/>
        <v>0</v>
      </c>
      <c r="AM265">
        <f t="shared" si="43"/>
        <v>2.25</v>
      </c>
      <c r="AN265">
        <f t="shared" si="44"/>
        <v>25308</v>
      </c>
      <c r="AO265">
        <f t="shared" si="45"/>
        <v>0.2413793103448276</v>
      </c>
      <c r="AP265" t="str">
        <f t="shared" si="46"/>
        <v>40-49</v>
      </c>
      <c r="AQ265" t="str">
        <f t="shared" si="47"/>
        <v>Very High</v>
      </c>
      <c r="AR265" t="str">
        <f t="shared" si="48"/>
        <v>Short</v>
      </c>
      <c r="AS265">
        <f t="shared" si="49"/>
        <v>0</v>
      </c>
    </row>
    <row r="266" spans="1:4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s="20">
        <v>3485</v>
      </c>
      <c r="T266">
        <v>14935</v>
      </c>
      <c r="U266">
        <v>2</v>
      </c>
      <c r="V266" t="s">
        <v>42</v>
      </c>
      <c r="W266" t="s">
        <v>43</v>
      </c>
      <c r="X266" s="19">
        <v>11</v>
      </c>
      <c r="Y266">
        <v>3</v>
      </c>
      <c r="Z266">
        <v>3</v>
      </c>
      <c r="AA266">
        <v>80</v>
      </c>
      <c r="AB266">
        <v>0</v>
      </c>
      <c r="AC266">
        <v>5</v>
      </c>
      <c r="AD266">
        <v>5</v>
      </c>
      <c r="AE266">
        <v>1</v>
      </c>
      <c r="AF266">
        <v>0</v>
      </c>
      <c r="AG266">
        <v>0</v>
      </c>
      <c r="AH266">
        <v>0</v>
      </c>
      <c r="AI266">
        <v>0</v>
      </c>
      <c r="AJ266">
        <f t="shared" si="40"/>
        <v>1</v>
      </c>
      <c r="AK266">
        <f t="shared" si="41"/>
        <v>0</v>
      </c>
      <c r="AL266">
        <f t="shared" si="42"/>
        <v>1</v>
      </c>
      <c r="AM266">
        <f t="shared" si="43"/>
        <v>2</v>
      </c>
      <c r="AN266">
        <f t="shared" si="44"/>
        <v>41820</v>
      </c>
      <c r="AO266">
        <f t="shared" si="45"/>
        <v>0</v>
      </c>
      <c r="AP266" t="str">
        <f t="shared" si="46"/>
        <v>Under 30</v>
      </c>
      <c r="AQ266" t="str">
        <f t="shared" si="47"/>
        <v>Medium</v>
      </c>
      <c r="AR266" t="str">
        <f t="shared" si="48"/>
        <v>Short</v>
      </c>
      <c r="AS266">
        <f t="shared" si="49"/>
        <v>0</v>
      </c>
    </row>
    <row r="267" spans="1:4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s="20">
        <v>6644</v>
      </c>
      <c r="T267">
        <v>3687</v>
      </c>
      <c r="U267">
        <v>2</v>
      </c>
      <c r="V267" t="s">
        <v>42</v>
      </c>
      <c r="W267" t="s">
        <v>43</v>
      </c>
      <c r="X267" s="19">
        <v>19</v>
      </c>
      <c r="Y267">
        <v>3</v>
      </c>
      <c r="Z267">
        <v>2</v>
      </c>
      <c r="AA267">
        <v>80</v>
      </c>
      <c r="AB267">
        <v>2</v>
      </c>
      <c r="AC267">
        <v>10</v>
      </c>
      <c r="AD267">
        <v>2</v>
      </c>
      <c r="AE267">
        <v>3</v>
      </c>
      <c r="AF267">
        <v>0</v>
      </c>
      <c r="AG267">
        <v>0</v>
      </c>
      <c r="AH267">
        <v>0</v>
      </c>
      <c r="AI267">
        <v>0</v>
      </c>
      <c r="AJ267">
        <f t="shared" si="40"/>
        <v>0</v>
      </c>
      <c r="AK267">
        <f t="shared" si="41"/>
        <v>0</v>
      </c>
      <c r="AL267">
        <f t="shared" si="42"/>
        <v>1</v>
      </c>
      <c r="AM267">
        <f t="shared" si="43"/>
        <v>2</v>
      </c>
      <c r="AN267">
        <f t="shared" si="44"/>
        <v>79728</v>
      </c>
      <c r="AO267">
        <f t="shared" si="45"/>
        <v>0</v>
      </c>
      <c r="AP267" t="str">
        <f t="shared" si="46"/>
        <v>Under 30</v>
      </c>
      <c r="AQ267" t="str">
        <f t="shared" si="47"/>
        <v>High</v>
      </c>
      <c r="AR267" t="str">
        <f t="shared" si="48"/>
        <v>Short</v>
      </c>
      <c r="AS267">
        <f t="shared" si="49"/>
        <v>0</v>
      </c>
    </row>
    <row r="268" spans="1:4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s="20">
        <v>5582</v>
      </c>
      <c r="T268">
        <v>14408</v>
      </c>
      <c r="U268">
        <v>0</v>
      </c>
      <c r="V268" t="s">
        <v>42</v>
      </c>
      <c r="W268" t="s">
        <v>43</v>
      </c>
      <c r="X268" s="19">
        <v>21</v>
      </c>
      <c r="Y268">
        <v>4</v>
      </c>
      <c r="Z268">
        <v>2</v>
      </c>
      <c r="AA268">
        <v>80</v>
      </c>
      <c r="AB268">
        <v>1</v>
      </c>
      <c r="AC268">
        <v>10</v>
      </c>
      <c r="AD268">
        <v>2</v>
      </c>
      <c r="AE268">
        <v>3</v>
      </c>
      <c r="AF268">
        <v>9</v>
      </c>
      <c r="AG268">
        <v>0</v>
      </c>
      <c r="AH268">
        <v>7</v>
      </c>
      <c r="AI268">
        <v>8</v>
      </c>
      <c r="AJ268">
        <f t="shared" si="40"/>
        <v>0</v>
      </c>
      <c r="AK268">
        <f t="shared" si="41"/>
        <v>0</v>
      </c>
      <c r="AL268">
        <f t="shared" si="42"/>
        <v>1</v>
      </c>
      <c r="AM268">
        <f t="shared" si="43"/>
        <v>2.75</v>
      </c>
      <c r="AN268">
        <f t="shared" si="44"/>
        <v>6698.4</v>
      </c>
      <c r="AO268">
        <f t="shared" si="45"/>
        <v>0.81818181818181823</v>
      </c>
      <c r="AP268" t="str">
        <f t="shared" si="46"/>
        <v>30-39</v>
      </c>
      <c r="AQ268" t="str">
        <f t="shared" si="47"/>
        <v>High</v>
      </c>
      <c r="AR268" t="str">
        <f t="shared" si="48"/>
        <v>Long</v>
      </c>
      <c r="AS268">
        <f t="shared" si="49"/>
        <v>0</v>
      </c>
    </row>
    <row r="269" spans="1:4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s="20">
        <v>4000</v>
      </c>
      <c r="T269">
        <v>18384</v>
      </c>
      <c r="U269">
        <v>1</v>
      </c>
      <c r="V269" t="s">
        <v>42</v>
      </c>
      <c r="W269" t="s">
        <v>43</v>
      </c>
      <c r="X269" s="19">
        <v>12</v>
      </c>
      <c r="Y269">
        <v>3</v>
      </c>
      <c r="Z269">
        <v>4</v>
      </c>
      <c r="AA269">
        <v>80</v>
      </c>
      <c r="AB269">
        <v>2</v>
      </c>
      <c r="AC269">
        <v>6</v>
      </c>
      <c r="AD269">
        <v>2</v>
      </c>
      <c r="AE269">
        <v>3</v>
      </c>
      <c r="AF269">
        <v>6</v>
      </c>
      <c r="AG269">
        <v>3</v>
      </c>
      <c r="AH269">
        <v>1</v>
      </c>
      <c r="AI269">
        <v>5</v>
      </c>
      <c r="AJ269">
        <f t="shared" si="40"/>
        <v>0</v>
      </c>
      <c r="AK269">
        <f t="shared" si="41"/>
        <v>0</v>
      </c>
      <c r="AL269">
        <f t="shared" si="42"/>
        <v>1</v>
      </c>
      <c r="AM269">
        <f t="shared" si="43"/>
        <v>2.5</v>
      </c>
      <c r="AN269">
        <f t="shared" si="44"/>
        <v>6857.1428571428569</v>
      </c>
      <c r="AO269">
        <f t="shared" si="45"/>
        <v>0.8571428571428571</v>
      </c>
      <c r="AP269" t="str">
        <f t="shared" si="46"/>
        <v>Under 30</v>
      </c>
      <c r="AQ269" t="str">
        <f t="shared" si="47"/>
        <v>Medium</v>
      </c>
      <c r="AR269" t="str">
        <f t="shared" si="48"/>
        <v>Short</v>
      </c>
      <c r="AS269">
        <f t="shared" si="49"/>
        <v>0</v>
      </c>
    </row>
    <row r="270" spans="1:4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s="20">
        <v>13496</v>
      </c>
      <c r="T270">
        <v>7501</v>
      </c>
      <c r="U270">
        <v>0</v>
      </c>
      <c r="V270" t="s">
        <v>42</v>
      </c>
      <c r="W270" t="s">
        <v>35</v>
      </c>
      <c r="X270" s="19">
        <v>14</v>
      </c>
      <c r="Y270">
        <v>3</v>
      </c>
      <c r="Z270">
        <v>2</v>
      </c>
      <c r="AA270">
        <v>80</v>
      </c>
      <c r="AB270">
        <v>0</v>
      </c>
      <c r="AC270">
        <v>21</v>
      </c>
      <c r="AD270">
        <v>2</v>
      </c>
      <c r="AE270">
        <v>3</v>
      </c>
      <c r="AF270">
        <v>20</v>
      </c>
      <c r="AG270">
        <v>7</v>
      </c>
      <c r="AH270">
        <v>4</v>
      </c>
      <c r="AI270">
        <v>10</v>
      </c>
      <c r="AJ270">
        <f t="shared" si="40"/>
        <v>0</v>
      </c>
      <c r="AK270">
        <f t="shared" si="41"/>
        <v>1</v>
      </c>
      <c r="AL270">
        <f t="shared" si="42"/>
        <v>1</v>
      </c>
      <c r="AM270">
        <f t="shared" si="43"/>
        <v>3</v>
      </c>
      <c r="AN270">
        <f t="shared" si="44"/>
        <v>7712</v>
      </c>
      <c r="AO270">
        <f t="shared" si="45"/>
        <v>0.90909090909090906</v>
      </c>
      <c r="AP270" t="str">
        <f t="shared" si="46"/>
        <v>40-49</v>
      </c>
      <c r="AQ270" t="str">
        <f t="shared" si="47"/>
        <v>Very High</v>
      </c>
      <c r="AR270" t="str">
        <f t="shared" si="48"/>
        <v>Long</v>
      </c>
      <c r="AS270">
        <f t="shared" si="49"/>
        <v>0</v>
      </c>
    </row>
    <row r="271" spans="1:4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s="20">
        <v>3210</v>
      </c>
      <c r="T271">
        <v>20251</v>
      </c>
      <c r="U271">
        <v>0</v>
      </c>
      <c r="V271" t="s">
        <v>42</v>
      </c>
      <c r="W271" t="s">
        <v>43</v>
      </c>
      <c r="X271" s="19">
        <v>11</v>
      </c>
      <c r="Y271">
        <v>3</v>
      </c>
      <c r="Z271">
        <v>3</v>
      </c>
      <c r="AA271">
        <v>80</v>
      </c>
      <c r="AB271">
        <v>1</v>
      </c>
      <c r="AC271">
        <v>16</v>
      </c>
      <c r="AD271">
        <v>4</v>
      </c>
      <c r="AE271">
        <v>3</v>
      </c>
      <c r="AF271">
        <v>15</v>
      </c>
      <c r="AG271">
        <v>13</v>
      </c>
      <c r="AH271">
        <v>10</v>
      </c>
      <c r="AI271">
        <v>11</v>
      </c>
      <c r="AJ271">
        <f t="shared" si="40"/>
        <v>0</v>
      </c>
      <c r="AK271">
        <f t="shared" si="41"/>
        <v>0</v>
      </c>
      <c r="AL271">
        <f t="shared" si="42"/>
        <v>1</v>
      </c>
      <c r="AM271">
        <f t="shared" si="43"/>
        <v>3.5</v>
      </c>
      <c r="AN271">
        <f t="shared" si="44"/>
        <v>2407.5</v>
      </c>
      <c r="AO271">
        <f t="shared" si="45"/>
        <v>0.88235294117647056</v>
      </c>
      <c r="AP271" t="str">
        <f t="shared" si="46"/>
        <v>30-39</v>
      </c>
      <c r="AQ271" t="str">
        <f t="shared" si="47"/>
        <v>Medium</v>
      </c>
      <c r="AR271" t="str">
        <f t="shared" si="48"/>
        <v>Medium</v>
      </c>
      <c r="AS271">
        <f t="shared" si="49"/>
        <v>0</v>
      </c>
    </row>
    <row r="272" spans="1:4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s="20">
        <v>19045</v>
      </c>
      <c r="T272">
        <v>18938</v>
      </c>
      <c r="U272">
        <v>0</v>
      </c>
      <c r="V272" t="s">
        <v>42</v>
      </c>
      <c r="W272" t="s">
        <v>35</v>
      </c>
      <c r="X272" s="19">
        <v>14</v>
      </c>
      <c r="Y272">
        <v>3</v>
      </c>
      <c r="Z272">
        <v>3</v>
      </c>
      <c r="AA272">
        <v>80</v>
      </c>
      <c r="AB272">
        <v>0</v>
      </c>
      <c r="AC272">
        <v>37</v>
      </c>
      <c r="AD272">
        <v>2</v>
      </c>
      <c r="AE272">
        <v>3</v>
      </c>
      <c r="AF272">
        <v>36</v>
      </c>
      <c r="AG272">
        <v>10</v>
      </c>
      <c r="AH272">
        <v>4</v>
      </c>
      <c r="AI272">
        <v>13</v>
      </c>
      <c r="AJ272">
        <f t="shared" si="40"/>
        <v>0</v>
      </c>
      <c r="AK272">
        <f t="shared" si="41"/>
        <v>1</v>
      </c>
      <c r="AL272">
        <f t="shared" si="42"/>
        <v>1</v>
      </c>
      <c r="AM272">
        <f t="shared" si="43"/>
        <v>2.75</v>
      </c>
      <c r="AN272">
        <f t="shared" si="44"/>
        <v>6176.7567567567567</v>
      </c>
      <c r="AO272">
        <f t="shared" si="45"/>
        <v>0.94736842105263153</v>
      </c>
      <c r="AP272" t="str">
        <f t="shared" si="46"/>
        <v>50+</v>
      </c>
      <c r="AQ272" t="str">
        <f t="shared" si="47"/>
        <v>Very High</v>
      </c>
      <c r="AR272" t="str">
        <f t="shared" si="48"/>
        <v>Short</v>
      </c>
      <c r="AS272">
        <f t="shared" si="49"/>
        <v>0</v>
      </c>
    </row>
    <row r="273" spans="1:4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s="20">
        <v>11849</v>
      </c>
      <c r="T273">
        <v>10268</v>
      </c>
      <c r="U273">
        <v>1</v>
      </c>
      <c r="V273" t="s">
        <v>42</v>
      </c>
      <c r="W273" t="s">
        <v>35</v>
      </c>
      <c r="X273" s="19">
        <v>12</v>
      </c>
      <c r="Y273">
        <v>3</v>
      </c>
      <c r="Z273">
        <v>4</v>
      </c>
      <c r="AA273">
        <v>80</v>
      </c>
      <c r="AB273">
        <v>1</v>
      </c>
      <c r="AC273">
        <v>10</v>
      </c>
      <c r="AD273">
        <v>2</v>
      </c>
      <c r="AE273">
        <v>2</v>
      </c>
      <c r="AF273">
        <v>10</v>
      </c>
      <c r="AG273">
        <v>7</v>
      </c>
      <c r="AH273">
        <v>9</v>
      </c>
      <c r="AI273">
        <v>9</v>
      </c>
      <c r="AJ273">
        <f t="shared" si="40"/>
        <v>1</v>
      </c>
      <c r="AK273">
        <f t="shared" si="41"/>
        <v>1</v>
      </c>
      <c r="AL273">
        <f t="shared" si="42"/>
        <v>1</v>
      </c>
      <c r="AM273">
        <f t="shared" si="43"/>
        <v>2.25</v>
      </c>
      <c r="AN273">
        <f t="shared" si="44"/>
        <v>12926.181818181818</v>
      </c>
      <c r="AO273">
        <f t="shared" si="45"/>
        <v>0.90909090909090906</v>
      </c>
      <c r="AP273" t="str">
        <f t="shared" si="46"/>
        <v>40-49</v>
      </c>
      <c r="AQ273" t="str">
        <f t="shared" si="47"/>
        <v>Very High</v>
      </c>
      <c r="AR273" t="str">
        <f t="shared" si="48"/>
        <v>Long</v>
      </c>
      <c r="AS273">
        <f t="shared" si="49"/>
        <v>0</v>
      </c>
    </row>
    <row r="274" spans="1:4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s="20">
        <v>2070</v>
      </c>
      <c r="T274">
        <v>2613</v>
      </c>
      <c r="U274">
        <v>1</v>
      </c>
      <c r="V274" t="s">
        <v>42</v>
      </c>
      <c r="W274" t="s">
        <v>43</v>
      </c>
      <c r="X274" s="19">
        <v>23</v>
      </c>
      <c r="Y274">
        <v>4</v>
      </c>
      <c r="Z274">
        <v>4</v>
      </c>
      <c r="AA274">
        <v>80</v>
      </c>
      <c r="AB274">
        <v>1</v>
      </c>
      <c r="AC274">
        <v>5</v>
      </c>
      <c r="AD274">
        <v>3</v>
      </c>
      <c r="AE274">
        <v>2</v>
      </c>
      <c r="AF274">
        <v>5</v>
      </c>
      <c r="AG274">
        <v>2</v>
      </c>
      <c r="AH274">
        <v>0</v>
      </c>
      <c r="AI274">
        <v>4</v>
      </c>
      <c r="AJ274">
        <f t="shared" si="40"/>
        <v>0</v>
      </c>
      <c r="AK274">
        <f t="shared" si="41"/>
        <v>0</v>
      </c>
      <c r="AL274">
        <f t="shared" si="42"/>
        <v>1</v>
      </c>
      <c r="AM274">
        <f t="shared" si="43"/>
        <v>3.5</v>
      </c>
      <c r="AN274">
        <f t="shared" si="44"/>
        <v>4140</v>
      </c>
      <c r="AO274">
        <f t="shared" si="45"/>
        <v>0.83333333333333337</v>
      </c>
      <c r="AP274" t="str">
        <f t="shared" si="46"/>
        <v>Under 30</v>
      </c>
      <c r="AQ274" t="str">
        <f t="shared" si="47"/>
        <v>Low</v>
      </c>
      <c r="AR274" t="str">
        <f t="shared" si="48"/>
        <v>Medium</v>
      </c>
      <c r="AS274">
        <f t="shared" si="49"/>
        <v>0</v>
      </c>
    </row>
    <row r="275" spans="1:4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s="20">
        <v>6502</v>
      </c>
      <c r="T275">
        <v>22825</v>
      </c>
      <c r="U275">
        <v>4</v>
      </c>
      <c r="V275" t="s">
        <v>42</v>
      </c>
      <c r="W275" t="s">
        <v>43</v>
      </c>
      <c r="X275" s="19">
        <v>14</v>
      </c>
      <c r="Y275">
        <v>3</v>
      </c>
      <c r="Z275">
        <v>2</v>
      </c>
      <c r="AA275">
        <v>80</v>
      </c>
      <c r="AB275">
        <v>1</v>
      </c>
      <c r="AC275">
        <v>7</v>
      </c>
      <c r="AD275">
        <v>5</v>
      </c>
      <c r="AE275">
        <v>4</v>
      </c>
      <c r="AF275">
        <v>5</v>
      </c>
      <c r="AG275">
        <v>4</v>
      </c>
      <c r="AH275">
        <v>0</v>
      </c>
      <c r="AI275">
        <v>1</v>
      </c>
      <c r="AJ275">
        <f t="shared" si="40"/>
        <v>0</v>
      </c>
      <c r="AK275">
        <f t="shared" si="41"/>
        <v>0</v>
      </c>
      <c r="AL275">
        <f t="shared" si="42"/>
        <v>1</v>
      </c>
      <c r="AM275">
        <f t="shared" si="43"/>
        <v>3.25</v>
      </c>
      <c r="AN275">
        <f t="shared" si="44"/>
        <v>13004</v>
      </c>
      <c r="AO275">
        <f t="shared" si="45"/>
        <v>0.625</v>
      </c>
      <c r="AP275" t="str">
        <f t="shared" si="46"/>
        <v>30-39</v>
      </c>
      <c r="AQ275" t="str">
        <f t="shared" si="47"/>
        <v>High</v>
      </c>
      <c r="AR275" t="str">
        <f t="shared" si="48"/>
        <v>Medium</v>
      </c>
      <c r="AS275">
        <f t="shared" si="49"/>
        <v>0</v>
      </c>
    </row>
    <row r="276" spans="1:4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s="20">
        <v>3230</v>
      </c>
      <c r="T276">
        <v>10531</v>
      </c>
      <c r="U276">
        <v>1</v>
      </c>
      <c r="V276" t="s">
        <v>42</v>
      </c>
      <c r="W276" t="s">
        <v>43</v>
      </c>
      <c r="X276" s="19">
        <v>17</v>
      </c>
      <c r="Y276">
        <v>3</v>
      </c>
      <c r="Z276">
        <v>1</v>
      </c>
      <c r="AA276">
        <v>80</v>
      </c>
      <c r="AB276">
        <v>0</v>
      </c>
      <c r="AC276">
        <v>3</v>
      </c>
      <c r="AD276">
        <v>4</v>
      </c>
      <c r="AE276">
        <v>4</v>
      </c>
      <c r="AF276">
        <v>3</v>
      </c>
      <c r="AG276">
        <v>2</v>
      </c>
      <c r="AH276">
        <v>1</v>
      </c>
      <c r="AI276">
        <v>0</v>
      </c>
      <c r="AJ276">
        <f t="shared" si="40"/>
        <v>0</v>
      </c>
      <c r="AK276">
        <f t="shared" si="41"/>
        <v>0</v>
      </c>
      <c r="AL276">
        <f t="shared" si="42"/>
        <v>1</v>
      </c>
      <c r="AM276">
        <f t="shared" si="43"/>
        <v>3</v>
      </c>
      <c r="AN276">
        <f t="shared" si="44"/>
        <v>9690</v>
      </c>
      <c r="AO276">
        <f t="shared" si="45"/>
        <v>0.75</v>
      </c>
      <c r="AP276" t="str">
        <f t="shared" si="46"/>
        <v>Under 30</v>
      </c>
      <c r="AQ276" t="str">
        <f t="shared" si="47"/>
        <v>Medium</v>
      </c>
      <c r="AR276" t="str">
        <f t="shared" si="48"/>
        <v>Short</v>
      </c>
      <c r="AS276">
        <f t="shared" si="49"/>
        <v>0</v>
      </c>
    </row>
    <row r="277" spans="1:4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s="20">
        <v>13603</v>
      </c>
      <c r="T277">
        <v>11677</v>
      </c>
      <c r="U277">
        <v>2</v>
      </c>
      <c r="V277" t="s">
        <v>42</v>
      </c>
      <c r="W277" t="s">
        <v>35</v>
      </c>
      <c r="X277" s="19">
        <v>18</v>
      </c>
      <c r="Y277">
        <v>3</v>
      </c>
      <c r="Z277">
        <v>1</v>
      </c>
      <c r="AA277">
        <v>80</v>
      </c>
      <c r="AB277">
        <v>2</v>
      </c>
      <c r="AC277">
        <v>15</v>
      </c>
      <c r="AD277">
        <v>2</v>
      </c>
      <c r="AE277">
        <v>3</v>
      </c>
      <c r="AF277">
        <v>5</v>
      </c>
      <c r="AG277">
        <v>2</v>
      </c>
      <c r="AH277">
        <v>0</v>
      </c>
      <c r="AI277">
        <v>2</v>
      </c>
      <c r="AJ277">
        <f t="shared" si="40"/>
        <v>0</v>
      </c>
      <c r="AK277">
        <f t="shared" si="41"/>
        <v>1</v>
      </c>
      <c r="AL277">
        <f t="shared" si="42"/>
        <v>0</v>
      </c>
      <c r="AM277">
        <f t="shared" si="43"/>
        <v>2.25</v>
      </c>
      <c r="AN277">
        <f t="shared" si="44"/>
        <v>27206</v>
      </c>
      <c r="AO277">
        <f t="shared" si="45"/>
        <v>0.3125</v>
      </c>
      <c r="AP277" t="str">
        <f t="shared" si="46"/>
        <v>30-39</v>
      </c>
      <c r="AQ277" t="str">
        <f t="shared" si="47"/>
        <v>Very High</v>
      </c>
      <c r="AR277" t="str">
        <f t="shared" si="48"/>
        <v>Short</v>
      </c>
      <c r="AS277">
        <f t="shared" si="49"/>
        <v>0</v>
      </c>
    </row>
    <row r="278" spans="1:4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s="20">
        <v>11996</v>
      </c>
      <c r="T278">
        <v>19100</v>
      </c>
      <c r="U278">
        <v>7</v>
      </c>
      <c r="V278" t="s">
        <v>42</v>
      </c>
      <c r="W278" t="s">
        <v>43</v>
      </c>
      <c r="X278" s="19">
        <v>18</v>
      </c>
      <c r="Y278">
        <v>3</v>
      </c>
      <c r="Z278">
        <v>2</v>
      </c>
      <c r="AA278">
        <v>80</v>
      </c>
      <c r="AB278">
        <v>1</v>
      </c>
      <c r="AC278">
        <v>10</v>
      </c>
      <c r="AD278">
        <v>6</v>
      </c>
      <c r="AE278">
        <v>2</v>
      </c>
      <c r="AF278">
        <v>7</v>
      </c>
      <c r="AG278">
        <v>7</v>
      </c>
      <c r="AH278">
        <v>6</v>
      </c>
      <c r="AI278">
        <v>2</v>
      </c>
      <c r="AJ278">
        <f t="shared" si="40"/>
        <v>0</v>
      </c>
      <c r="AK278">
        <f t="shared" si="41"/>
        <v>0</v>
      </c>
      <c r="AL278">
        <f t="shared" si="42"/>
        <v>0</v>
      </c>
      <c r="AM278">
        <f t="shared" si="43"/>
        <v>2</v>
      </c>
      <c r="AN278">
        <f t="shared" si="44"/>
        <v>17994</v>
      </c>
      <c r="AO278">
        <f t="shared" si="45"/>
        <v>0.63636363636363635</v>
      </c>
      <c r="AP278" t="str">
        <f t="shared" si="46"/>
        <v>30-39</v>
      </c>
      <c r="AQ278" t="str">
        <f t="shared" si="47"/>
        <v>Very High</v>
      </c>
      <c r="AR278" t="str">
        <f t="shared" si="48"/>
        <v>Long</v>
      </c>
      <c r="AS278">
        <f t="shared" si="49"/>
        <v>0</v>
      </c>
    </row>
    <row r="279" spans="1:4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s="20">
        <v>5605</v>
      </c>
      <c r="T279">
        <v>19191</v>
      </c>
      <c r="U279">
        <v>1</v>
      </c>
      <c r="V279" t="s">
        <v>42</v>
      </c>
      <c r="W279" t="s">
        <v>35</v>
      </c>
      <c r="X279" s="19">
        <v>24</v>
      </c>
      <c r="Y279">
        <v>4</v>
      </c>
      <c r="Z279">
        <v>3</v>
      </c>
      <c r="AA279">
        <v>80</v>
      </c>
      <c r="AB279">
        <v>1</v>
      </c>
      <c r="AC279">
        <v>8</v>
      </c>
      <c r="AD279">
        <v>3</v>
      </c>
      <c r="AE279">
        <v>3</v>
      </c>
      <c r="AF279">
        <v>8</v>
      </c>
      <c r="AG279">
        <v>0</v>
      </c>
      <c r="AH279">
        <v>7</v>
      </c>
      <c r="AI279">
        <v>7</v>
      </c>
      <c r="AJ279">
        <f t="shared" si="40"/>
        <v>0</v>
      </c>
      <c r="AK279">
        <f t="shared" si="41"/>
        <v>1</v>
      </c>
      <c r="AL279">
        <f t="shared" si="42"/>
        <v>0</v>
      </c>
      <c r="AM279">
        <f t="shared" si="43"/>
        <v>2</v>
      </c>
      <c r="AN279">
        <f t="shared" si="44"/>
        <v>7473.333333333333</v>
      </c>
      <c r="AO279">
        <f t="shared" si="45"/>
        <v>0.88888888888888884</v>
      </c>
      <c r="AP279" t="str">
        <f t="shared" si="46"/>
        <v>30-39</v>
      </c>
      <c r="AQ279" t="str">
        <f t="shared" si="47"/>
        <v>High</v>
      </c>
      <c r="AR279" t="str">
        <f t="shared" si="48"/>
        <v>Medium</v>
      </c>
      <c r="AS279">
        <f t="shared" si="49"/>
        <v>0</v>
      </c>
    </row>
    <row r="280" spans="1:4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s="20">
        <v>6397</v>
      </c>
      <c r="T280">
        <v>26767</v>
      </c>
      <c r="U280">
        <v>1</v>
      </c>
      <c r="V280" t="s">
        <v>42</v>
      </c>
      <c r="W280" t="s">
        <v>43</v>
      </c>
      <c r="X280" s="19">
        <v>20</v>
      </c>
      <c r="Y280">
        <v>4</v>
      </c>
      <c r="Z280">
        <v>1</v>
      </c>
      <c r="AA280">
        <v>80</v>
      </c>
      <c r="AB280">
        <v>1</v>
      </c>
      <c r="AC280">
        <v>6</v>
      </c>
      <c r="AD280">
        <v>6</v>
      </c>
      <c r="AE280">
        <v>1</v>
      </c>
      <c r="AF280">
        <v>6</v>
      </c>
      <c r="AG280">
        <v>5</v>
      </c>
      <c r="AH280">
        <v>1</v>
      </c>
      <c r="AI280">
        <v>4</v>
      </c>
      <c r="AJ280">
        <f t="shared" si="40"/>
        <v>0</v>
      </c>
      <c r="AK280">
        <f t="shared" si="41"/>
        <v>0</v>
      </c>
      <c r="AL280">
        <f t="shared" si="42"/>
        <v>0</v>
      </c>
      <c r="AM280">
        <f t="shared" si="43"/>
        <v>1.75</v>
      </c>
      <c r="AN280">
        <f t="shared" si="44"/>
        <v>10966.285714285714</v>
      </c>
      <c r="AO280">
        <f t="shared" si="45"/>
        <v>0.8571428571428571</v>
      </c>
      <c r="AP280" t="str">
        <f t="shared" si="46"/>
        <v>Under 30</v>
      </c>
      <c r="AQ280" t="str">
        <f t="shared" si="47"/>
        <v>High</v>
      </c>
      <c r="AR280" t="str">
        <f t="shared" si="48"/>
        <v>Short</v>
      </c>
      <c r="AS280">
        <f t="shared" si="49"/>
        <v>1</v>
      </c>
    </row>
    <row r="281" spans="1:4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s="20">
        <v>19144</v>
      </c>
      <c r="T281">
        <v>15815</v>
      </c>
      <c r="U281">
        <v>3</v>
      </c>
      <c r="V281" t="s">
        <v>42</v>
      </c>
      <c r="W281" t="s">
        <v>43</v>
      </c>
      <c r="X281" s="19">
        <v>14</v>
      </c>
      <c r="Y281">
        <v>3</v>
      </c>
      <c r="Z281">
        <v>1</v>
      </c>
      <c r="AA281">
        <v>80</v>
      </c>
      <c r="AB281">
        <v>2</v>
      </c>
      <c r="AC281">
        <v>28</v>
      </c>
      <c r="AD281">
        <v>4</v>
      </c>
      <c r="AE281">
        <v>2</v>
      </c>
      <c r="AF281">
        <v>10</v>
      </c>
      <c r="AG281">
        <v>4</v>
      </c>
      <c r="AH281">
        <v>1</v>
      </c>
      <c r="AI281">
        <v>6</v>
      </c>
      <c r="AJ281">
        <f t="shared" si="40"/>
        <v>0</v>
      </c>
      <c r="AK281">
        <f t="shared" si="41"/>
        <v>0</v>
      </c>
      <c r="AL281">
        <f t="shared" si="42"/>
        <v>1</v>
      </c>
      <c r="AM281">
        <f t="shared" si="43"/>
        <v>1.5</v>
      </c>
      <c r="AN281">
        <f t="shared" si="44"/>
        <v>20884.363636363636</v>
      </c>
      <c r="AO281">
        <f t="shared" si="45"/>
        <v>0.34482758620689657</v>
      </c>
      <c r="AP281" t="str">
        <f t="shared" si="46"/>
        <v>50+</v>
      </c>
      <c r="AQ281" t="str">
        <f t="shared" si="47"/>
        <v>Very High</v>
      </c>
      <c r="AR281" t="str">
        <f t="shared" si="48"/>
        <v>Short</v>
      </c>
      <c r="AS281">
        <f t="shared" si="49"/>
        <v>0</v>
      </c>
    </row>
    <row r="282" spans="1:4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s="20">
        <v>17584</v>
      </c>
      <c r="T282">
        <v>21016</v>
      </c>
      <c r="U282">
        <v>3</v>
      </c>
      <c r="V282" t="s">
        <v>42</v>
      </c>
      <c r="W282" t="s">
        <v>35</v>
      </c>
      <c r="X282" s="19">
        <v>16</v>
      </c>
      <c r="Y282">
        <v>3</v>
      </c>
      <c r="Z282">
        <v>4</v>
      </c>
      <c r="AA282">
        <v>80</v>
      </c>
      <c r="AB282">
        <v>3</v>
      </c>
      <c r="AC282">
        <v>21</v>
      </c>
      <c r="AD282">
        <v>5</v>
      </c>
      <c r="AE282">
        <v>2</v>
      </c>
      <c r="AF282">
        <v>5</v>
      </c>
      <c r="AG282">
        <v>3</v>
      </c>
      <c r="AH282">
        <v>1</v>
      </c>
      <c r="AI282">
        <v>3</v>
      </c>
      <c r="AJ282">
        <f t="shared" si="40"/>
        <v>0</v>
      </c>
      <c r="AK282">
        <f t="shared" si="41"/>
        <v>1</v>
      </c>
      <c r="AL282">
        <f t="shared" si="42"/>
        <v>1</v>
      </c>
      <c r="AM282">
        <f t="shared" si="43"/>
        <v>3</v>
      </c>
      <c r="AN282">
        <f t="shared" si="44"/>
        <v>35168</v>
      </c>
      <c r="AO282">
        <f t="shared" si="45"/>
        <v>0.22727272727272727</v>
      </c>
      <c r="AP282" t="str">
        <f t="shared" si="46"/>
        <v>50+</v>
      </c>
      <c r="AQ282" t="str">
        <f t="shared" si="47"/>
        <v>Very High</v>
      </c>
      <c r="AR282" t="str">
        <f t="shared" si="48"/>
        <v>Short</v>
      </c>
      <c r="AS282">
        <f t="shared" si="49"/>
        <v>0</v>
      </c>
    </row>
    <row r="283" spans="1:4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s="20">
        <v>4907</v>
      </c>
      <c r="T283">
        <v>24532</v>
      </c>
      <c r="U283">
        <v>1</v>
      </c>
      <c r="V283" t="s">
        <v>42</v>
      </c>
      <c r="W283" t="s">
        <v>43</v>
      </c>
      <c r="X283" s="19">
        <v>25</v>
      </c>
      <c r="Y283">
        <v>4</v>
      </c>
      <c r="Z283">
        <v>3</v>
      </c>
      <c r="AA283">
        <v>80</v>
      </c>
      <c r="AB283">
        <v>0</v>
      </c>
      <c r="AC283">
        <v>20</v>
      </c>
      <c r="AD283">
        <v>3</v>
      </c>
      <c r="AE283">
        <v>3</v>
      </c>
      <c r="AF283">
        <v>20</v>
      </c>
      <c r="AG283">
        <v>16</v>
      </c>
      <c r="AH283">
        <v>11</v>
      </c>
      <c r="AI283">
        <v>6</v>
      </c>
      <c r="AJ283">
        <f t="shared" si="40"/>
        <v>0</v>
      </c>
      <c r="AK283">
        <f t="shared" si="41"/>
        <v>0</v>
      </c>
      <c r="AL283">
        <f t="shared" si="42"/>
        <v>1</v>
      </c>
      <c r="AM283">
        <f t="shared" si="43"/>
        <v>2.75</v>
      </c>
      <c r="AN283">
        <f t="shared" si="44"/>
        <v>2804</v>
      </c>
      <c r="AO283">
        <f t="shared" si="45"/>
        <v>0.95238095238095233</v>
      </c>
      <c r="AP283" t="str">
        <f t="shared" si="46"/>
        <v>40-49</v>
      </c>
      <c r="AQ283" t="str">
        <f t="shared" si="47"/>
        <v>Medium</v>
      </c>
      <c r="AR283" t="str">
        <f t="shared" si="48"/>
        <v>Short</v>
      </c>
      <c r="AS283">
        <f t="shared" si="49"/>
        <v>0</v>
      </c>
    </row>
    <row r="284" spans="1:4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s="20">
        <v>4554</v>
      </c>
      <c r="T284">
        <v>20260</v>
      </c>
      <c r="U284">
        <v>1</v>
      </c>
      <c r="V284" t="s">
        <v>42</v>
      </c>
      <c r="W284" t="s">
        <v>43</v>
      </c>
      <c r="X284" s="19">
        <v>18</v>
      </c>
      <c r="Y284">
        <v>3</v>
      </c>
      <c r="Z284">
        <v>1</v>
      </c>
      <c r="AA284">
        <v>80</v>
      </c>
      <c r="AB284">
        <v>0</v>
      </c>
      <c r="AC284">
        <v>10</v>
      </c>
      <c r="AD284">
        <v>3</v>
      </c>
      <c r="AE284">
        <v>2</v>
      </c>
      <c r="AF284">
        <v>10</v>
      </c>
      <c r="AG284">
        <v>7</v>
      </c>
      <c r="AH284">
        <v>0</v>
      </c>
      <c r="AI284">
        <v>9</v>
      </c>
      <c r="AJ284">
        <f t="shared" si="40"/>
        <v>0</v>
      </c>
      <c r="AK284">
        <f t="shared" si="41"/>
        <v>0</v>
      </c>
      <c r="AL284">
        <f t="shared" si="42"/>
        <v>1</v>
      </c>
      <c r="AM284">
        <f t="shared" si="43"/>
        <v>2.25</v>
      </c>
      <c r="AN284">
        <f t="shared" si="44"/>
        <v>4968</v>
      </c>
      <c r="AO284">
        <f t="shared" si="45"/>
        <v>0.90909090909090906</v>
      </c>
      <c r="AP284" t="str">
        <f t="shared" si="46"/>
        <v>Under 30</v>
      </c>
      <c r="AQ284" t="str">
        <f t="shared" si="47"/>
        <v>Medium</v>
      </c>
      <c r="AR284" t="str">
        <f t="shared" si="48"/>
        <v>Short</v>
      </c>
      <c r="AS284">
        <f t="shared" si="49"/>
        <v>1</v>
      </c>
    </row>
    <row r="285" spans="1:4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s="20">
        <v>5415</v>
      </c>
      <c r="T285">
        <v>15972</v>
      </c>
      <c r="U285">
        <v>3</v>
      </c>
      <c r="V285" t="s">
        <v>42</v>
      </c>
      <c r="W285" t="s">
        <v>35</v>
      </c>
      <c r="X285" s="19">
        <v>19</v>
      </c>
      <c r="Y285">
        <v>3</v>
      </c>
      <c r="Z285">
        <v>4</v>
      </c>
      <c r="AA285">
        <v>80</v>
      </c>
      <c r="AB285">
        <v>1</v>
      </c>
      <c r="AC285">
        <v>12</v>
      </c>
      <c r="AD285">
        <v>4</v>
      </c>
      <c r="AE285">
        <v>3</v>
      </c>
      <c r="AF285">
        <v>10</v>
      </c>
      <c r="AG285">
        <v>7</v>
      </c>
      <c r="AH285">
        <v>0</v>
      </c>
      <c r="AI285">
        <v>8</v>
      </c>
      <c r="AJ285">
        <f t="shared" si="40"/>
        <v>0</v>
      </c>
      <c r="AK285">
        <f t="shared" si="41"/>
        <v>1</v>
      </c>
      <c r="AL285">
        <f t="shared" si="42"/>
        <v>1</v>
      </c>
      <c r="AM285">
        <f t="shared" si="43"/>
        <v>3.25</v>
      </c>
      <c r="AN285">
        <f t="shared" si="44"/>
        <v>5907.272727272727</v>
      </c>
      <c r="AO285">
        <f t="shared" si="45"/>
        <v>0.76923076923076927</v>
      </c>
      <c r="AP285" t="str">
        <f t="shared" si="46"/>
        <v>50+</v>
      </c>
      <c r="AQ285" t="str">
        <f t="shared" si="47"/>
        <v>High</v>
      </c>
      <c r="AR285" t="str">
        <f t="shared" si="48"/>
        <v>Long</v>
      </c>
      <c r="AS285">
        <f t="shared" si="49"/>
        <v>0</v>
      </c>
    </row>
    <row r="286" spans="1:4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s="20">
        <v>4741</v>
      </c>
      <c r="T286">
        <v>22722</v>
      </c>
      <c r="U286">
        <v>1</v>
      </c>
      <c r="V286" t="s">
        <v>42</v>
      </c>
      <c r="W286" t="s">
        <v>35</v>
      </c>
      <c r="X286" s="19">
        <v>13</v>
      </c>
      <c r="Y286">
        <v>3</v>
      </c>
      <c r="Z286">
        <v>3</v>
      </c>
      <c r="AA286">
        <v>80</v>
      </c>
      <c r="AB286">
        <v>1</v>
      </c>
      <c r="AC286">
        <v>5</v>
      </c>
      <c r="AD286">
        <v>3</v>
      </c>
      <c r="AE286">
        <v>3</v>
      </c>
      <c r="AF286">
        <v>5</v>
      </c>
      <c r="AG286">
        <v>3</v>
      </c>
      <c r="AH286">
        <v>3</v>
      </c>
      <c r="AI286">
        <v>3</v>
      </c>
      <c r="AJ286">
        <f t="shared" si="40"/>
        <v>0</v>
      </c>
      <c r="AK286">
        <f t="shared" si="41"/>
        <v>1</v>
      </c>
      <c r="AL286">
        <f t="shared" si="42"/>
        <v>1</v>
      </c>
      <c r="AM286">
        <f t="shared" si="43"/>
        <v>2</v>
      </c>
      <c r="AN286">
        <f t="shared" si="44"/>
        <v>9482</v>
      </c>
      <c r="AO286">
        <f t="shared" si="45"/>
        <v>0.83333333333333337</v>
      </c>
      <c r="AP286" t="str">
        <f t="shared" si="46"/>
        <v>Under 30</v>
      </c>
      <c r="AQ286" t="str">
        <f t="shared" si="47"/>
        <v>Medium</v>
      </c>
      <c r="AR286" t="str">
        <f t="shared" si="48"/>
        <v>Medium</v>
      </c>
      <c r="AS286">
        <f t="shared" si="49"/>
        <v>1</v>
      </c>
    </row>
    <row r="287" spans="1:4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s="20">
        <v>2115</v>
      </c>
      <c r="T287">
        <v>15881</v>
      </c>
      <c r="U287">
        <v>1</v>
      </c>
      <c r="V287" t="s">
        <v>42</v>
      </c>
      <c r="W287" t="s">
        <v>43</v>
      </c>
      <c r="X287" s="19">
        <v>12</v>
      </c>
      <c r="Y287">
        <v>3</v>
      </c>
      <c r="Z287">
        <v>2</v>
      </c>
      <c r="AA287">
        <v>80</v>
      </c>
      <c r="AB287">
        <v>0</v>
      </c>
      <c r="AC287">
        <v>17</v>
      </c>
      <c r="AD287">
        <v>3</v>
      </c>
      <c r="AE287">
        <v>3</v>
      </c>
      <c r="AF287">
        <v>17</v>
      </c>
      <c r="AG287">
        <v>12</v>
      </c>
      <c r="AH287">
        <v>5</v>
      </c>
      <c r="AI287">
        <v>7</v>
      </c>
      <c r="AJ287">
        <f t="shared" si="40"/>
        <v>0</v>
      </c>
      <c r="AK287">
        <f t="shared" si="41"/>
        <v>0</v>
      </c>
      <c r="AL287">
        <f t="shared" si="42"/>
        <v>0</v>
      </c>
      <c r="AM287">
        <f t="shared" si="43"/>
        <v>3.25</v>
      </c>
      <c r="AN287">
        <f t="shared" si="44"/>
        <v>1410</v>
      </c>
      <c r="AO287">
        <f t="shared" si="45"/>
        <v>0.94444444444444442</v>
      </c>
      <c r="AP287" t="str">
        <f t="shared" si="46"/>
        <v>30-39</v>
      </c>
      <c r="AQ287" t="str">
        <f t="shared" si="47"/>
        <v>Low</v>
      </c>
      <c r="AR287" t="str">
        <f t="shared" si="48"/>
        <v>Short</v>
      </c>
      <c r="AS287">
        <f t="shared" si="49"/>
        <v>0</v>
      </c>
    </row>
    <row r="288" spans="1:4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s="20">
        <v>3161</v>
      </c>
      <c r="T288">
        <v>19920</v>
      </c>
      <c r="U288">
        <v>3</v>
      </c>
      <c r="V288" t="s">
        <v>42</v>
      </c>
      <c r="W288" t="s">
        <v>35</v>
      </c>
      <c r="X288" s="19">
        <v>22</v>
      </c>
      <c r="Y288">
        <v>4</v>
      </c>
      <c r="Z288">
        <v>4</v>
      </c>
      <c r="AA288">
        <v>80</v>
      </c>
      <c r="AB288">
        <v>1</v>
      </c>
      <c r="AC288">
        <v>19</v>
      </c>
      <c r="AD288">
        <v>0</v>
      </c>
      <c r="AE288">
        <v>1</v>
      </c>
      <c r="AF288">
        <v>1</v>
      </c>
      <c r="AG288">
        <v>0</v>
      </c>
      <c r="AH288">
        <v>0</v>
      </c>
      <c r="AI288">
        <v>0</v>
      </c>
      <c r="AJ288">
        <f t="shared" si="40"/>
        <v>1</v>
      </c>
      <c r="AK288">
        <f t="shared" si="41"/>
        <v>1</v>
      </c>
      <c r="AL288">
        <f t="shared" si="42"/>
        <v>1</v>
      </c>
      <c r="AM288">
        <f t="shared" si="43"/>
        <v>3</v>
      </c>
      <c r="AN288">
        <f t="shared" si="44"/>
        <v>18966</v>
      </c>
      <c r="AO288">
        <f t="shared" si="45"/>
        <v>0.05</v>
      </c>
      <c r="AP288" t="str">
        <f t="shared" si="46"/>
        <v>40-49</v>
      </c>
      <c r="AQ288" t="str">
        <f t="shared" si="47"/>
        <v>Medium</v>
      </c>
      <c r="AR288" t="str">
        <f t="shared" si="48"/>
        <v>Long</v>
      </c>
      <c r="AS288">
        <f t="shared" si="49"/>
        <v>1</v>
      </c>
    </row>
    <row r="289" spans="1:4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s="20">
        <v>5745</v>
      </c>
      <c r="T289">
        <v>18899</v>
      </c>
      <c r="U289">
        <v>9</v>
      </c>
      <c r="V289" t="s">
        <v>42</v>
      </c>
      <c r="W289" t="s">
        <v>43</v>
      </c>
      <c r="X289" s="19">
        <v>14</v>
      </c>
      <c r="Y289">
        <v>3</v>
      </c>
      <c r="Z289">
        <v>2</v>
      </c>
      <c r="AA289">
        <v>80</v>
      </c>
      <c r="AB289">
        <v>1</v>
      </c>
      <c r="AC289">
        <v>10</v>
      </c>
      <c r="AD289">
        <v>2</v>
      </c>
      <c r="AE289">
        <v>3</v>
      </c>
      <c r="AF289">
        <v>2</v>
      </c>
      <c r="AG289">
        <v>2</v>
      </c>
      <c r="AH289">
        <v>1</v>
      </c>
      <c r="AI289">
        <v>2</v>
      </c>
      <c r="AJ289">
        <f t="shared" si="40"/>
        <v>0</v>
      </c>
      <c r="AK289">
        <f t="shared" si="41"/>
        <v>0</v>
      </c>
      <c r="AL289">
        <f t="shared" si="42"/>
        <v>1</v>
      </c>
      <c r="AM289">
        <f t="shared" si="43"/>
        <v>3.25</v>
      </c>
      <c r="AN289">
        <f t="shared" si="44"/>
        <v>22980</v>
      </c>
      <c r="AO289">
        <f t="shared" si="45"/>
        <v>0.18181818181818182</v>
      </c>
      <c r="AP289" t="str">
        <f t="shared" si="46"/>
        <v>30-39</v>
      </c>
      <c r="AQ289" t="str">
        <f t="shared" si="47"/>
        <v>High</v>
      </c>
      <c r="AR289" t="str">
        <f t="shared" si="48"/>
        <v>Long</v>
      </c>
      <c r="AS289">
        <f t="shared" si="49"/>
        <v>0</v>
      </c>
    </row>
    <row r="290" spans="1:4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s="20">
        <v>2373</v>
      </c>
      <c r="T290">
        <v>14180</v>
      </c>
      <c r="U290">
        <v>2</v>
      </c>
      <c r="V290" t="s">
        <v>42</v>
      </c>
      <c r="W290" t="s">
        <v>35</v>
      </c>
      <c r="X290" s="19">
        <v>13</v>
      </c>
      <c r="Y290">
        <v>3</v>
      </c>
      <c r="Z290">
        <v>4</v>
      </c>
      <c r="AA290">
        <v>80</v>
      </c>
      <c r="AB290">
        <v>1</v>
      </c>
      <c r="AC290">
        <v>5</v>
      </c>
      <c r="AD290">
        <v>2</v>
      </c>
      <c r="AE290">
        <v>3</v>
      </c>
      <c r="AF290">
        <v>3</v>
      </c>
      <c r="AG290">
        <v>2</v>
      </c>
      <c r="AH290">
        <v>0</v>
      </c>
      <c r="AI290">
        <v>2</v>
      </c>
      <c r="AJ290">
        <f t="shared" si="40"/>
        <v>1</v>
      </c>
      <c r="AK290">
        <f t="shared" si="41"/>
        <v>1</v>
      </c>
      <c r="AL290">
        <f t="shared" si="42"/>
        <v>1</v>
      </c>
      <c r="AM290">
        <f t="shared" si="43"/>
        <v>2.5</v>
      </c>
      <c r="AN290">
        <f t="shared" si="44"/>
        <v>7119</v>
      </c>
      <c r="AO290">
        <f t="shared" si="45"/>
        <v>0.5</v>
      </c>
      <c r="AP290" t="str">
        <f t="shared" si="46"/>
        <v>Under 30</v>
      </c>
      <c r="AQ290" t="str">
        <f t="shared" si="47"/>
        <v>Low</v>
      </c>
      <c r="AR290" t="str">
        <f t="shared" si="48"/>
        <v>Long</v>
      </c>
      <c r="AS290">
        <f t="shared" si="49"/>
        <v>0</v>
      </c>
    </row>
    <row r="291" spans="1:4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s="20">
        <v>3310</v>
      </c>
      <c r="T291">
        <v>4488</v>
      </c>
      <c r="U291">
        <v>1</v>
      </c>
      <c r="V291" t="s">
        <v>42</v>
      </c>
      <c r="W291" t="s">
        <v>43</v>
      </c>
      <c r="X291" s="19">
        <v>21</v>
      </c>
      <c r="Y291">
        <v>4</v>
      </c>
      <c r="Z291">
        <v>4</v>
      </c>
      <c r="AA291">
        <v>80</v>
      </c>
      <c r="AB291">
        <v>0</v>
      </c>
      <c r="AC291">
        <v>5</v>
      </c>
      <c r="AD291">
        <v>3</v>
      </c>
      <c r="AE291">
        <v>3</v>
      </c>
      <c r="AF291">
        <v>5</v>
      </c>
      <c r="AG291">
        <v>3</v>
      </c>
      <c r="AH291">
        <v>0</v>
      </c>
      <c r="AI291">
        <v>2</v>
      </c>
      <c r="AJ291">
        <f t="shared" si="40"/>
        <v>0</v>
      </c>
      <c r="AK291">
        <f t="shared" si="41"/>
        <v>0</v>
      </c>
      <c r="AL291">
        <f t="shared" si="42"/>
        <v>0</v>
      </c>
      <c r="AM291">
        <f t="shared" si="43"/>
        <v>3.75</v>
      </c>
      <c r="AN291">
        <f t="shared" si="44"/>
        <v>6620</v>
      </c>
      <c r="AO291">
        <f t="shared" si="45"/>
        <v>0.83333333333333337</v>
      </c>
      <c r="AP291" t="str">
        <f t="shared" si="46"/>
        <v>Under 30</v>
      </c>
      <c r="AQ291" t="str">
        <f t="shared" si="47"/>
        <v>Medium</v>
      </c>
      <c r="AR291" t="str">
        <f t="shared" si="48"/>
        <v>Medium</v>
      </c>
      <c r="AS291">
        <f t="shared" si="49"/>
        <v>0</v>
      </c>
    </row>
    <row r="292" spans="1:4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s="20">
        <v>18665</v>
      </c>
      <c r="T292">
        <v>25594</v>
      </c>
      <c r="U292">
        <v>9</v>
      </c>
      <c r="V292" t="s">
        <v>42</v>
      </c>
      <c r="W292" t="s">
        <v>35</v>
      </c>
      <c r="X292" s="19">
        <v>11</v>
      </c>
      <c r="Y292">
        <v>3</v>
      </c>
      <c r="Z292">
        <v>4</v>
      </c>
      <c r="AA292">
        <v>80</v>
      </c>
      <c r="AB292">
        <v>0</v>
      </c>
      <c r="AC292">
        <v>22</v>
      </c>
      <c r="AD292">
        <v>4</v>
      </c>
      <c r="AE292">
        <v>3</v>
      </c>
      <c r="AF292">
        <v>3</v>
      </c>
      <c r="AG292">
        <v>2</v>
      </c>
      <c r="AH292">
        <v>1</v>
      </c>
      <c r="AI292">
        <v>2</v>
      </c>
      <c r="AJ292">
        <f t="shared" si="40"/>
        <v>0</v>
      </c>
      <c r="AK292">
        <f t="shared" si="41"/>
        <v>1</v>
      </c>
      <c r="AL292">
        <f t="shared" si="42"/>
        <v>0</v>
      </c>
      <c r="AM292">
        <f t="shared" si="43"/>
        <v>2.75</v>
      </c>
      <c r="AN292">
        <f t="shared" si="44"/>
        <v>55995</v>
      </c>
      <c r="AO292">
        <f t="shared" si="45"/>
        <v>0.13043478260869565</v>
      </c>
      <c r="AP292" t="str">
        <f t="shared" si="46"/>
        <v>40-49</v>
      </c>
      <c r="AQ292" t="str">
        <f t="shared" si="47"/>
        <v>Very High</v>
      </c>
      <c r="AR292" t="str">
        <f t="shared" si="48"/>
        <v>Medium</v>
      </c>
      <c r="AS292">
        <f t="shared" si="49"/>
        <v>1</v>
      </c>
    </row>
    <row r="293" spans="1:4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s="20">
        <v>4485</v>
      </c>
      <c r="T293">
        <v>26285</v>
      </c>
      <c r="U293">
        <v>4</v>
      </c>
      <c r="V293" t="s">
        <v>42</v>
      </c>
      <c r="W293" t="s">
        <v>43</v>
      </c>
      <c r="X293" s="19">
        <v>12</v>
      </c>
      <c r="Y293">
        <v>3</v>
      </c>
      <c r="Z293">
        <v>4</v>
      </c>
      <c r="AA293">
        <v>80</v>
      </c>
      <c r="AB293">
        <v>0</v>
      </c>
      <c r="AC293">
        <v>10</v>
      </c>
      <c r="AD293">
        <v>2</v>
      </c>
      <c r="AE293">
        <v>3</v>
      </c>
      <c r="AF293">
        <v>8</v>
      </c>
      <c r="AG293">
        <v>0</v>
      </c>
      <c r="AH293">
        <v>7</v>
      </c>
      <c r="AI293">
        <v>7</v>
      </c>
      <c r="AJ293">
        <f t="shared" si="40"/>
        <v>0</v>
      </c>
      <c r="AK293">
        <f t="shared" si="41"/>
        <v>0</v>
      </c>
      <c r="AL293">
        <f t="shared" si="42"/>
        <v>1</v>
      </c>
      <c r="AM293">
        <f t="shared" si="43"/>
        <v>3</v>
      </c>
      <c r="AN293">
        <f t="shared" si="44"/>
        <v>5980</v>
      </c>
      <c r="AO293">
        <f t="shared" si="45"/>
        <v>0.72727272727272729</v>
      </c>
      <c r="AP293" t="str">
        <f t="shared" si="46"/>
        <v>30-39</v>
      </c>
      <c r="AQ293" t="str">
        <f t="shared" si="47"/>
        <v>Medium</v>
      </c>
      <c r="AR293" t="str">
        <f t="shared" si="48"/>
        <v>Short</v>
      </c>
      <c r="AS293">
        <f t="shared" si="49"/>
        <v>0</v>
      </c>
    </row>
    <row r="294" spans="1:4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s="20">
        <v>2789</v>
      </c>
      <c r="T294">
        <v>3909</v>
      </c>
      <c r="U294">
        <v>1</v>
      </c>
      <c r="V294" t="s">
        <v>42</v>
      </c>
      <c r="W294" t="s">
        <v>43</v>
      </c>
      <c r="X294" s="19">
        <v>11</v>
      </c>
      <c r="Y294">
        <v>3</v>
      </c>
      <c r="Z294">
        <v>3</v>
      </c>
      <c r="AA294">
        <v>80</v>
      </c>
      <c r="AB294">
        <v>1</v>
      </c>
      <c r="AC294">
        <v>2</v>
      </c>
      <c r="AD294">
        <v>5</v>
      </c>
      <c r="AE294">
        <v>2</v>
      </c>
      <c r="AF294">
        <v>2</v>
      </c>
      <c r="AG294">
        <v>2</v>
      </c>
      <c r="AH294">
        <v>2</v>
      </c>
      <c r="AI294">
        <v>2</v>
      </c>
      <c r="AJ294">
        <f t="shared" si="40"/>
        <v>0</v>
      </c>
      <c r="AK294">
        <f t="shared" si="41"/>
        <v>0</v>
      </c>
      <c r="AL294">
        <f t="shared" si="42"/>
        <v>0</v>
      </c>
      <c r="AM294">
        <f t="shared" si="43"/>
        <v>2.75</v>
      </c>
      <c r="AN294">
        <f t="shared" si="44"/>
        <v>11156</v>
      </c>
      <c r="AO294">
        <f t="shared" si="45"/>
        <v>0.66666666666666663</v>
      </c>
      <c r="AP294" t="str">
        <f t="shared" si="46"/>
        <v>30-39</v>
      </c>
      <c r="AQ294" t="str">
        <f t="shared" si="47"/>
        <v>Low</v>
      </c>
      <c r="AR294" t="str">
        <f t="shared" si="48"/>
        <v>Short</v>
      </c>
      <c r="AS294">
        <f t="shared" si="49"/>
        <v>1</v>
      </c>
    </row>
    <row r="295" spans="1:4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s="20">
        <v>5828</v>
      </c>
      <c r="T295">
        <v>8450</v>
      </c>
      <c r="U295">
        <v>1</v>
      </c>
      <c r="V295" t="s">
        <v>42</v>
      </c>
      <c r="W295" t="s">
        <v>35</v>
      </c>
      <c r="X295" s="19">
        <v>12</v>
      </c>
      <c r="Y295">
        <v>3</v>
      </c>
      <c r="Z295">
        <v>2</v>
      </c>
      <c r="AA295">
        <v>80</v>
      </c>
      <c r="AB295">
        <v>0</v>
      </c>
      <c r="AC295">
        <v>8</v>
      </c>
      <c r="AD295">
        <v>0</v>
      </c>
      <c r="AE295">
        <v>3</v>
      </c>
      <c r="AF295">
        <v>8</v>
      </c>
      <c r="AG295">
        <v>7</v>
      </c>
      <c r="AH295">
        <v>7</v>
      </c>
      <c r="AI295">
        <v>4</v>
      </c>
      <c r="AJ295">
        <f t="shared" si="40"/>
        <v>1</v>
      </c>
      <c r="AK295">
        <f t="shared" si="41"/>
        <v>1</v>
      </c>
      <c r="AL295">
        <f t="shared" si="42"/>
        <v>1</v>
      </c>
      <c r="AM295">
        <f t="shared" si="43"/>
        <v>3.25</v>
      </c>
      <c r="AN295">
        <f t="shared" si="44"/>
        <v>7770.666666666667</v>
      </c>
      <c r="AO295">
        <f t="shared" si="45"/>
        <v>0.88888888888888884</v>
      </c>
      <c r="AP295" t="str">
        <f t="shared" si="46"/>
        <v>Under 30</v>
      </c>
      <c r="AQ295" t="str">
        <f t="shared" si="47"/>
        <v>High</v>
      </c>
      <c r="AR295" t="str">
        <f t="shared" si="48"/>
        <v>Short</v>
      </c>
      <c r="AS295">
        <f t="shared" si="49"/>
        <v>0</v>
      </c>
    </row>
    <row r="296" spans="1:4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s="20">
        <v>2326</v>
      </c>
      <c r="T296">
        <v>11411</v>
      </c>
      <c r="U296">
        <v>1</v>
      </c>
      <c r="V296" t="s">
        <v>42</v>
      </c>
      <c r="W296" t="s">
        <v>35</v>
      </c>
      <c r="X296" s="19">
        <v>12</v>
      </c>
      <c r="Y296">
        <v>3</v>
      </c>
      <c r="Z296">
        <v>3</v>
      </c>
      <c r="AA296">
        <v>80</v>
      </c>
      <c r="AB296">
        <v>3</v>
      </c>
      <c r="AC296">
        <v>4</v>
      </c>
      <c r="AD296">
        <v>3</v>
      </c>
      <c r="AE296">
        <v>2</v>
      </c>
      <c r="AF296">
        <v>4</v>
      </c>
      <c r="AG296">
        <v>2</v>
      </c>
      <c r="AH296">
        <v>1</v>
      </c>
      <c r="AI296">
        <v>2</v>
      </c>
      <c r="AJ296">
        <f t="shared" si="40"/>
        <v>0</v>
      </c>
      <c r="AK296">
        <f t="shared" si="41"/>
        <v>1</v>
      </c>
      <c r="AL296">
        <f t="shared" si="42"/>
        <v>1</v>
      </c>
      <c r="AM296">
        <f t="shared" si="43"/>
        <v>2.75</v>
      </c>
      <c r="AN296">
        <f t="shared" si="44"/>
        <v>5582.4</v>
      </c>
      <c r="AO296">
        <f t="shared" si="45"/>
        <v>0.8</v>
      </c>
      <c r="AP296" t="str">
        <f t="shared" si="46"/>
        <v>30-39</v>
      </c>
      <c r="AQ296" t="str">
        <f t="shared" si="47"/>
        <v>Low</v>
      </c>
      <c r="AR296" t="str">
        <f t="shared" si="48"/>
        <v>Medium</v>
      </c>
      <c r="AS296">
        <f t="shared" si="49"/>
        <v>1</v>
      </c>
    </row>
    <row r="297" spans="1:4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s="20">
        <v>13525</v>
      </c>
      <c r="T297">
        <v>14864</v>
      </c>
      <c r="U297">
        <v>5</v>
      </c>
      <c r="V297" t="s">
        <v>42</v>
      </c>
      <c r="W297" t="s">
        <v>43</v>
      </c>
      <c r="X297" s="19">
        <v>14</v>
      </c>
      <c r="Y297">
        <v>3</v>
      </c>
      <c r="Z297">
        <v>4</v>
      </c>
      <c r="AA297">
        <v>80</v>
      </c>
      <c r="AB297">
        <v>1</v>
      </c>
      <c r="AC297">
        <v>23</v>
      </c>
      <c r="AD297">
        <v>2</v>
      </c>
      <c r="AE297">
        <v>4</v>
      </c>
      <c r="AF297">
        <v>20</v>
      </c>
      <c r="AG297">
        <v>4</v>
      </c>
      <c r="AH297">
        <v>4</v>
      </c>
      <c r="AI297">
        <v>8</v>
      </c>
      <c r="AJ297">
        <f t="shared" si="40"/>
        <v>0</v>
      </c>
      <c r="AK297">
        <f t="shared" si="41"/>
        <v>0</v>
      </c>
      <c r="AL297">
        <f t="shared" si="42"/>
        <v>0</v>
      </c>
      <c r="AM297">
        <f t="shared" si="43"/>
        <v>3.25</v>
      </c>
      <c r="AN297">
        <f t="shared" si="44"/>
        <v>7728.5714285714284</v>
      </c>
      <c r="AO297">
        <f t="shared" si="45"/>
        <v>0.83333333333333337</v>
      </c>
      <c r="AP297" t="str">
        <f t="shared" si="46"/>
        <v>40-49</v>
      </c>
      <c r="AQ297" t="str">
        <f t="shared" si="47"/>
        <v>Very High</v>
      </c>
      <c r="AR297" t="str">
        <f t="shared" si="48"/>
        <v>Long</v>
      </c>
      <c r="AS297">
        <f t="shared" si="49"/>
        <v>1</v>
      </c>
    </row>
    <row r="298" spans="1:4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s="20">
        <v>1420</v>
      </c>
      <c r="T298">
        <v>25233</v>
      </c>
      <c r="U298">
        <v>1</v>
      </c>
      <c r="V298" t="s">
        <v>42</v>
      </c>
      <c r="W298" t="s">
        <v>43</v>
      </c>
      <c r="X298" s="19">
        <v>13</v>
      </c>
      <c r="Y298">
        <v>3</v>
      </c>
      <c r="Z298">
        <v>3</v>
      </c>
      <c r="AA298">
        <v>80</v>
      </c>
      <c r="AB298">
        <v>0</v>
      </c>
      <c r="AC298">
        <v>0</v>
      </c>
      <c r="AD298">
        <v>2</v>
      </c>
      <c r="AE298">
        <v>3</v>
      </c>
      <c r="AF298">
        <v>0</v>
      </c>
      <c r="AG298">
        <v>0</v>
      </c>
      <c r="AH298">
        <v>0</v>
      </c>
      <c r="AI298">
        <v>0</v>
      </c>
      <c r="AJ298">
        <f t="shared" si="40"/>
        <v>1</v>
      </c>
      <c r="AK298">
        <f t="shared" si="41"/>
        <v>0</v>
      </c>
      <c r="AL298">
        <f t="shared" si="42"/>
        <v>1</v>
      </c>
      <c r="AM298">
        <f t="shared" si="43"/>
        <v>3</v>
      </c>
      <c r="AN298">
        <f t="shared" si="44"/>
        <v>17040</v>
      </c>
      <c r="AO298">
        <f t="shared" si="45"/>
        <v>0</v>
      </c>
      <c r="AP298" t="str">
        <f t="shared" si="46"/>
        <v>Under 30</v>
      </c>
      <c r="AQ298" t="str">
        <f t="shared" si="47"/>
        <v>Low</v>
      </c>
      <c r="AR298" t="str">
        <f t="shared" si="48"/>
        <v>Short</v>
      </c>
      <c r="AS298">
        <f t="shared" si="49"/>
        <v>0</v>
      </c>
    </row>
    <row r="299" spans="1:4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s="20">
        <v>8020</v>
      </c>
      <c r="T299">
        <v>5100</v>
      </c>
      <c r="U299">
        <v>0</v>
      </c>
      <c r="V299" t="s">
        <v>42</v>
      </c>
      <c r="W299" t="s">
        <v>43</v>
      </c>
      <c r="X299" s="19">
        <v>15</v>
      </c>
      <c r="Y299">
        <v>3</v>
      </c>
      <c r="Z299">
        <v>3</v>
      </c>
      <c r="AA299">
        <v>80</v>
      </c>
      <c r="AB299">
        <v>2</v>
      </c>
      <c r="AC299">
        <v>12</v>
      </c>
      <c r="AD299">
        <v>3</v>
      </c>
      <c r="AE299">
        <v>2</v>
      </c>
      <c r="AF299">
        <v>11</v>
      </c>
      <c r="AG299">
        <v>9</v>
      </c>
      <c r="AH299">
        <v>6</v>
      </c>
      <c r="AI299">
        <v>9</v>
      </c>
      <c r="AJ299">
        <f t="shared" si="40"/>
        <v>0</v>
      </c>
      <c r="AK299">
        <f t="shared" si="41"/>
        <v>0</v>
      </c>
      <c r="AL299">
        <f t="shared" si="42"/>
        <v>1</v>
      </c>
      <c r="AM299">
        <f t="shared" si="43"/>
        <v>2.5</v>
      </c>
      <c r="AN299">
        <f t="shared" si="44"/>
        <v>8020</v>
      </c>
      <c r="AO299">
        <f t="shared" si="45"/>
        <v>0.84615384615384615</v>
      </c>
      <c r="AP299" t="str">
        <f t="shared" si="46"/>
        <v>30-39</v>
      </c>
      <c r="AQ299" t="str">
        <f t="shared" si="47"/>
        <v>High</v>
      </c>
      <c r="AR299" t="str">
        <f t="shared" si="48"/>
        <v>Long</v>
      </c>
      <c r="AS299">
        <f t="shared" si="49"/>
        <v>0</v>
      </c>
    </row>
    <row r="300" spans="1:4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s="20">
        <v>3688</v>
      </c>
      <c r="T300">
        <v>7122</v>
      </c>
      <c r="U300">
        <v>4</v>
      </c>
      <c r="V300" t="s">
        <v>42</v>
      </c>
      <c r="W300" t="s">
        <v>43</v>
      </c>
      <c r="X300" s="19">
        <v>18</v>
      </c>
      <c r="Y300">
        <v>3</v>
      </c>
      <c r="Z300">
        <v>4</v>
      </c>
      <c r="AA300">
        <v>80</v>
      </c>
      <c r="AB300">
        <v>2</v>
      </c>
      <c r="AC300">
        <v>4</v>
      </c>
      <c r="AD300">
        <v>2</v>
      </c>
      <c r="AE300">
        <v>3</v>
      </c>
      <c r="AF300">
        <v>1</v>
      </c>
      <c r="AG300">
        <v>0</v>
      </c>
      <c r="AH300">
        <v>0</v>
      </c>
      <c r="AI300">
        <v>0</v>
      </c>
      <c r="AJ300">
        <f t="shared" si="40"/>
        <v>0</v>
      </c>
      <c r="AK300">
        <f t="shared" si="41"/>
        <v>0</v>
      </c>
      <c r="AL300">
        <f t="shared" si="42"/>
        <v>1</v>
      </c>
      <c r="AM300">
        <f t="shared" si="43"/>
        <v>3.5</v>
      </c>
      <c r="AN300">
        <f t="shared" si="44"/>
        <v>22128</v>
      </c>
      <c r="AO300">
        <f t="shared" si="45"/>
        <v>0.2</v>
      </c>
      <c r="AP300" t="str">
        <f t="shared" si="46"/>
        <v>30-39</v>
      </c>
      <c r="AQ300" t="str">
        <f t="shared" si="47"/>
        <v>Medium</v>
      </c>
      <c r="AR300" t="str">
        <f t="shared" si="48"/>
        <v>Long</v>
      </c>
      <c r="AS300">
        <f t="shared" si="49"/>
        <v>1</v>
      </c>
    </row>
    <row r="301" spans="1:4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s="20">
        <v>5482</v>
      </c>
      <c r="T301">
        <v>16321</v>
      </c>
      <c r="U301">
        <v>5</v>
      </c>
      <c r="V301" t="s">
        <v>42</v>
      </c>
      <c r="W301" t="s">
        <v>43</v>
      </c>
      <c r="X301" s="19">
        <v>18</v>
      </c>
      <c r="Y301">
        <v>3</v>
      </c>
      <c r="Z301">
        <v>4</v>
      </c>
      <c r="AA301">
        <v>80</v>
      </c>
      <c r="AB301">
        <v>1</v>
      </c>
      <c r="AC301">
        <v>13</v>
      </c>
      <c r="AD301">
        <v>3</v>
      </c>
      <c r="AE301">
        <v>3</v>
      </c>
      <c r="AF301">
        <v>4</v>
      </c>
      <c r="AG301">
        <v>1</v>
      </c>
      <c r="AH301">
        <v>1</v>
      </c>
      <c r="AI301">
        <v>2</v>
      </c>
      <c r="AJ301">
        <f t="shared" si="40"/>
        <v>0</v>
      </c>
      <c r="AK301">
        <f t="shared" si="41"/>
        <v>0</v>
      </c>
      <c r="AL301">
        <f t="shared" si="42"/>
        <v>1</v>
      </c>
      <c r="AM301">
        <f t="shared" si="43"/>
        <v>3.25</v>
      </c>
      <c r="AN301">
        <f t="shared" si="44"/>
        <v>13156.8</v>
      </c>
      <c r="AO301">
        <f t="shared" si="45"/>
        <v>0.2857142857142857</v>
      </c>
      <c r="AP301" t="str">
        <f t="shared" si="46"/>
        <v>50+</v>
      </c>
      <c r="AQ301" t="str">
        <f t="shared" si="47"/>
        <v>High</v>
      </c>
      <c r="AR301" t="str">
        <f t="shared" si="48"/>
        <v>Short</v>
      </c>
      <c r="AS301">
        <f t="shared" si="49"/>
        <v>0</v>
      </c>
    </row>
    <row r="302" spans="1:45" x14ac:dyDescent="0.3">
      <c r="A302">
        <v>41</v>
      </c>
      <c r="B302" t="s">
        <v>43</v>
      </c>
      <c r="C302" t="s">
        <v>36</v>
      </c>
      <c r="D302">
        <v>334</v>
      </c>
      <c r="E302" t="s">
        <v>45</v>
      </c>
      <c r="F302">
        <v>2</v>
      </c>
      <c r="G302">
        <v>4</v>
      </c>
      <c r="H302" t="s">
        <v>38</v>
      </c>
      <c r="I302">
        <v>1</v>
      </c>
      <c r="J302">
        <v>410</v>
      </c>
      <c r="K302">
        <v>4</v>
      </c>
      <c r="L302" t="s">
        <v>46</v>
      </c>
      <c r="M302">
        <v>88</v>
      </c>
      <c r="N302">
        <v>3</v>
      </c>
      <c r="O302">
        <v>4</v>
      </c>
      <c r="P302" t="s">
        <v>56</v>
      </c>
      <c r="Q302">
        <v>2</v>
      </c>
      <c r="R302" t="s">
        <v>41</v>
      </c>
      <c r="S302" s="20">
        <v>16015</v>
      </c>
      <c r="T302">
        <v>15896</v>
      </c>
      <c r="U302">
        <v>1</v>
      </c>
      <c r="V302" t="s">
        <v>42</v>
      </c>
      <c r="W302" t="s">
        <v>43</v>
      </c>
      <c r="X302" s="19">
        <v>19</v>
      </c>
      <c r="Y302">
        <v>3</v>
      </c>
      <c r="Z302">
        <v>2</v>
      </c>
      <c r="AA302">
        <v>80</v>
      </c>
      <c r="AB302">
        <v>0</v>
      </c>
      <c r="AC302">
        <v>22</v>
      </c>
      <c r="AD302">
        <v>2</v>
      </c>
      <c r="AE302">
        <v>3</v>
      </c>
      <c r="AF302">
        <v>22</v>
      </c>
      <c r="AG302">
        <v>10</v>
      </c>
      <c r="AH302">
        <v>0</v>
      </c>
      <c r="AI302">
        <v>4</v>
      </c>
      <c r="AJ302">
        <f t="shared" si="40"/>
        <v>0</v>
      </c>
      <c r="AK302">
        <f t="shared" si="41"/>
        <v>0</v>
      </c>
      <c r="AL302">
        <f t="shared" si="42"/>
        <v>1</v>
      </c>
      <c r="AM302">
        <f t="shared" si="43"/>
        <v>2.75</v>
      </c>
      <c r="AN302">
        <f t="shared" si="44"/>
        <v>8355.652173913044</v>
      </c>
      <c r="AO302">
        <f t="shared" si="45"/>
        <v>0.95652173913043481</v>
      </c>
      <c r="AP302" t="str">
        <f t="shared" si="46"/>
        <v>40-49</v>
      </c>
      <c r="AQ302" t="str">
        <f t="shared" si="47"/>
        <v>Very High</v>
      </c>
      <c r="AR302" t="str">
        <f t="shared" si="48"/>
        <v>Short</v>
      </c>
      <c r="AS302">
        <f t="shared" si="49"/>
        <v>0</v>
      </c>
    </row>
    <row r="303" spans="1:4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s="20">
        <v>1200</v>
      </c>
      <c r="T303">
        <v>9724</v>
      </c>
      <c r="U303">
        <v>1</v>
      </c>
      <c r="V303" t="s">
        <v>42</v>
      </c>
      <c r="W303" t="s">
        <v>43</v>
      </c>
      <c r="X303" s="19">
        <v>12</v>
      </c>
      <c r="Y303">
        <v>3</v>
      </c>
      <c r="Z303">
        <v>1</v>
      </c>
      <c r="AA303">
        <v>80</v>
      </c>
      <c r="AB303">
        <v>0</v>
      </c>
      <c r="AC303">
        <v>0</v>
      </c>
      <c r="AD303">
        <v>2</v>
      </c>
      <c r="AE303">
        <v>3</v>
      </c>
      <c r="AF303">
        <v>0</v>
      </c>
      <c r="AG303">
        <v>0</v>
      </c>
      <c r="AH303">
        <v>0</v>
      </c>
      <c r="AI303">
        <v>0</v>
      </c>
      <c r="AJ303">
        <f t="shared" si="40"/>
        <v>0</v>
      </c>
      <c r="AK303">
        <f t="shared" si="41"/>
        <v>0</v>
      </c>
      <c r="AL303">
        <f t="shared" si="42"/>
        <v>0</v>
      </c>
      <c r="AM303">
        <f t="shared" si="43"/>
        <v>2.75</v>
      </c>
      <c r="AN303">
        <f t="shared" si="44"/>
        <v>14400</v>
      </c>
      <c r="AO303">
        <f t="shared" si="45"/>
        <v>0</v>
      </c>
      <c r="AP303" t="str">
        <f t="shared" si="46"/>
        <v>Under 30</v>
      </c>
      <c r="AQ303" t="str">
        <f t="shared" si="47"/>
        <v>Low</v>
      </c>
      <c r="AR303" t="str">
        <f t="shared" si="48"/>
        <v>Medium</v>
      </c>
      <c r="AS303">
        <f t="shared" si="49"/>
        <v>0</v>
      </c>
    </row>
    <row r="304" spans="1:4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s="20">
        <v>5661</v>
      </c>
      <c r="T304">
        <v>4824</v>
      </c>
      <c r="U304">
        <v>0</v>
      </c>
      <c r="V304" t="s">
        <v>42</v>
      </c>
      <c r="W304" t="s">
        <v>43</v>
      </c>
      <c r="X304" s="19">
        <v>19</v>
      </c>
      <c r="Y304">
        <v>3</v>
      </c>
      <c r="Z304">
        <v>3</v>
      </c>
      <c r="AA304">
        <v>80</v>
      </c>
      <c r="AB304">
        <v>0</v>
      </c>
      <c r="AC304">
        <v>9</v>
      </c>
      <c r="AD304">
        <v>2</v>
      </c>
      <c r="AE304">
        <v>3</v>
      </c>
      <c r="AF304">
        <v>8</v>
      </c>
      <c r="AG304">
        <v>3</v>
      </c>
      <c r="AH304">
        <v>0</v>
      </c>
      <c r="AI304">
        <v>7</v>
      </c>
      <c r="AJ304">
        <f t="shared" si="40"/>
        <v>0</v>
      </c>
      <c r="AK304">
        <f t="shared" si="41"/>
        <v>0</v>
      </c>
      <c r="AL304">
        <f t="shared" si="42"/>
        <v>1</v>
      </c>
      <c r="AM304">
        <f t="shared" si="43"/>
        <v>2.25</v>
      </c>
      <c r="AN304">
        <f t="shared" si="44"/>
        <v>7548</v>
      </c>
      <c r="AO304">
        <f t="shared" si="45"/>
        <v>0.8</v>
      </c>
      <c r="AP304" t="str">
        <f t="shared" si="46"/>
        <v>Under 30</v>
      </c>
      <c r="AQ304" t="str">
        <f t="shared" si="47"/>
        <v>High</v>
      </c>
      <c r="AR304" t="str">
        <f t="shared" si="48"/>
        <v>Long</v>
      </c>
      <c r="AS304">
        <f t="shared" si="49"/>
        <v>0</v>
      </c>
    </row>
    <row r="305" spans="1:4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s="20">
        <v>6929</v>
      </c>
      <c r="T305">
        <v>12241</v>
      </c>
      <c r="U305">
        <v>4</v>
      </c>
      <c r="V305" t="s">
        <v>42</v>
      </c>
      <c r="W305" t="s">
        <v>43</v>
      </c>
      <c r="X305" s="19">
        <v>11</v>
      </c>
      <c r="Y305">
        <v>3</v>
      </c>
      <c r="Z305">
        <v>2</v>
      </c>
      <c r="AA305">
        <v>80</v>
      </c>
      <c r="AB305">
        <v>1</v>
      </c>
      <c r="AC305">
        <v>10</v>
      </c>
      <c r="AD305">
        <v>3</v>
      </c>
      <c r="AE305">
        <v>2</v>
      </c>
      <c r="AF305">
        <v>8</v>
      </c>
      <c r="AG305">
        <v>7</v>
      </c>
      <c r="AH305">
        <v>7</v>
      </c>
      <c r="AI305">
        <v>7</v>
      </c>
      <c r="AJ305">
        <f t="shared" si="40"/>
        <v>0</v>
      </c>
      <c r="AK305">
        <f t="shared" si="41"/>
        <v>0</v>
      </c>
      <c r="AL305">
        <f t="shared" si="42"/>
        <v>1</v>
      </c>
      <c r="AM305">
        <f t="shared" si="43"/>
        <v>2.5</v>
      </c>
      <c r="AN305">
        <f t="shared" si="44"/>
        <v>9238.6666666666661</v>
      </c>
      <c r="AO305">
        <f t="shared" si="45"/>
        <v>0.72727272727272729</v>
      </c>
      <c r="AP305" t="str">
        <f t="shared" si="46"/>
        <v>30-39</v>
      </c>
      <c r="AQ305" t="str">
        <f t="shared" si="47"/>
        <v>High</v>
      </c>
      <c r="AR305" t="str">
        <f t="shared" si="48"/>
        <v>Medium</v>
      </c>
      <c r="AS305">
        <f t="shared" si="49"/>
        <v>0</v>
      </c>
    </row>
    <row r="306" spans="1:4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s="20">
        <v>9613</v>
      </c>
      <c r="T306">
        <v>10942</v>
      </c>
      <c r="U306">
        <v>0</v>
      </c>
      <c r="V306" t="s">
        <v>42</v>
      </c>
      <c r="W306" t="s">
        <v>43</v>
      </c>
      <c r="X306" s="19">
        <v>17</v>
      </c>
      <c r="Y306">
        <v>3</v>
      </c>
      <c r="Z306">
        <v>1</v>
      </c>
      <c r="AA306">
        <v>80</v>
      </c>
      <c r="AB306">
        <v>3</v>
      </c>
      <c r="AC306">
        <v>19</v>
      </c>
      <c r="AD306">
        <v>5</v>
      </c>
      <c r="AE306">
        <v>2</v>
      </c>
      <c r="AF306">
        <v>18</v>
      </c>
      <c r="AG306">
        <v>10</v>
      </c>
      <c r="AH306">
        <v>3</v>
      </c>
      <c r="AI306">
        <v>7</v>
      </c>
      <c r="AJ306">
        <f t="shared" si="40"/>
        <v>0</v>
      </c>
      <c r="AK306">
        <f t="shared" si="41"/>
        <v>0</v>
      </c>
      <c r="AL306">
        <f t="shared" si="42"/>
        <v>1</v>
      </c>
      <c r="AM306">
        <f t="shared" si="43"/>
        <v>2.5</v>
      </c>
      <c r="AN306">
        <f t="shared" si="44"/>
        <v>6071.3684210526317</v>
      </c>
      <c r="AO306">
        <f t="shared" si="45"/>
        <v>0.9</v>
      </c>
      <c r="AP306" t="str">
        <f t="shared" si="46"/>
        <v>30-39</v>
      </c>
      <c r="AQ306" t="str">
        <f t="shared" si="47"/>
        <v>Very High</v>
      </c>
      <c r="AR306" t="str">
        <f t="shared" si="48"/>
        <v>Short</v>
      </c>
      <c r="AS306">
        <f t="shared" si="49"/>
        <v>0</v>
      </c>
    </row>
    <row r="307" spans="1:4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s="20">
        <v>5674</v>
      </c>
      <c r="T307">
        <v>6927</v>
      </c>
      <c r="U307">
        <v>7</v>
      </c>
      <c r="V307" t="s">
        <v>42</v>
      </c>
      <c r="W307" t="s">
        <v>43</v>
      </c>
      <c r="X307" s="19">
        <v>15</v>
      </c>
      <c r="Y307">
        <v>3</v>
      </c>
      <c r="Z307">
        <v>3</v>
      </c>
      <c r="AA307">
        <v>80</v>
      </c>
      <c r="AB307">
        <v>1</v>
      </c>
      <c r="AC307">
        <v>11</v>
      </c>
      <c r="AD307">
        <v>3</v>
      </c>
      <c r="AE307">
        <v>3</v>
      </c>
      <c r="AF307">
        <v>9</v>
      </c>
      <c r="AG307">
        <v>8</v>
      </c>
      <c r="AH307">
        <v>0</v>
      </c>
      <c r="AI307">
        <v>8</v>
      </c>
      <c r="AJ307">
        <f t="shared" si="40"/>
        <v>0</v>
      </c>
      <c r="AK307">
        <f t="shared" si="41"/>
        <v>0</v>
      </c>
      <c r="AL307">
        <f t="shared" si="42"/>
        <v>0</v>
      </c>
      <c r="AM307">
        <f t="shared" si="43"/>
        <v>2.5</v>
      </c>
      <c r="AN307">
        <f t="shared" si="44"/>
        <v>6808.8</v>
      </c>
      <c r="AO307">
        <f t="shared" si="45"/>
        <v>0.75</v>
      </c>
      <c r="AP307" t="str">
        <f t="shared" si="46"/>
        <v>30-39</v>
      </c>
      <c r="AQ307" t="str">
        <f t="shared" si="47"/>
        <v>High</v>
      </c>
      <c r="AR307" t="str">
        <f t="shared" si="48"/>
        <v>Long</v>
      </c>
      <c r="AS307">
        <f t="shared" si="49"/>
        <v>0</v>
      </c>
    </row>
    <row r="308" spans="1:4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s="20">
        <v>5484</v>
      </c>
      <c r="T308">
        <v>16985</v>
      </c>
      <c r="U308">
        <v>1</v>
      </c>
      <c r="V308" t="s">
        <v>42</v>
      </c>
      <c r="W308" t="s">
        <v>43</v>
      </c>
      <c r="X308" s="19">
        <v>14</v>
      </c>
      <c r="Y308">
        <v>3</v>
      </c>
      <c r="Z308">
        <v>3</v>
      </c>
      <c r="AA308">
        <v>80</v>
      </c>
      <c r="AB308">
        <v>1</v>
      </c>
      <c r="AC308">
        <v>13</v>
      </c>
      <c r="AD308">
        <v>3</v>
      </c>
      <c r="AE308">
        <v>2</v>
      </c>
      <c r="AF308">
        <v>13</v>
      </c>
      <c r="AG308">
        <v>8</v>
      </c>
      <c r="AH308">
        <v>4</v>
      </c>
      <c r="AI308">
        <v>8</v>
      </c>
      <c r="AJ308">
        <f t="shared" si="40"/>
        <v>0</v>
      </c>
      <c r="AK308">
        <f t="shared" si="41"/>
        <v>0</v>
      </c>
      <c r="AL308">
        <f t="shared" si="42"/>
        <v>1</v>
      </c>
      <c r="AM308">
        <f t="shared" si="43"/>
        <v>3</v>
      </c>
      <c r="AN308">
        <f t="shared" si="44"/>
        <v>4700.5714285714284</v>
      </c>
      <c r="AO308">
        <f t="shared" si="45"/>
        <v>0.9285714285714286</v>
      </c>
      <c r="AP308" t="str">
        <f t="shared" si="46"/>
        <v>30-39</v>
      </c>
      <c r="AQ308" t="str">
        <f t="shared" si="47"/>
        <v>High</v>
      </c>
      <c r="AR308" t="str">
        <f t="shared" si="48"/>
        <v>Medium</v>
      </c>
      <c r="AS308">
        <f t="shared" si="49"/>
        <v>0</v>
      </c>
    </row>
    <row r="309" spans="1:4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s="20">
        <v>12061</v>
      </c>
      <c r="T309">
        <v>26707</v>
      </c>
      <c r="U309">
        <v>3</v>
      </c>
      <c r="V309" t="s">
        <v>42</v>
      </c>
      <c r="W309" t="s">
        <v>43</v>
      </c>
      <c r="X309" s="19">
        <v>17</v>
      </c>
      <c r="Y309">
        <v>3</v>
      </c>
      <c r="Z309">
        <v>3</v>
      </c>
      <c r="AA309">
        <v>80</v>
      </c>
      <c r="AB309">
        <v>1</v>
      </c>
      <c r="AC309">
        <v>19</v>
      </c>
      <c r="AD309">
        <v>2</v>
      </c>
      <c r="AE309">
        <v>3</v>
      </c>
      <c r="AF309">
        <v>10</v>
      </c>
      <c r="AG309">
        <v>8</v>
      </c>
      <c r="AH309">
        <v>0</v>
      </c>
      <c r="AI309">
        <v>1</v>
      </c>
      <c r="AJ309">
        <f t="shared" si="40"/>
        <v>0</v>
      </c>
      <c r="AK309">
        <f t="shared" si="41"/>
        <v>0</v>
      </c>
      <c r="AL309">
        <f t="shared" si="42"/>
        <v>0</v>
      </c>
      <c r="AM309">
        <f t="shared" si="43"/>
        <v>2.25</v>
      </c>
      <c r="AN309">
        <f t="shared" si="44"/>
        <v>13157.454545454546</v>
      </c>
      <c r="AO309">
        <f t="shared" si="45"/>
        <v>0.5</v>
      </c>
      <c r="AP309" t="str">
        <f t="shared" si="46"/>
        <v>30-39</v>
      </c>
      <c r="AQ309" t="str">
        <f t="shared" si="47"/>
        <v>Very High</v>
      </c>
      <c r="AR309" t="str">
        <f t="shared" si="48"/>
        <v>Long</v>
      </c>
      <c r="AS309">
        <f t="shared" si="49"/>
        <v>0</v>
      </c>
    </row>
    <row r="310" spans="1:4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s="20">
        <v>5660</v>
      </c>
      <c r="T310">
        <v>17056</v>
      </c>
      <c r="U310">
        <v>2</v>
      </c>
      <c r="V310" t="s">
        <v>42</v>
      </c>
      <c r="W310" t="s">
        <v>35</v>
      </c>
      <c r="X310" s="19">
        <v>13</v>
      </c>
      <c r="Y310">
        <v>3</v>
      </c>
      <c r="Z310">
        <v>4</v>
      </c>
      <c r="AA310">
        <v>80</v>
      </c>
      <c r="AB310">
        <v>1</v>
      </c>
      <c r="AC310">
        <v>12</v>
      </c>
      <c r="AD310">
        <v>2</v>
      </c>
      <c r="AE310">
        <v>3</v>
      </c>
      <c r="AF310">
        <v>5</v>
      </c>
      <c r="AG310">
        <v>3</v>
      </c>
      <c r="AH310">
        <v>1</v>
      </c>
      <c r="AI310">
        <v>2</v>
      </c>
      <c r="AJ310">
        <f t="shared" si="40"/>
        <v>0</v>
      </c>
      <c r="AK310">
        <f t="shared" si="41"/>
        <v>1</v>
      </c>
      <c r="AL310">
        <f t="shared" si="42"/>
        <v>1</v>
      </c>
      <c r="AM310">
        <f t="shared" si="43"/>
        <v>3.5</v>
      </c>
      <c r="AN310">
        <f t="shared" si="44"/>
        <v>11320</v>
      </c>
      <c r="AO310">
        <f t="shared" si="45"/>
        <v>0.38461538461538464</v>
      </c>
      <c r="AP310" t="str">
        <f t="shared" si="46"/>
        <v>50+</v>
      </c>
      <c r="AQ310" t="str">
        <f t="shared" si="47"/>
        <v>High</v>
      </c>
      <c r="AR310" t="str">
        <f t="shared" si="48"/>
        <v>Short</v>
      </c>
      <c r="AS310">
        <f t="shared" si="49"/>
        <v>0</v>
      </c>
    </row>
    <row r="311" spans="1:4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s="20">
        <v>4821</v>
      </c>
      <c r="T311">
        <v>10077</v>
      </c>
      <c r="U311">
        <v>0</v>
      </c>
      <c r="V311" t="s">
        <v>42</v>
      </c>
      <c r="W311" t="s">
        <v>35</v>
      </c>
      <c r="X311" s="19">
        <v>12</v>
      </c>
      <c r="Y311">
        <v>3</v>
      </c>
      <c r="Z311">
        <v>3</v>
      </c>
      <c r="AA311">
        <v>80</v>
      </c>
      <c r="AB311">
        <v>1</v>
      </c>
      <c r="AC311">
        <v>6</v>
      </c>
      <c r="AD311">
        <v>4</v>
      </c>
      <c r="AE311">
        <v>3</v>
      </c>
      <c r="AF311">
        <v>5</v>
      </c>
      <c r="AG311">
        <v>2</v>
      </c>
      <c r="AH311">
        <v>0</v>
      </c>
      <c r="AI311">
        <v>3</v>
      </c>
      <c r="AJ311">
        <f t="shared" si="40"/>
        <v>0</v>
      </c>
      <c r="AK311">
        <f t="shared" si="41"/>
        <v>1</v>
      </c>
      <c r="AL311">
        <f t="shared" si="42"/>
        <v>1</v>
      </c>
      <c r="AM311">
        <f t="shared" si="43"/>
        <v>3.25</v>
      </c>
      <c r="AN311">
        <f t="shared" si="44"/>
        <v>9642</v>
      </c>
      <c r="AO311">
        <f t="shared" si="45"/>
        <v>0.7142857142857143</v>
      </c>
      <c r="AP311" t="str">
        <f t="shared" si="46"/>
        <v>30-39</v>
      </c>
      <c r="AQ311" t="str">
        <f t="shared" si="47"/>
        <v>Medium</v>
      </c>
      <c r="AR311" t="str">
        <f t="shared" si="48"/>
        <v>Short</v>
      </c>
      <c r="AS311">
        <f t="shared" si="49"/>
        <v>0</v>
      </c>
    </row>
    <row r="312" spans="1:4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s="20">
        <v>6410</v>
      </c>
      <c r="T312">
        <v>17822</v>
      </c>
      <c r="U312">
        <v>3</v>
      </c>
      <c r="V312" t="s">
        <v>42</v>
      </c>
      <c r="W312" t="s">
        <v>43</v>
      </c>
      <c r="X312" s="19">
        <v>12</v>
      </c>
      <c r="Y312">
        <v>3</v>
      </c>
      <c r="Z312">
        <v>4</v>
      </c>
      <c r="AA312">
        <v>80</v>
      </c>
      <c r="AB312">
        <v>0</v>
      </c>
      <c r="AC312">
        <v>9</v>
      </c>
      <c r="AD312">
        <v>1</v>
      </c>
      <c r="AE312">
        <v>3</v>
      </c>
      <c r="AF312">
        <v>2</v>
      </c>
      <c r="AG312">
        <v>2</v>
      </c>
      <c r="AH312">
        <v>1</v>
      </c>
      <c r="AI312">
        <v>0</v>
      </c>
      <c r="AJ312">
        <f t="shared" si="40"/>
        <v>0</v>
      </c>
      <c r="AK312">
        <f t="shared" si="41"/>
        <v>0</v>
      </c>
      <c r="AL312">
        <f t="shared" si="42"/>
        <v>1</v>
      </c>
      <c r="AM312">
        <f t="shared" si="43"/>
        <v>2.25</v>
      </c>
      <c r="AN312">
        <f t="shared" si="44"/>
        <v>25640</v>
      </c>
      <c r="AO312">
        <f t="shared" si="45"/>
        <v>0.2</v>
      </c>
      <c r="AP312" t="str">
        <f t="shared" si="46"/>
        <v>30-39</v>
      </c>
      <c r="AQ312" t="str">
        <f t="shared" si="47"/>
        <v>High</v>
      </c>
      <c r="AR312" t="str">
        <f t="shared" si="48"/>
        <v>Short</v>
      </c>
      <c r="AS312">
        <f t="shared" si="49"/>
        <v>0</v>
      </c>
    </row>
    <row r="313" spans="1:4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s="20">
        <v>5210</v>
      </c>
      <c r="T313">
        <v>20308</v>
      </c>
      <c r="U313">
        <v>1</v>
      </c>
      <c r="V313" t="s">
        <v>42</v>
      </c>
      <c r="W313" t="s">
        <v>43</v>
      </c>
      <c r="X313" s="19">
        <v>18</v>
      </c>
      <c r="Y313">
        <v>3</v>
      </c>
      <c r="Z313">
        <v>1</v>
      </c>
      <c r="AA313">
        <v>80</v>
      </c>
      <c r="AB313">
        <v>1</v>
      </c>
      <c r="AC313">
        <v>24</v>
      </c>
      <c r="AD313">
        <v>2</v>
      </c>
      <c r="AE313">
        <v>3</v>
      </c>
      <c r="AF313">
        <v>24</v>
      </c>
      <c r="AG313">
        <v>9</v>
      </c>
      <c r="AH313">
        <v>9</v>
      </c>
      <c r="AI313">
        <v>11</v>
      </c>
      <c r="AJ313">
        <f t="shared" si="40"/>
        <v>0</v>
      </c>
      <c r="AK313">
        <f t="shared" si="41"/>
        <v>0</v>
      </c>
      <c r="AL313">
        <f t="shared" si="42"/>
        <v>1</v>
      </c>
      <c r="AM313">
        <f t="shared" si="43"/>
        <v>1.5</v>
      </c>
      <c r="AN313">
        <f t="shared" si="44"/>
        <v>2500.8000000000002</v>
      </c>
      <c r="AO313">
        <f t="shared" si="45"/>
        <v>0.96</v>
      </c>
      <c r="AP313" t="str">
        <f t="shared" si="46"/>
        <v>40-49</v>
      </c>
      <c r="AQ313" t="str">
        <f t="shared" si="47"/>
        <v>High</v>
      </c>
      <c r="AR313" t="str">
        <f t="shared" si="48"/>
        <v>Medium</v>
      </c>
      <c r="AS313">
        <f t="shared" si="49"/>
        <v>1</v>
      </c>
    </row>
    <row r="314" spans="1:4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s="20">
        <v>2695</v>
      </c>
      <c r="T314">
        <v>7747</v>
      </c>
      <c r="U314">
        <v>0</v>
      </c>
      <c r="V314" t="s">
        <v>42</v>
      </c>
      <c r="W314" t="s">
        <v>35</v>
      </c>
      <c r="X314" s="19">
        <v>18</v>
      </c>
      <c r="Y314">
        <v>3</v>
      </c>
      <c r="Z314">
        <v>2</v>
      </c>
      <c r="AA314">
        <v>80</v>
      </c>
      <c r="AB314">
        <v>1</v>
      </c>
      <c r="AC314">
        <v>3</v>
      </c>
      <c r="AD314">
        <v>2</v>
      </c>
      <c r="AE314">
        <v>1</v>
      </c>
      <c r="AF314">
        <v>2</v>
      </c>
      <c r="AG314">
        <v>2</v>
      </c>
      <c r="AH314">
        <v>2</v>
      </c>
      <c r="AI314">
        <v>2</v>
      </c>
      <c r="AJ314">
        <f t="shared" si="40"/>
        <v>0</v>
      </c>
      <c r="AK314">
        <f t="shared" si="41"/>
        <v>1</v>
      </c>
      <c r="AL314">
        <f t="shared" si="42"/>
        <v>1</v>
      </c>
      <c r="AM314">
        <f t="shared" si="43"/>
        <v>2.5</v>
      </c>
      <c r="AN314">
        <f t="shared" si="44"/>
        <v>10780</v>
      </c>
      <c r="AO314">
        <f t="shared" si="45"/>
        <v>0.5</v>
      </c>
      <c r="AP314" t="str">
        <f t="shared" si="46"/>
        <v>30-39</v>
      </c>
      <c r="AQ314" t="str">
        <f t="shared" si="47"/>
        <v>Low</v>
      </c>
      <c r="AR314" t="str">
        <f t="shared" si="48"/>
        <v>Short</v>
      </c>
      <c r="AS314">
        <f t="shared" si="49"/>
        <v>0</v>
      </c>
    </row>
    <row r="315" spans="1:4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s="20">
        <v>11878</v>
      </c>
      <c r="T315">
        <v>23364</v>
      </c>
      <c r="U315">
        <v>6</v>
      </c>
      <c r="V315" t="s">
        <v>42</v>
      </c>
      <c r="W315" t="s">
        <v>43</v>
      </c>
      <c r="X315" s="19">
        <v>11</v>
      </c>
      <c r="Y315">
        <v>3</v>
      </c>
      <c r="Z315">
        <v>2</v>
      </c>
      <c r="AA315">
        <v>80</v>
      </c>
      <c r="AB315">
        <v>2</v>
      </c>
      <c r="AC315">
        <v>12</v>
      </c>
      <c r="AD315">
        <v>2</v>
      </c>
      <c r="AE315">
        <v>3</v>
      </c>
      <c r="AF315">
        <v>10</v>
      </c>
      <c r="AG315">
        <v>6</v>
      </c>
      <c r="AH315">
        <v>8</v>
      </c>
      <c r="AI315">
        <v>8</v>
      </c>
      <c r="AJ315">
        <f t="shared" si="40"/>
        <v>0</v>
      </c>
      <c r="AK315">
        <f t="shared" si="41"/>
        <v>0</v>
      </c>
      <c r="AL315">
        <f t="shared" si="42"/>
        <v>0</v>
      </c>
      <c r="AM315">
        <f t="shared" si="43"/>
        <v>2.75</v>
      </c>
      <c r="AN315">
        <f t="shared" si="44"/>
        <v>12957.818181818182</v>
      </c>
      <c r="AO315">
        <f t="shared" si="45"/>
        <v>0.76923076923076927</v>
      </c>
      <c r="AP315" t="str">
        <f t="shared" si="46"/>
        <v>30-39</v>
      </c>
      <c r="AQ315" t="str">
        <f t="shared" si="47"/>
        <v>Very High</v>
      </c>
      <c r="AR315" t="str">
        <f t="shared" si="48"/>
        <v>Short</v>
      </c>
      <c r="AS315">
        <f t="shared" si="49"/>
        <v>1</v>
      </c>
    </row>
    <row r="316" spans="1:4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s="20">
        <v>17068</v>
      </c>
      <c r="T316">
        <v>5355</v>
      </c>
      <c r="U316">
        <v>1</v>
      </c>
      <c r="V316" t="s">
        <v>42</v>
      </c>
      <c r="W316" t="s">
        <v>35</v>
      </c>
      <c r="X316" s="19">
        <v>14</v>
      </c>
      <c r="Y316">
        <v>3</v>
      </c>
      <c r="Z316">
        <v>4</v>
      </c>
      <c r="AA316">
        <v>80</v>
      </c>
      <c r="AB316">
        <v>0</v>
      </c>
      <c r="AC316">
        <v>21</v>
      </c>
      <c r="AD316">
        <v>3</v>
      </c>
      <c r="AE316">
        <v>3</v>
      </c>
      <c r="AF316">
        <v>21</v>
      </c>
      <c r="AG316">
        <v>9</v>
      </c>
      <c r="AH316">
        <v>11</v>
      </c>
      <c r="AI316">
        <v>10</v>
      </c>
      <c r="AJ316">
        <f t="shared" si="40"/>
        <v>0</v>
      </c>
      <c r="AK316">
        <f t="shared" si="41"/>
        <v>1</v>
      </c>
      <c r="AL316">
        <f t="shared" si="42"/>
        <v>1</v>
      </c>
      <c r="AM316">
        <f t="shared" si="43"/>
        <v>2.75</v>
      </c>
      <c r="AN316">
        <f t="shared" si="44"/>
        <v>9309.818181818182</v>
      </c>
      <c r="AO316">
        <f t="shared" si="45"/>
        <v>0.95454545454545459</v>
      </c>
      <c r="AP316" t="str">
        <f t="shared" si="46"/>
        <v>30-39</v>
      </c>
      <c r="AQ316" t="str">
        <f t="shared" si="47"/>
        <v>Very High</v>
      </c>
      <c r="AR316" t="str">
        <f t="shared" si="48"/>
        <v>Medium</v>
      </c>
      <c r="AS316">
        <f t="shared" si="49"/>
        <v>0</v>
      </c>
    </row>
    <row r="317" spans="1:4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s="20">
        <v>2455</v>
      </c>
      <c r="T317">
        <v>10675</v>
      </c>
      <c r="U317">
        <v>0</v>
      </c>
      <c r="V317" t="s">
        <v>42</v>
      </c>
      <c r="W317" t="s">
        <v>43</v>
      </c>
      <c r="X317" s="19">
        <v>19</v>
      </c>
      <c r="Y317">
        <v>3</v>
      </c>
      <c r="Z317">
        <v>1</v>
      </c>
      <c r="AA317">
        <v>80</v>
      </c>
      <c r="AB317">
        <v>0</v>
      </c>
      <c r="AC317">
        <v>9</v>
      </c>
      <c r="AD317">
        <v>5</v>
      </c>
      <c r="AE317">
        <v>3</v>
      </c>
      <c r="AF317">
        <v>8</v>
      </c>
      <c r="AG317">
        <v>7</v>
      </c>
      <c r="AH317">
        <v>1</v>
      </c>
      <c r="AI317">
        <v>7</v>
      </c>
      <c r="AJ317">
        <f t="shared" si="40"/>
        <v>0</v>
      </c>
      <c r="AK317">
        <f t="shared" si="41"/>
        <v>0</v>
      </c>
      <c r="AL317">
        <f t="shared" si="42"/>
        <v>0</v>
      </c>
      <c r="AM317">
        <f t="shared" si="43"/>
        <v>2.75</v>
      </c>
      <c r="AN317">
        <f t="shared" si="44"/>
        <v>3273.3333333333335</v>
      </c>
      <c r="AO317">
        <f t="shared" si="45"/>
        <v>0.8</v>
      </c>
      <c r="AP317" t="str">
        <f t="shared" si="46"/>
        <v>40-49</v>
      </c>
      <c r="AQ317" t="str">
        <f t="shared" si="47"/>
        <v>Low</v>
      </c>
      <c r="AR317" t="str">
        <f t="shared" si="48"/>
        <v>Medium</v>
      </c>
      <c r="AS317">
        <f t="shared" si="49"/>
        <v>1</v>
      </c>
    </row>
    <row r="318" spans="1:4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s="20">
        <v>13964</v>
      </c>
      <c r="T318">
        <v>17810</v>
      </c>
      <c r="U318">
        <v>7</v>
      </c>
      <c r="V318" t="s">
        <v>42</v>
      </c>
      <c r="W318" t="s">
        <v>35</v>
      </c>
      <c r="X318" s="19">
        <v>12</v>
      </c>
      <c r="Y318">
        <v>3</v>
      </c>
      <c r="Z318">
        <v>4</v>
      </c>
      <c r="AA318">
        <v>80</v>
      </c>
      <c r="AB318">
        <v>0</v>
      </c>
      <c r="AC318">
        <v>25</v>
      </c>
      <c r="AD318">
        <v>2</v>
      </c>
      <c r="AE318">
        <v>3</v>
      </c>
      <c r="AF318">
        <v>7</v>
      </c>
      <c r="AG318">
        <v>1</v>
      </c>
      <c r="AH318">
        <v>0</v>
      </c>
      <c r="AI318">
        <v>7</v>
      </c>
      <c r="AJ318">
        <f t="shared" si="40"/>
        <v>0</v>
      </c>
      <c r="AK318">
        <f t="shared" si="41"/>
        <v>1</v>
      </c>
      <c r="AL318">
        <f t="shared" si="42"/>
        <v>0</v>
      </c>
      <c r="AM318">
        <f t="shared" si="43"/>
        <v>3.25</v>
      </c>
      <c r="AN318">
        <f t="shared" si="44"/>
        <v>20946</v>
      </c>
      <c r="AO318">
        <f t="shared" si="45"/>
        <v>0.26923076923076922</v>
      </c>
      <c r="AP318" t="str">
        <f t="shared" si="46"/>
        <v>40-49</v>
      </c>
      <c r="AQ318" t="str">
        <f t="shared" si="47"/>
        <v>Very High</v>
      </c>
      <c r="AR318" t="str">
        <f t="shared" si="48"/>
        <v>Short</v>
      </c>
      <c r="AS318">
        <f t="shared" si="49"/>
        <v>0</v>
      </c>
    </row>
    <row r="319" spans="1:4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s="20">
        <v>4941</v>
      </c>
      <c r="T319">
        <v>17747</v>
      </c>
      <c r="U319">
        <v>2</v>
      </c>
      <c r="V319" t="s">
        <v>42</v>
      </c>
      <c r="W319" t="s">
        <v>43</v>
      </c>
      <c r="X319" s="19">
        <v>15</v>
      </c>
      <c r="Y319">
        <v>3</v>
      </c>
      <c r="Z319">
        <v>1</v>
      </c>
      <c r="AA319">
        <v>80</v>
      </c>
      <c r="AB319">
        <v>0</v>
      </c>
      <c r="AC319">
        <v>11</v>
      </c>
      <c r="AD319">
        <v>3</v>
      </c>
      <c r="AE319">
        <v>2</v>
      </c>
      <c r="AF319">
        <v>8</v>
      </c>
      <c r="AG319">
        <v>2</v>
      </c>
      <c r="AH319">
        <v>7</v>
      </c>
      <c r="AI319">
        <v>7</v>
      </c>
      <c r="AJ319">
        <f t="shared" si="40"/>
        <v>1</v>
      </c>
      <c r="AK319">
        <f t="shared" si="41"/>
        <v>0</v>
      </c>
      <c r="AL319">
        <f t="shared" si="42"/>
        <v>1</v>
      </c>
      <c r="AM319">
        <f t="shared" si="43"/>
        <v>2</v>
      </c>
      <c r="AN319">
        <f t="shared" si="44"/>
        <v>6588</v>
      </c>
      <c r="AO319">
        <f t="shared" si="45"/>
        <v>0.66666666666666663</v>
      </c>
      <c r="AP319" t="str">
        <f t="shared" si="46"/>
        <v>50+</v>
      </c>
      <c r="AQ319" t="str">
        <f t="shared" si="47"/>
        <v>High</v>
      </c>
      <c r="AR319" t="str">
        <f t="shared" si="48"/>
        <v>Medium</v>
      </c>
      <c r="AS319">
        <f t="shared" si="49"/>
        <v>0</v>
      </c>
    </row>
    <row r="320" spans="1:4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s="20">
        <v>2478</v>
      </c>
      <c r="T320">
        <v>20938</v>
      </c>
      <c r="U320">
        <v>1</v>
      </c>
      <c r="V320" t="s">
        <v>42</v>
      </c>
      <c r="W320" t="s">
        <v>35</v>
      </c>
      <c r="X320" s="19">
        <v>12</v>
      </c>
      <c r="Y320">
        <v>3</v>
      </c>
      <c r="Z320">
        <v>2</v>
      </c>
      <c r="AA320">
        <v>80</v>
      </c>
      <c r="AB320">
        <v>0</v>
      </c>
      <c r="AC320">
        <v>4</v>
      </c>
      <c r="AD320">
        <v>2</v>
      </c>
      <c r="AE320">
        <v>2</v>
      </c>
      <c r="AF320">
        <v>4</v>
      </c>
      <c r="AG320">
        <v>3</v>
      </c>
      <c r="AH320">
        <v>1</v>
      </c>
      <c r="AI320">
        <v>2</v>
      </c>
      <c r="AJ320">
        <f t="shared" si="40"/>
        <v>0</v>
      </c>
      <c r="AK320">
        <f t="shared" si="41"/>
        <v>1</v>
      </c>
      <c r="AL320">
        <f t="shared" si="42"/>
        <v>0</v>
      </c>
      <c r="AM320">
        <f t="shared" si="43"/>
        <v>2.25</v>
      </c>
      <c r="AN320">
        <f t="shared" si="44"/>
        <v>5947.2</v>
      </c>
      <c r="AO320">
        <f t="shared" si="45"/>
        <v>0.8</v>
      </c>
      <c r="AP320" t="str">
        <f t="shared" si="46"/>
        <v>Under 30</v>
      </c>
      <c r="AQ320" t="str">
        <f t="shared" si="47"/>
        <v>Low</v>
      </c>
      <c r="AR320" t="str">
        <f t="shared" si="48"/>
        <v>Short</v>
      </c>
      <c r="AS320">
        <f t="shared" si="49"/>
        <v>0</v>
      </c>
    </row>
    <row r="321" spans="1:4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s="20">
        <v>5228</v>
      </c>
      <c r="T321">
        <v>24624</v>
      </c>
      <c r="U321">
        <v>1</v>
      </c>
      <c r="V321" t="s">
        <v>42</v>
      </c>
      <c r="W321" t="s">
        <v>35</v>
      </c>
      <c r="X321" s="19">
        <v>11</v>
      </c>
      <c r="Y321">
        <v>3</v>
      </c>
      <c r="Z321">
        <v>4</v>
      </c>
      <c r="AA321">
        <v>80</v>
      </c>
      <c r="AB321">
        <v>0</v>
      </c>
      <c r="AC321">
        <v>13</v>
      </c>
      <c r="AD321">
        <v>2</v>
      </c>
      <c r="AE321">
        <v>3</v>
      </c>
      <c r="AF321">
        <v>13</v>
      </c>
      <c r="AG321">
        <v>12</v>
      </c>
      <c r="AH321">
        <v>11</v>
      </c>
      <c r="AI321">
        <v>9</v>
      </c>
      <c r="AJ321">
        <f t="shared" si="40"/>
        <v>0</v>
      </c>
      <c r="AK321">
        <f t="shared" si="41"/>
        <v>1</v>
      </c>
      <c r="AL321">
        <f t="shared" si="42"/>
        <v>0</v>
      </c>
      <c r="AM321">
        <f t="shared" si="43"/>
        <v>3</v>
      </c>
      <c r="AN321">
        <f t="shared" si="44"/>
        <v>4481.1428571428569</v>
      </c>
      <c r="AO321">
        <f t="shared" si="45"/>
        <v>0.9285714285714286</v>
      </c>
      <c r="AP321" t="str">
        <f t="shared" si="46"/>
        <v>30-39</v>
      </c>
      <c r="AQ321" t="str">
        <f t="shared" si="47"/>
        <v>High</v>
      </c>
      <c r="AR321" t="str">
        <f t="shared" si="48"/>
        <v>Medium</v>
      </c>
      <c r="AS321">
        <f t="shared" si="49"/>
        <v>0</v>
      </c>
    </row>
    <row r="322" spans="1:4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s="20">
        <v>4478</v>
      </c>
      <c r="T322">
        <v>5242</v>
      </c>
      <c r="U322">
        <v>1</v>
      </c>
      <c r="V322" t="s">
        <v>42</v>
      </c>
      <c r="W322" t="s">
        <v>43</v>
      </c>
      <c r="X322" s="19">
        <v>11</v>
      </c>
      <c r="Y322">
        <v>3</v>
      </c>
      <c r="Z322">
        <v>1</v>
      </c>
      <c r="AA322">
        <v>80</v>
      </c>
      <c r="AB322">
        <v>0</v>
      </c>
      <c r="AC322">
        <v>5</v>
      </c>
      <c r="AD322">
        <v>3</v>
      </c>
      <c r="AE322">
        <v>3</v>
      </c>
      <c r="AF322">
        <v>5</v>
      </c>
      <c r="AG322">
        <v>4</v>
      </c>
      <c r="AH322">
        <v>0</v>
      </c>
      <c r="AI322">
        <v>4</v>
      </c>
      <c r="AJ322">
        <f t="shared" si="40"/>
        <v>0</v>
      </c>
      <c r="AK322">
        <f t="shared" si="41"/>
        <v>0</v>
      </c>
      <c r="AL322">
        <f t="shared" si="42"/>
        <v>1</v>
      </c>
      <c r="AM322">
        <f t="shared" si="43"/>
        <v>2.75</v>
      </c>
      <c r="AN322">
        <f t="shared" si="44"/>
        <v>8956</v>
      </c>
      <c r="AO322">
        <f t="shared" si="45"/>
        <v>0.83333333333333337</v>
      </c>
      <c r="AP322" t="str">
        <f t="shared" si="46"/>
        <v>Under 30</v>
      </c>
      <c r="AQ322" t="str">
        <f t="shared" si="47"/>
        <v>Medium</v>
      </c>
      <c r="AR322" t="str">
        <f t="shared" si="48"/>
        <v>Short</v>
      </c>
      <c r="AS322">
        <f t="shared" si="49"/>
        <v>0</v>
      </c>
    </row>
    <row r="323" spans="1:4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s="20">
        <v>7547</v>
      </c>
      <c r="T323">
        <v>7143</v>
      </c>
      <c r="U323">
        <v>4</v>
      </c>
      <c r="V323" t="s">
        <v>42</v>
      </c>
      <c r="W323" t="s">
        <v>43</v>
      </c>
      <c r="X323" s="19">
        <v>12</v>
      </c>
      <c r="Y323">
        <v>3</v>
      </c>
      <c r="Z323">
        <v>4</v>
      </c>
      <c r="AA323">
        <v>80</v>
      </c>
      <c r="AB323">
        <v>3</v>
      </c>
      <c r="AC323">
        <v>13</v>
      </c>
      <c r="AD323">
        <v>3</v>
      </c>
      <c r="AE323">
        <v>3</v>
      </c>
      <c r="AF323">
        <v>7</v>
      </c>
      <c r="AG323">
        <v>7</v>
      </c>
      <c r="AH323">
        <v>1</v>
      </c>
      <c r="AI323">
        <v>7</v>
      </c>
      <c r="AJ323">
        <f t="shared" ref="AJ323:AJ386" si="50">IF(B323="Yes",1,0)</f>
        <v>0</v>
      </c>
      <c r="AK323">
        <f t="shared" ref="AK323:AK386" si="51">IF(W323="Yes",1,0)</f>
        <v>0</v>
      </c>
      <c r="AL323">
        <f t="shared" ref="AL323:AL386" si="52">IF(L323="Male",1,0)</f>
        <v>1</v>
      </c>
      <c r="AM323">
        <f t="shared" ref="AM323:AM386" si="53">AVERAGE(K323,Q323,Z323,AE323)</f>
        <v>3.75</v>
      </c>
      <c r="AN323">
        <f t="shared" ref="AN323:AN386" si="54">(S323*12)/(AF323+1)</f>
        <v>11320.5</v>
      </c>
      <c r="AO323">
        <f t="shared" ref="AO323:AO386" si="55">AF323/(AC323+1)</f>
        <v>0.5</v>
      </c>
      <c r="AP323" t="str">
        <f t="shared" ref="AP323:AP386" si="56">IF(A323&lt;30,"Under 30",IF(A323&lt;40,"30-39",IF(A323&lt;50,"40-49","50+")))</f>
        <v>30-39</v>
      </c>
      <c r="AQ323" t="str">
        <f t="shared" ref="AQ323:AQ386" si="57">IF(S323&lt;=$AV$1,"Low",IF(S323&lt;=$AV$2,"Medium",IF(S323&lt;=$AV$3,"High","Very High")))</f>
        <v>High</v>
      </c>
      <c r="AR323" t="str">
        <f t="shared" ref="AR323:AR386" si="58">IF(F323&lt;=5,"Short",IF(F323&lt;=15,"Medium","Long"))</f>
        <v>Medium</v>
      </c>
      <c r="AS323">
        <f t="shared" ref="AS323:AS386" si="59">IF(C323="Travel_Frequently",1,0)</f>
        <v>0</v>
      </c>
    </row>
    <row r="324" spans="1:4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s="20">
        <v>5055</v>
      </c>
      <c r="T324">
        <v>10557</v>
      </c>
      <c r="U324">
        <v>7</v>
      </c>
      <c r="V324" t="s">
        <v>42</v>
      </c>
      <c r="W324" t="s">
        <v>43</v>
      </c>
      <c r="X324" s="19">
        <v>16</v>
      </c>
      <c r="Y324">
        <v>3</v>
      </c>
      <c r="Z324">
        <v>3</v>
      </c>
      <c r="AA324">
        <v>80</v>
      </c>
      <c r="AB324">
        <v>0</v>
      </c>
      <c r="AC324">
        <v>10</v>
      </c>
      <c r="AD324">
        <v>0</v>
      </c>
      <c r="AE324">
        <v>2</v>
      </c>
      <c r="AF324">
        <v>7</v>
      </c>
      <c r="AG324">
        <v>7</v>
      </c>
      <c r="AH324">
        <v>0</v>
      </c>
      <c r="AI324">
        <v>7</v>
      </c>
      <c r="AJ324">
        <f t="shared" si="50"/>
        <v>0</v>
      </c>
      <c r="AK324">
        <f t="shared" si="51"/>
        <v>0</v>
      </c>
      <c r="AL324">
        <f t="shared" si="52"/>
        <v>0</v>
      </c>
      <c r="AM324">
        <f t="shared" si="53"/>
        <v>2.5</v>
      </c>
      <c r="AN324">
        <f t="shared" si="54"/>
        <v>7582.5</v>
      </c>
      <c r="AO324">
        <f t="shared" si="55"/>
        <v>0.63636363636363635</v>
      </c>
      <c r="AP324" t="str">
        <f t="shared" si="56"/>
        <v>30-39</v>
      </c>
      <c r="AQ324" t="str">
        <f t="shared" si="57"/>
        <v>High</v>
      </c>
      <c r="AR324" t="str">
        <f t="shared" si="58"/>
        <v>Short</v>
      </c>
      <c r="AS324">
        <f t="shared" si="59"/>
        <v>0</v>
      </c>
    </row>
    <row r="325" spans="1:4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s="20">
        <v>3464</v>
      </c>
      <c r="T325">
        <v>24737</v>
      </c>
      <c r="U325">
        <v>5</v>
      </c>
      <c r="V325" t="s">
        <v>42</v>
      </c>
      <c r="W325" t="s">
        <v>35</v>
      </c>
      <c r="X325" s="19">
        <v>13</v>
      </c>
      <c r="Y325">
        <v>3</v>
      </c>
      <c r="Z325">
        <v>4</v>
      </c>
      <c r="AA325">
        <v>80</v>
      </c>
      <c r="AB325">
        <v>0</v>
      </c>
      <c r="AC325">
        <v>5</v>
      </c>
      <c r="AD325">
        <v>4</v>
      </c>
      <c r="AE325">
        <v>2</v>
      </c>
      <c r="AF325">
        <v>3</v>
      </c>
      <c r="AG325">
        <v>2</v>
      </c>
      <c r="AH325">
        <v>2</v>
      </c>
      <c r="AI325">
        <v>2</v>
      </c>
      <c r="AJ325">
        <f t="shared" si="50"/>
        <v>1</v>
      </c>
      <c r="AK325">
        <f t="shared" si="51"/>
        <v>1</v>
      </c>
      <c r="AL325">
        <f t="shared" si="52"/>
        <v>1</v>
      </c>
      <c r="AM325">
        <f t="shared" si="53"/>
        <v>2.75</v>
      </c>
      <c r="AN325">
        <f t="shared" si="54"/>
        <v>10392</v>
      </c>
      <c r="AO325">
        <f t="shared" si="55"/>
        <v>0.5</v>
      </c>
      <c r="AP325" t="str">
        <f t="shared" si="56"/>
        <v>Under 30</v>
      </c>
      <c r="AQ325" t="str">
        <f t="shared" si="57"/>
        <v>Medium</v>
      </c>
      <c r="AR325" t="str">
        <f t="shared" si="58"/>
        <v>Short</v>
      </c>
      <c r="AS325">
        <f t="shared" si="59"/>
        <v>0</v>
      </c>
    </row>
    <row r="326" spans="1:4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s="20">
        <v>5775</v>
      </c>
      <c r="T326">
        <v>11934</v>
      </c>
      <c r="U326">
        <v>1</v>
      </c>
      <c r="V326" t="s">
        <v>42</v>
      </c>
      <c r="W326" t="s">
        <v>43</v>
      </c>
      <c r="X326" s="19">
        <v>13</v>
      </c>
      <c r="Y326">
        <v>3</v>
      </c>
      <c r="Z326">
        <v>4</v>
      </c>
      <c r="AA326">
        <v>80</v>
      </c>
      <c r="AB326">
        <v>2</v>
      </c>
      <c r="AC326">
        <v>11</v>
      </c>
      <c r="AD326">
        <v>2</v>
      </c>
      <c r="AE326">
        <v>3</v>
      </c>
      <c r="AF326">
        <v>10</v>
      </c>
      <c r="AG326">
        <v>8</v>
      </c>
      <c r="AH326">
        <v>1</v>
      </c>
      <c r="AI326">
        <v>9</v>
      </c>
      <c r="AJ326">
        <f t="shared" si="50"/>
        <v>0</v>
      </c>
      <c r="AK326">
        <f t="shared" si="51"/>
        <v>0</v>
      </c>
      <c r="AL326">
        <f t="shared" si="52"/>
        <v>0</v>
      </c>
      <c r="AM326">
        <f t="shared" si="53"/>
        <v>3.75</v>
      </c>
      <c r="AN326">
        <f t="shared" si="54"/>
        <v>6300</v>
      </c>
      <c r="AO326">
        <f t="shared" si="55"/>
        <v>0.83333333333333337</v>
      </c>
      <c r="AP326" t="str">
        <f t="shared" si="56"/>
        <v>30-39</v>
      </c>
      <c r="AQ326" t="str">
        <f t="shared" si="57"/>
        <v>High</v>
      </c>
      <c r="AR326" t="str">
        <f t="shared" si="58"/>
        <v>Long</v>
      </c>
      <c r="AS326">
        <f t="shared" si="59"/>
        <v>0</v>
      </c>
    </row>
    <row r="327" spans="1:4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s="20">
        <v>8943</v>
      </c>
      <c r="T327">
        <v>14034</v>
      </c>
      <c r="U327">
        <v>1</v>
      </c>
      <c r="V327" t="s">
        <v>42</v>
      </c>
      <c r="W327" t="s">
        <v>43</v>
      </c>
      <c r="X327" s="19">
        <v>24</v>
      </c>
      <c r="Y327">
        <v>4</v>
      </c>
      <c r="Z327">
        <v>1</v>
      </c>
      <c r="AA327">
        <v>80</v>
      </c>
      <c r="AB327">
        <v>1</v>
      </c>
      <c r="AC327">
        <v>10</v>
      </c>
      <c r="AD327">
        <v>2</v>
      </c>
      <c r="AE327">
        <v>3</v>
      </c>
      <c r="AF327">
        <v>10</v>
      </c>
      <c r="AG327">
        <v>9</v>
      </c>
      <c r="AH327">
        <v>8</v>
      </c>
      <c r="AI327">
        <v>9</v>
      </c>
      <c r="AJ327">
        <f t="shared" si="50"/>
        <v>0</v>
      </c>
      <c r="AK327">
        <f t="shared" si="51"/>
        <v>0</v>
      </c>
      <c r="AL327">
        <f t="shared" si="52"/>
        <v>0</v>
      </c>
      <c r="AM327">
        <f t="shared" si="53"/>
        <v>2.5</v>
      </c>
      <c r="AN327">
        <f t="shared" si="54"/>
        <v>9756</v>
      </c>
      <c r="AO327">
        <f t="shared" si="55"/>
        <v>0.90909090909090906</v>
      </c>
      <c r="AP327" t="str">
        <f t="shared" si="56"/>
        <v>30-39</v>
      </c>
      <c r="AQ327" t="str">
        <f t="shared" si="57"/>
        <v>Very High</v>
      </c>
      <c r="AR327" t="str">
        <f t="shared" si="58"/>
        <v>Medium</v>
      </c>
      <c r="AS327">
        <f t="shared" si="59"/>
        <v>1</v>
      </c>
    </row>
    <row r="328" spans="1:4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s="20">
        <v>19272</v>
      </c>
      <c r="T328">
        <v>21141</v>
      </c>
      <c r="U328">
        <v>1</v>
      </c>
      <c r="V328" t="s">
        <v>42</v>
      </c>
      <c r="W328" t="s">
        <v>43</v>
      </c>
      <c r="X328" s="19">
        <v>15</v>
      </c>
      <c r="Y328">
        <v>3</v>
      </c>
      <c r="Z328">
        <v>1</v>
      </c>
      <c r="AA328">
        <v>80</v>
      </c>
      <c r="AB328">
        <v>1</v>
      </c>
      <c r="AC328">
        <v>21</v>
      </c>
      <c r="AD328">
        <v>2</v>
      </c>
      <c r="AE328">
        <v>3</v>
      </c>
      <c r="AF328">
        <v>21</v>
      </c>
      <c r="AG328">
        <v>9</v>
      </c>
      <c r="AH328">
        <v>13</v>
      </c>
      <c r="AI328">
        <v>3</v>
      </c>
      <c r="AJ328">
        <f t="shared" si="50"/>
        <v>0</v>
      </c>
      <c r="AK328">
        <f t="shared" si="51"/>
        <v>0</v>
      </c>
      <c r="AL328">
        <f t="shared" si="52"/>
        <v>1</v>
      </c>
      <c r="AM328">
        <f t="shared" si="53"/>
        <v>2.75</v>
      </c>
      <c r="AN328">
        <f t="shared" si="54"/>
        <v>10512</v>
      </c>
      <c r="AO328">
        <f t="shared" si="55"/>
        <v>0.95454545454545459</v>
      </c>
      <c r="AP328" t="str">
        <f t="shared" si="56"/>
        <v>30-39</v>
      </c>
      <c r="AQ328" t="str">
        <f t="shared" si="57"/>
        <v>Very High</v>
      </c>
      <c r="AR328" t="str">
        <f t="shared" si="58"/>
        <v>Medium</v>
      </c>
      <c r="AS328">
        <f t="shared" si="59"/>
        <v>1</v>
      </c>
    </row>
    <row r="329" spans="1:4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s="20">
        <v>5238</v>
      </c>
      <c r="T329">
        <v>17778</v>
      </c>
      <c r="U329">
        <v>4</v>
      </c>
      <c r="V329" t="s">
        <v>42</v>
      </c>
      <c r="W329" t="s">
        <v>35</v>
      </c>
      <c r="X329" s="19">
        <v>18</v>
      </c>
      <c r="Y329">
        <v>3</v>
      </c>
      <c r="Z329">
        <v>1</v>
      </c>
      <c r="AA329">
        <v>80</v>
      </c>
      <c r="AB329">
        <v>0</v>
      </c>
      <c r="AC329">
        <v>12</v>
      </c>
      <c r="AD329">
        <v>3</v>
      </c>
      <c r="AE329">
        <v>2</v>
      </c>
      <c r="AF329">
        <v>1</v>
      </c>
      <c r="AG329">
        <v>0</v>
      </c>
      <c r="AH329">
        <v>0</v>
      </c>
      <c r="AI329">
        <v>0</v>
      </c>
      <c r="AJ329">
        <f t="shared" si="50"/>
        <v>1</v>
      </c>
      <c r="AK329">
        <f t="shared" si="51"/>
        <v>1</v>
      </c>
      <c r="AL329">
        <f t="shared" si="52"/>
        <v>0</v>
      </c>
      <c r="AM329">
        <f t="shared" si="53"/>
        <v>2.5</v>
      </c>
      <c r="AN329">
        <f t="shared" si="54"/>
        <v>31428</v>
      </c>
      <c r="AO329">
        <f t="shared" si="55"/>
        <v>7.6923076923076927E-2</v>
      </c>
      <c r="AP329" t="str">
        <f t="shared" si="56"/>
        <v>30-39</v>
      </c>
      <c r="AQ329" t="str">
        <f t="shared" si="57"/>
        <v>High</v>
      </c>
      <c r="AR329" t="str">
        <f t="shared" si="58"/>
        <v>Short</v>
      </c>
      <c r="AS329">
        <f t="shared" si="59"/>
        <v>0</v>
      </c>
    </row>
    <row r="330" spans="1:4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s="20">
        <v>4682</v>
      </c>
      <c r="T330">
        <v>4317</v>
      </c>
      <c r="U330">
        <v>3</v>
      </c>
      <c r="V330" t="s">
        <v>42</v>
      </c>
      <c r="W330" t="s">
        <v>43</v>
      </c>
      <c r="X330" s="19">
        <v>14</v>
      </c>
      <c r="Y330">
        <v>3</v>
      </c>
      <c r="Z330">
        <v>3</v>
      </c>
      <c r="AA330">
        <v>80</v>
      </c>
      <c r="AB330">
        <v>0</v>
      </c>
      <c r="AC330">
        <v>9</v>
      </c>
      <c r="AD330">
        <v>6</v>
      </c>
      <c r="AE330">
        <v>2</v>
      </c>
      <c r="AF330">
        <v>7</v>
      </c>
      <c r="AG330">
        <v>7</v>
      </c>
      <c r="AH330">
        <v>0</v>
      </c>
      <c r="AI330">
        <v>1</v>
      </c>
      <c r="AJ330">
        <f t="shared" si="50"/>
        <v>0</v>
      </c>
      <c r="AK330">
        <f t="shared" si="51"/>
        <v>0</v>
      </c>
      <c r="AL330">
        <f t="shared" si="52"/>
        <v>1</v>
      </c>
      <c r="AM330">
        <f t="shared" si="53"/>
        <v>2.75</v>
      </c>
      <c r="AN330">
        <f t="shared" si="54"/>
        <v>7023</v>
      </c>
      <c r="AO330">
        <f t="shared" si="55"/>
        <v>0.7</v>
      </c>
      <c r="AP330" t="str">
        <f t="shared" si="56"/>
        <v>30-39</v>
      </c>
      <c r="AQ330" t="str">
        <f t="shared" si="57"/>
        <v>Medium</v>
      </c>
      <c r="AR330" t="str">
        <f t="shared" si="58"/>
        <v>Medium</v>
      </c>
      <c r="AS330">
        <f t="shared" si="59"/>
        <v>1</v>
      </c>
    </row>
    <row r="331" spans="1:4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s="20">
        <v>18300</v>
      </c>
      <c r="T331">
        <v>16375</v>
      </c>
      <c r="U331">
        <v>4</v>
      </c>
      <c r="V331" t="s">
        <v>42</v>
      </c>
      <c r="W331" t="s">
        <v>43</v>
      </c>
      <c r="X331" s="19">
        <v>11</v>
      </c>
      <c r="Y331">
        <v>3</v>
      </c>
      <c r="Z331">
        <v>2</v>
      </c>
      <c r="AA331">
        <v>80</v>
      </c>
      <c r="AB331">
        <v>1</v>
      </c>
      <c r="AC331">
        <v>21</v>
      </c>
      <c r="AD331">
        <v>2</v>
      </c>
      <c r="AE331">
        <v>3</v>
      </c>
      <c r="AF331">
        <v>3</v>
      </c>
      <c r="AG331">
        <v>2</v>
      </c>
      <c r="AH331">
        <v>1</v>
      </c>
      <c r="AI331">
        <v>1</v>
      </c>
      <c r="AJ331">
        <f t="shared" si="50"/>
        <v>0</v>
      </c>
      <c r="AK331">
        <f t="shared" si="51"/>
        <v>0</v>
      </c>
      <c r="AL331">
        <f t="shared" si="52"/>
        <v>1</v>
      </c>
      <c r="AM331">
        <f t="shared" si="53"/>
        <v>3</v>
      </c>
      <c r="AN331">
        <f t="shared" si="54"/>
        <v>54900</v>
      </c>
      <c r="AO331">
        <f t="shared" si="55"/>
        <v>0.13636363636363635</v>
      </c>
      <c r="AP331" t="str">
        <f t="shared" si="56"/>
        <v>40-49</v>
      </c>
      <c r="AQ331" t="str">
        <f t="shared" si="57"/>
        <v>Very High</v>
      </c>
      <c r="AR331" t="str">
        <f t="shared" si="58"/>
        <v>Short</v>
      </c>
      <c r="AS331">
        <f t="shared" si="59"/>
        <v>0</v>
      </c>
    </row>
    <row r="332" spans="1:4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s="20">
        <v>5257</v>
      </c>
      <c r="T332">
        <v>6227</v>
      </c>
      <c r="U332">
        <v>1</v>
      </c>
      <c r="V332" t="s">
        <v>42</v>
      </c>
      <c r="W332" t="s">
        <v>43</v>
      </c>
      <c r="X332" s="19">
        <v>11</v>
      </c>
      <c r="Y332">
        <v>3</v>
      </c>
      <c r="Z332">
        <v>2</v>
      </c>
      <c r="AA332">
        <v>80</v>
      </c>
      <c r="AB332">
        <v>1</v>
      </c>
      <c r="AC332">
        <v>9</v>
      </c>
      <c r="AD332">
        <v>3</v>
      </c>
      <c r="AE332">
        <v>4</v>
      </c>
      <c r="AF332">
        <v>9</v>
      </c>
      <c r="AG332">
        <v>7</v>
      </c>
      <c r="AH332">
        <v>0</v>
      </c>
      <c r="AI332">
        <v>0</v>
      </c>
      <c r="AJ332">
        <f t="shared" si="50"/>
        <v>0</v>
      </c>
      <c r="AK332">
        <f t="shared" si="51"/>
        <v>0</v>
      </c>
      <c r="AL332">
        <f t="shared" si="52"/>
        <v>0</v>
      </c>
      <c r="AM332">
        <f t="shared" si="53"/>
        <v>3</v>
      </c>
      <c r="AN332">
        <f t="shared" si="54"/>
        <v>6308.4</v>
      </c>
      <c r="AO332">
        <f t="shared" si="55"/>
        <v>0.9</v>
      </c>
      <c r="AP332" t="str">
        <f t="shared" si="56"/>
        <v>40-49</v>
      </c>
      <c r="AQ332" t="str">
        <f t="shared" si="57"/>
        <v>High</v>
      </c>
      <c r="AR332" t="str">
        <f t="shared" si="58"/>
        <v>Medium</v>
      </c>
      <c r="AS332">
        <f t="shared" si="59"/>
        <v>1</v>
      </c>
    </row>
    <row r="333" spans="1:4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s="20">
        <v>6349</v>
      </c>
      <c r="T333">
        <v>22107</v>
      </c>
      <c r="U333">
        <v>0</v>
      </c>
      <c r="V333" t="s">
        <v>42</v>
      </c>
      <c r="W333" t="s">
        <v>35</v>
      </c>
      <c r="X333" s="19">
        <v>13</v>
      </c>
      <c r="Y333">
        <v>3</v>
      </c>
      <c r="Z333">
        <v>4</v>
      </c>
      <c r="AA333">
        <v>80</v>
      </c>
      <c r="AB333">
        <v>1</v>
      </c>
      <c r="AC333">
        <v>6</v>
      </c>
      <c r="AD333">
        <v>0</v>
      </c>
      <c r="AE333">
        <v>3</v>
      </c>
      <c r="AF333">
        <v>5</v>
      </c>
      <c r="AG333">
        <v>4</v>
      </c>
      <c r="AH333">
        <v>1</v>
      </c>
      <c r="AI333">
        <v>4</v>
      </c>
      <c r="AJ333">
        <f t="shared" si="50"/>
        <v>0</v>
      </c>
      <c r="AK333">
        <f t="shared" si="51"/>
        <v>1</v>
      </c>
      <c r="AL333">
        <f t="shared" si="52"/>
        <v>1</v>
      </c>
      <c r="AM333">
        <f t="shared" si="53"/>
        <v>3</v>
      </c>
      <c r="AN333">
        <f t="shared" si="54"/>
        <v>12698</v>
      </c>
      <c r="AO333">
        <f t="shared" si="55"/>
        <v>0.7142857142857143</v>
      </c>
      <c r="AP333" t="str">
        <f t="shared" si="56"/>
        <v>Under 30</v>
      </c>
      <c r="AQ333" t="str">
        <f t="shared" si="57"/>
        <v>High</v>
      </c>
      <c r="AR333" t="str">
        <f t="shared" si="58"/>
        <v>Short</v>
      </c>
      <c r="AS333">
        <f t="shared" si="59"/>
        <v>0</v>
      </c>
    </row>
    <row r="334" spans="1:4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s="20">
        <v>4869</v>
      </c>
      <c r="T334">
        <v>16885</v>
      </c>
      <c r="U334">
        <v>3</v>
      </c>
      <c r="V334" t="s">
        <v>42</v>
      </c>
      <c r="W334" t="s">
        <v>43</v>
      </c>
      <c r="X334" s="19">
        <v>12</v>
      </c>
      <c r="Y334">
        <v>3</v>
      </c>
      <c r="Z334">
        <v>4</v>
      </c>
      <c r="AA334">
        <v>80</v>
      </c>
      <c r="AB334">
        <v>0</v>
      </c>
      <c r="AC334">
        <v>20</v>
      </c>
      <c r="AD334">
        <v>4</v>
      </c>
      <c r="AE334">
        <v>2</v>
      </c>
      <c r="AF334">
        <v>4</v>
      </c>
      <c r="AG334">
        <v>3</v>
      </c>
      <c r="AH334">
        <v>0</v>
      </c>
      <c r="AI334">
        <v>3</v>
      </c>
      <c r="AJ334">
        <f t="shared" si="50"/>
        <v>0</v>
      </c>
      <c r="AK334">
        <f t="shared" si="51"/>
        <v>0</v>
      </c>
      <c r="AL334">
        <f t="shared" si="52"/>
        <v>0</v>
      </c>
      <c r="AM334">
        <f t="shared" si="53"/>
        <v>3.25</v>
      </c>
      <c r="AN334">
        <f t="shared" si="54"/>
        <v>11685.6</v>
      </c>
      <c r="AO334">
        <f t="shared" si="55"/>
        <v>0.19047619047619047</v>
      </c>
      <c r="AP334" t="str">
        <f t="shared" si="56"/>
        <v>50+</v>
      </c>
      <c r="AQ334" t="str">
        <f t="shared" si="57"/>
        <v>Medium</v>
      </c>
      <c r="AR334" t="str">
        <f t="shared" si="58"/>
        <v>Long</v>
      </c>
      <c r="AS334">
        <f t="shared" si="59"/>
        <v>1</v>
      </c>
    </row>
    <row r="335" spans="1:4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s="20">
        <v>9985</v>
      </c>
      <c r="T335">
        <v>9262</v>
      </c>
      <c r="U335">
        <v>8</v>
      </c>
      <c r="V335" t="s">
        <v>42</v>
      </c>
      <c r="W335" t="s">
        <v>43</v>
      </c>
      <c r="X335" s="19">
        <v>16</v>
      </c>
      <c r="Y335">
        <v>3</v>
      </c>
      <c r="Z335">
        <v>1</v>
      </c>
      <c r="AA335">
        <v>80</v>
      </c>
      <c r="AB335">
        <v>1</v>
      </c>
      <c r="AC335">
        <v>10</v>
      </c>
      <c r="AD335">
        <v>1</v>
      </c>
      <c r="AE335">
        <v>2</v>
      </c>
      <c r="AF335">
        <v>1</v>
      </c>
      <c r="AG335">
        <v>0</v>
      </c>
      <c r="AH335">
        <v>0</v>
      </c>
      <c r="AI335">
        <v>0</v>
      </c>
      <c r="AJ335">
        <f t="shared" si="50"/>
        <v>0</v>
      </c>
      <c r="AK335">
        <f t="shared" si="51"/>
        <v>0</v>
      </c>
      <c r="AL335">
        <f t="shared" si="52"/>
        <v>0</v>
      </c>
      <c r="AM335">
        <f t="shared" si="53"/>
        <v>1.75</v>
      </c>
      <c r="AN335">
        <f t="shared" si="54"/>
        <v>59910</v>
      </c>
      <c r="AO335">
        <f t="shared" si="55"/>
        <v>9.0909090909090912E-2</v>
      </c>
      <c r="AP335" t="str">
        <f t="shared" si="56"/>
        <v>40-49</v>
      </c>
      <c r="AQ335" t="str">
        <f t="shared" si="57"/>
        <v>Very High</v>
      </c>
      <c r="AR335" t="str">
        <f t="shared" si="58"/>
        <v>Medium</v>
      </c>
      <c r="AS335">
        <f t="shared" si="59"/>
        <v>0</v>
      </c>
    </row>
    <row r="336" spans="1:4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s="20">
        <v>3697</v>
      </c>
      <c r="T336">
        <v>9278</v>
      </c>
      <c r="U336">
        <v>9</v>
      </c>
      <c r="V336" t="s">
        <v>42</v>
      </c>
      <c r="W336" t="s">
        <v>43</v>
      </c>
      <c r="X336" s="19">
        <v>14</v>
      </c>
      <c r="Y336">
        <v>3</v>
      </c>
      <c r="Z336">
        <v>1</v>
      </c>
      <c r="AA336">
        <v>80</v>
      </c>
      <c r="AB336">
        <v>2</v>
      </c>
      <c r="AC336">
        <v>12</v>
      </c>
      <c r="AD336">
        <v>3</v>
      </c>
      <c r="AE336">
        <v>3</v>
      </c>
      <c r="AF336">
        <v>10</v>
      </c>
      <c r="AG336">
        <v>9</v>
      </c>
      <c r="AH336">
        <v>9</v>
      </c>
      <c r="AI336">
        <v>8</v>
      </c>
      <c r="AJ336">
        <f t="shared" si="50"/>
        <v>0</v>
      </c>
      <c r="AK336">
        <f t="shared" si="51"/>
        <v>0</v>
      </c>
      <c r="AL336">
        <f t="shared" si="52"/>
        <v>1</v>
      </c>
      <c r="AM336">
        <f t="shared" si="53"/>
        <v>3</v>
      </c>
      <c r="AN336">
        <f t="shared" si="54"/>
        <v>4033.090909090909</v>
      </c>
      <c r="AO336">
        <f t="shared" si="55"/>
        <v>0.76923076923076927</v>
      </c>
      <c r="AP336" t="str">
        <f t="shared" si="56"/>
        <v>40-49</v>
      </c>
      <c r="AQ336" t="str">
        <f t="shared" si="57"/>
        <v>Medium</v>
      </c>
      <c r="AR336" t="str">
        <f t="shared" si="58"/>
        <v>Medium</v>
      </c>
      <c r="AS336">
        <f t="shared" si="59"/>
        <v>0</v>
      </c>
    </row>
    <row r="337" spans="1:4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s="20">
        <v>7457</v>
      </c>
      <c r="T337">
        <v>13273</v>
      </c>
      <c r="U337">
        <v>2</v>
      </c>
      <c r="V337" t="s">
        <v>42</v>
      </c>
      <c r="W337" t="s">
        <v>35</v>
      </c>
      <c r="X337" s="19">
        <v>22</v>
      </c>
      <c r="Y337">
        <v>4</v>
      </c>
      <c r="Z337">
        <v>3</v>
      </c>
      <c r="AA337">
        <v>80</v>
      </c>
      <c r="AB337">
        <v>3</v>
      </c>
      <c r="AC337">
        <v>6</v>
      </c>
      <c r="AD337">
        <v>2</v>
      </c>
      <c r="AE337">
        <v>2</v>
      </c>
      <c r="AF337">
        <v>4</v>
      </c>
      <c r="AG337">
        <v>3</v>
      </c>
      <c r="AH337">
        <v>0</v>
      </c>
      <c r="AI337">
        <v>2</v>
      </c>
      <c r="AJ337">
        <f t="shared" si="50"/>
        <v>0</v>
      </c>
      <c r="AK337">
        <f t="shared" si="51"/>
        <v>1</v>
      </c>
      <c r="AL337">
        <f t="shared" si="52"/>
        <v>1</v>
      </c>
      <c r="AM337">
        <f t="shared" si="53"/>
        <v>2.75</v>
      </c>
      <c r="AN337">
        <f t="shared" si="54"/>
        <v>17896.8</v>
      </c>
      <c r="AO337">
        <f t="shared" si="55"/>
        <v>0.5714285714285714</v>
      </c>
      <c r="AP337" t="str">
        <f t="shared" si="56"/>
        <v>40-49</v>
      </c>
      <c r="AQ337" t="str">
        <f t="shared" si="57"/>
        <v>High</v>
      </c>
      <c r="AR337" t="str">
        <f t="shared" si="58"/>
        <v>Short</v>
      </c>
      <c r="AS337">
        <f t="shared" si="59"/>
        <v>0</v>
      </c>
    </row>
    <row r="338" spans="1:4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s="20">
        <v>2119</v>
      </c>
      <c r="T338">
        <v>4759</v>
      </c>
      <c r="U338">
        <v>1</v>
      </c>
      <c r="V338" t="s">
        <v>42</v>
      </c>
      <c r="W338" t="s">
        <v>35</v>
      </c>
      <c r="X338" s="19">
        <v>11</v>
      </c>
      <c r="Y338">
        <v>3</v>
      </c>
      <c r="Z338">
        <v>4</v>
      </c>
      <c r="AA338">
        <v>80</v>
      </c>
      <c r="AB338">
        <v>0</v>
      </c>
      <c r="AC338">
        <v>7</v>
      </c>
      <c r="AD338">
        <v>4</v>
      </c>
      <c r="AE338">
        <v>2</v>
      </c>
      <c r="AF338">
        <v>7</v>
      </c>
      <c r="AG338">
        <v>7</v>
      </c>
      <c r="AH338">
        <v>0</v>
      </c>
      <c r="AI338">
        <v>7</v>
      </c>
      <c r="AJ338">
        <f t="shared" si="50"/>
        <v>1</v>
      </c>
      <c r="AK338">
        <f t="shared" si="51"/>
        <v>1</v>
      </c>
      <c r="AL338">
        <f t="shared" si="52"/>
        <v>1</v>
      </c>
      <c r="AM338">
        <f t="shared" si="53"/>
        <v>2.25</v>
      </c>
      <c r="AN338">
        <f t="shared" si="54"/>
        <v>3178.5</v>
      </c>
      <c r="AO338">
        <f t="shared" si="55"/>
        <v>0.875</v>
      </c>
      <c r="AP338" t="str">
        <f t="shared" si="56"/>
        <v>Under 30</v>
      </c>
      <c r="AQ338" t="str">
        <f t="shared" si="57"/>
        <v>Low</v>
      </c>
      <c r="AR338" t="str">
        <f t="shared" si="58"/>
        <v>Medium</v>
      </c>
      <c r="AS338">
        <f t="shared" si="59"/>
        <v>0</v>
      </c>
    </row>
    <row r="339" spans="1:4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s="20">
        <v>3983</v>
      </c>
      <c r="T339">
        <v>7621</v>
      </c>
      <c r="U339">
        <v>0</v>
      </c>
      <c r="V339" t="s">
        <v>42</v>
      </c>
      <c r="W339" t="s">
        <v>43</v>
      </c>
      <c r="X339" s="19">
        <v>17</v>
      </c>
      <c r="Y339">
        <v>3</v>
      </c>
      <c r="Z339">
        <v>3</v>
      </c>
      <c r="AA339">
        <v>80</v>
      </c>
      <c r="AB339">
        <v>0</v>
      </c>
      <c r="AC339">
        <v>4</v>
      </c>
      <c r="AD339">
        <v>2</v>
      </c>
      <c r="AE339">
        <v>3</v>
      </c>
      <c r="AF339">
        <v>3</v>
      </c>
      <c r="AG339">
        <v>2</v>
      </c>
      <c r="AH339">
        <v>2</v>
      </c>
      <c r="AI339">
        <v>2</v>
      </c>
      <c r="AJ339">
        <f t="shared" si="50"/>
        <v>0</v>
      </c>
      <c r="AK339">
        <f t="shared" si="51"/>
        <v>0</v>
      </c>
      <c r="AL339">
        <f t="shared" si="52"/>
        <v>1</v>
      </c>
      <c r="AM339">
        <f t="shared" si="53"/>
        <v>3</v>
      </c>
      <c r="AN339">
        <f t="shared" si="54"/>
        <v>11949</v>
      </c>
      <c r="AO339">
        <f t="shared" si="55"/>
        <v>0.6</v>
      </c>
      <c r="AP339" t="str">
        <f t="shared" si="56"/>
        <v>Under 30</v>
      </c>
      <c r="AQ339" t="str">
        <f t="shared" si="57"/>
        <v>Medium</v>
      </c>
      <c r="AR339" t="str">
        <f t="shared" si="58"/>
        <v>Medium</v>
      </c>
      <c r="AS339">
        <f t="shared" si="59"/>
        <v>0</v>
      </c>
    </row>
    <row r="340" spans="1:4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s="20">
        <v>6118</v>
      </c>
      <c r="T340">
        <v>5431</v>
      </c>
      <c r="U340">
        <v>1</v>
      </c>
      <c r="V340" t="s">
        <v>42</v>
      </c>
      <c r="W340" t="s">
        <v>43</v>
      </c>
      <c r="X340" s="19">
        <v>13</v>
      </c>
      <c r="Y340">
        <v>3</v>
      </c>
      <c r="Z340">
        <v>3</v>
      </c>
      <c r="AA340">
        <v>80</v>
      </c>
      <c r="AB340">
        <v>3</v>
      </c>
      <c r="AC340">
        <v>10</v>
      </c>
      <c r="AD340">
        <v>2</v>
      </c>
      <c r="AE340">
        <v>3</v>
      </c>
      <c r="AF340">
        <v>10</v>
      </c>
      <c r="AG340">
        <v>9</v>
      </c>
      <c r="AH340">
        <v>1</v>
      </c>
      <c r="AI340">
        <v>2</v>
      </c>
      <c r="AJ340">
        <f t="shared" si="50"/>
        <v>0</v>
      </c>
      <c r="AK340">
        <f t="shared" si="51"/>
        <v>0</v>
      </c>
      <c r="AL340">
        <f t="shared" si="52"/>
        <v>0</v>
      </c>
      <c r="AM340">
        <f t="shared" si="53"/>
        <v>3.25</v>
      </c>
      <c r="AN340">
        <f t="shared" si="54"/>
        <v>6674.181818181818</v>
      </c>
      <c r="AO340">
        <f t="shared" si="55"/>
        <v>0.90909090909090906</v>
      </c>
      <c r="AP340" t="str">
        <f t="shared" si="56"/>
        <v>30-39</v>
      </c>
      <c r="AQ340" t="str">
        <f t="shared" si="57"/>
        <v>High</v>
      </c>
      <c r="AR340" t="str">
        <f t="shared" si="58"/>
        <v>Short</v>
      </c>
      <c r="AS340">
        <f t="shared" si="59"/>
        <v>0</v>
      </c>
    </row>
    <row r="341" spans="1:4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s="20">
        <v>6214</v>
      </c>
      <c r="T341">
        <v>3415</v>
      </c>
      <c r="U341">
        <v>1</v>
      </c>
      <c r="V341" t="s">
        <v>42</v>
      </c>
      <c r="W341" t="s">
        <v>43</v>
      </c>
      <c r="X341" s="19">
        <v>18</v>
      </c>
      <c r="Y341">
        <v>3</v>
      </c>
      <c r="Z341">
        <v>1</v>
      </c>
      <c r="AA341">
        <v>80</v>
      </c>
      <c r="AB341">
        <v>1</v>
      </c>
      <c r="AC341">
        <v>8</v>
      </c>
      <c r="AD341">
        <v>3</v>
      </c>
      <c r="AE341">
        <v>3</v>
      </c>
      <c r="AF341">
        <v>8</v>
      </c>
      <c r="AG341">
        <v>7</v>
      </c>
      <c r="AH341">
        <v>0</v>
      </c>
      <c r="AI341">
        <v>7</v>
      </c>
      <c r="AJ341">
        <f t="shared" si="50"/>
        <v>0</v>
      </c>
      <c r="AK341">
        <f t="shared" si="51"/>
        <v>0</v>
      </c>
      <c r="AL341">
        <f t="shared" si="52"/>
        <v>0</v>
      </c>
      <c r="AM341">
        <f t="shared" si="53"/>
        <v>2</v>
      </c>
      <c r="AN341">
        <f t="shared" si="54"/>
        <v>8285.3333333333339</v>
      </c>
      <c r="AO341">
        <f t="shared" si="55"/>
        <v>0.88888888888888884</v>
      </c>
      <c r="AP341" t="str">
        <f t="shared" si="56"/>
        <v>Under 30</v>
      </c>
      <c r="AQ341" t="str">
        <f t="shared" si="57"/>
        <v>High</v>
      </c>
      <c r="AR341" t="str">
        <f t="shared" si="58"/>
        <v>Medium</v>
      </c>
      <c r="AS341">
        <f t="shared" si="59"/>
        <v>0</v>
      </c>
    </row>
    <row r="342" spans="1:45" x14ac:dyDescent="0.3">
      <c r="A342">
        <v>37</v>
      </c>
      <c r="B342" t="s">
        <v>43</v>
      </c>
      <c r="C342" t="s">
        <v>55</v>
      </c>
      <c r="D342">
        <v>1192</v>
      </c>
      <c r="E342" t="s">
        <v>45</v>
      </c>
      <c r="F342">
        <v>5</v>
      </c>
      <c r="G342">
        <v>2</v>
      </c>
      <c r="H342" t="s">
        <v>51</v>
      </c>
      <c r="I342">
        <v>1</v>
      </c>
      <c r="J342">
        <v>460</v>
      </c>
      <c r="K342">
        <v>4</v>
      </c>
      <c r="L342" t="s">
        <v>46</v>
      </c>
      <c r="M342">
        <v>61</v>
      </c>
      <c r="N342">
        <v>3</v>
      </c>
      <c r="O342">
        <v>2</v>
      </c>
      <c r="P342" t="s">
        <v>53</v>
      </c>
      <c r="Q342">
        <v>4</v>
      </c>
      <c r="R342" t="s">
        <v>52</v>
      </c>
      <c r="S342" s="20">
        <v>5343</v>
      </c>
      <c r="T342">
        <v>23177</v>
      </c>
      <c r="U342">
        <v>7</v>
      </c>
      <c r="V342" t="s">
        <v>42</v>
      </c>
      <c r="W342" t="s">
        <v>43</v>
      </c>
      <c r="X342" s="19">
        <v>16</v>
      </c>
      <c r="Y342">
        <v>3</v>
      </c>
      <c r="Z342">
        <v>3</v>
      </c>
      <c r="AA342">
        <v>80</v>
      </c>
      <c r="AB342">
        <v>2</v>
      </c>
      <c r="AC342">
        <v>8</v>
      </c>
      <c r="AD342">
        <v>2</v>
      </c>
      <c r="AE342">
        <v>2</v>
      </c>
      <c r="AF342">
        <v>6</v>
      </c>
      <c r="AG342">
        <v>2</v>
      </c>
      <c r="AH342">
        <v>0</v>
      </c>
      <c r="AI342">
        <v>4</v>
      </c>
      <c r="AJ342">
        <f t="shared" si="50"/>
        <v>0</v>
      </c>
      <c r="AK342">
        <f t="shared" si="51"/>
        <v>0</v>
      </c>
      <c r="AL342">
        <f t="shared" si="52"/>
        <v>1</v>
      </c>
      <c r="AM342">
        <f t="shared" si="53"/>
        <v>3.25</v>
      </c>
      <c r="AN342">
        <f t="shared" si="54"/>
        <v>9159.4285714285706</v>
      </c>
      <c r="AO342">
        <f t="shared" si="55"/>
        <v>0.66666666666666663</v>
      </c>
      <c r="AP342" t="str">
        <f t="shared" si="56"/>
        <v>30-39</v>
      </c>
      <c r="AQ342" t="str">
        <f t="shared" si="57"/>
        <v>High</v>
      </c>
      <c r="AR342" t="str">
        <f t="shared" si="58"/>
        <v>Short</v>
      </c>
      <c r="AS342">
        <f t="shared" si="59"/>
        <v>0</v>
      </c>
    </row>
    <row r="343" spans="1:4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s="20">
        <v>11510</v>
      </c>
      <c r="T343">
        <v>15682</v>
      </c>
      <c r="U343">
        <v>0</v>
      </c>
      <c r="V343" t="s">
        <v>42</v>
      </c>
      <c r="W343" t="s">
        <v>35</v>
      </c>
      <c r="X343" s="19">
        <v>14</v>
      </c>
      <c r="Y343">
        <v>3</v>
      </c>
      <c r="Z343">
        <v>2</v>
      </c>
      <c r="AA343">
        <v>80</v>
      </c>
      <c r="AB343">
        <v>1</v>
      </c>
      <c r="AC343">
        <v>12</v>
      </c>
      <c r="AD343">
        <v>3</v>
      </c>
      <c r="AE343">
        <v>3</v>
      </c>
      <c r="AF343">
        <v>11</v>
      </c>
      <c r="AG343">
        <v>10</v>
      </c>
      <c r="AH343">
        <v>2</v>
      </c>
      <c r="AI343">
        <v>9</v>
      </c>
      <c r="AJ343">
        <f t="shared" si="50"/>
        <v>0</v>
      </c>
      <c r="AK343">
        <f t="shared" si="51"/>
        <v>1</v>
      </c>
      <c r="AL343">
        <f t="shared" si="52"/>
        <v>1</v>
      </c>
      <c r="AM343">
        <f t="shared" si="53"/>
        <v>3</v>
      </c>
      <c r="AN343">
        <f t="shared" si="54"/>
        <v>11510</v>
      </c>
      <c r="AO343">
        <f t="shared" si="55"/>
        <v>0.84615384615384615</v>
      </c>
      <c r="AP343" t="str">
        <f t="shared" si="56"/>
        <v>30-39</v>
      </c>
      <c r="AQ343" t="str">
        <f t="shared" si="57"/>
        <v>Very High</v>
      </c>
      <c r="AR343" t="str">
        <f t="shared" si="58"/>
        <v>Medium</v>
      </c>
      <c r="AS343">
        <f t="shared" si="59"/>
        <v>0</v>
      </c>
    </row>
    <row r="344" spans="1:4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s="20">
        <v>7143</v>
      </c>
      <c r="T344">
        <v>25713</v>
      </c>
      <c r="U344">
        <v>1</v>
      </c>
      <c r="V344" t="s">
        <v>42</v>
      </c>
      <c r="W344" t="s">
        <v>35</v>
      </c>
      <c r="X344" s="19">
        <v>14</v>
      </c>
      <c r="Y344">
        <v>3</v>
      </c>
      <c r="Z344">
        <v>3</v>
      </c>
      <c r="AA344">
        <v>80</v>
      </c>
      <c r="AB344">
        <v>0</v>
      </c>
      <c r="AC344">
        <v>11</v>
      </c>
      <c r="AD344">
        <v>2</v>
      </c>
      <c r="AE344">
        <v>2</v>
      </c>
      <c r="AF344">
        <v>11</v>
      </c>
      <c r="AG344">
        <v>9</v>
      </c>
      <c r="AH344">
        <v>4</v>
      </c>
      <c r="AI344">
        <v>10</v>
      </c>
      <c r="AJ344">
        <f t="shared" si="50"/>
        <v>0</v>
      </c>
      <c r="AK344">
        <f t="shared" si="51"/>
        <v>1</v>
      </c>
      <c r="AL344">
        <f t="shared" si="52"/>
        <v>0</v>
      </c>
      <c r="AM344">
        <f t="shared" si="53"/>
        <v>3</v>
      </c>
      <c r="AN344">
        <f t="shared" si="54"/>
        <v>7143</v>
      </c>
      <c r="AO344">
        <f t="shared" si="55"/>
        <v>0.91666666666666663</v>
      </c>
      <c r="AP344" t="str">
        <f t="shared" si="56"/>
        <v>30-39</v>
      </c>
      <c r="AQ344" t="str">
        <f t="shared" si="57"/>
        <v>High</v>
      </c>
      <c r="AR344" t="str">
        <f t="shared" si="58"/>
        <v>Medium</v>
      </c>
      <c r="AS344">
        <f t="shared" si="59"/>
        <v>0</v>
      </c>
    </row>
    <row r="345" spans="1:4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s="20">
        <v>8268</v>
      </c>
      <c r="T345">
        <v>11866</v>
      </c>
      <c r="U345">
        <v>1</v>
      </c>
      <c r="V345" t="s">
        <v>42</v>
      </c>
      <c r="W345" t="s">
        <v>35</v>
      </c>
      <c r="X345" s="19">
        <v>14</v>
      </c>
      <c r="Y345">
        <v>3</v>
      </c>
      <c r="Z345">
        <v>1</v>
      </c>
      <c r="AA345">
        <v>80</v>
      </c>
      <c r="AB345">
        <v>2</v>
      </c>
      <c r="AC345">
        <v>7</v>
      </c>
      <c r="AD345">
        <v>2</v>
      </c>
      <c r="AE345">
        <v>3</v>
      </c>
      <c r="AF345">
        <v>7</v>
      </c>
      <c r="AG345">
        <v>7</v>
      </c>
      <c r="AH345">
        <v>1</v>
      </c>
      <c r="AI345">
        <v>7</v>
      </c>
      <c r="AJ345">
        <f t="shared" si="50"/>
        <v>0</v>
      </c>
      <c r="AK345">
        <f t="shared" si="51"/>
        <v>1</v>
      </c>
      <c r="AL345">
        <f t="shared" si="52"/>
        <v>0</v>
      </c>
      <c r="AM345">
        <f t="shared" si="53"/>
        <v>2.5</v>
      </c>
      <c r="AN345">
        <f t="shared" si="54"/>
        <v>12402</v>
      </c>
      <c r="AO345">
        <f t="shared" si="55"/>
        <v>0.875</v>
      </c>
      <c r="AP345" t="str">
        <f t="shared" si="56"/>
        <v>Under 30</v>
      </c>
      <c r="AQ345" t="str">
        <f t="shared" si="57"/>
        <v>High</v>
      </c>
      <c r="AR345" t="str">
        <f t="shared" si="58"/>
        <v>Medium</v>
      </c>
      <c r="AS345">
        <f t="shared" si="59"/>
        <v>0</v>
      </c>
    </row>
    <row r="346" spans="1:4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s="20">
        <v>8095</v>
      </c>
      <c r="T346">
        <v>18264</v>
      </c>
      <c r="U346">
        <v>0</v>
      </c>
      <c r="V346" t="s">
        <v>42</v>
      </c>
      <c r="W346" t="s">
        <v>43</v>
      </c>
      <c r="X346" s="19">
        <v>13</v>
      </c>
      <c r="Y346">
        <v>3</v>
      </c>
      <c r="Z346">
        <v>4</v>
      </c>
      <c r="AA346">
        <v>80</v>
      </c>
      <c r="AB346">
        <v>0</v>
      </c>
      <c r="AC346">
        <v>17</v>
      </c>
      <c r="AD346">
        <v>5</v>
      </c>
      <c r="AE346">
        <v>3</v>
      </c>
      <c r="AF346">
        <v>16</v>
      </c>
      <c r="AG346">
        <v>6</v>
      </c>
      <c r="AH346">
        <v>0</v>
      </c>
      <c r="AI346">
        <v>13</v>
      </c>
      <c r="AJ346">
        <f t="shared" si="50"/>
        <v>0</v>
      </c>
      <c r="AK346">
        <f t="shared" si="51"/>
        <v>0</v>
      </c>
      <c r="AL346">
        <f t="shared" si="52"/>
        <v>1</v>
      </c>
      <c r="AM346">
        <f t="shared" si="53"/>
        <v>3</v>
      </c>
      <c r="AN346">
        <f t="shared" si="54"/>
        <v>5714.1176470588234</v>
      </c>
      <c r="AO346">
        <f t="shared" si="55"/>
        <v>0.88888888888888884</v>
      </c>
      <c r="AP346" t="str">
        <f t="shared" si="56"/>
        <v>30-39</v>
      </c>
      <c r="AQ346" t="str">
        <f t="shared" si="57"/>
        <v>High</v>
      </c>
      <c r="AR346" t="str">
        <f t="shared" si="58"/>
        <v>Short</v>
      </c>
      <c r="AS346">
        <f t="shared" si="59"/>
        <v>0</v>
      </c>
    </row>
    <row r="347" spans="1:4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s="20">
        <v>2904</v>
      </c>
      <c r="T347">
        <v>16092</v>
      </c>
      <c r="U347">
        <v>1</v>
      </c>
      <c r="V347" t="s">
        <v>42</v>
      </c>
      <c r="W347" t="s">
        <v>43</v>
      </c>
      <c r="X347" s="19">
        <v>12</v>
      </c>
      <c r="Y347">
        <v>3</v>
      </c>
      <c r="Z347">
        <v>3</v>
      </c>
      <c r="AA347">
        <v>80</v>
      </c>
      <c r="AB347">
        <v>2</v>
      </c>
      <c r="AC347">
        <v>4</v>
      </c>
      <c r="AD347">
        <v>2</v>
      </c>
      <c r="AE347">
        <v>2</v>
      </c>
      <c r="AF347">
        <v>4</v>
      </c>
      <c r="AG347">
        <v>2</v>
      </c>
      <c r="AH347">
        <v>0</v>
      </c>
      <c r="AI347">
        <v>2</v>
      </c>
      <c r="AJ347">
        <f t="shared" si="50"/>
        <v>0</v>
      </c>
      <c r="AK347">
        <f t="shared" si="51"/>
        <v>0</v>
      </c>
      <c r="AL347">
        <f t="shared" si="52"/>
        <v>1</v>
      </c>
      <c r="AM347">
        <f t="shared" si="53"/>
        <v>3</v>
      </c>
      <c r="AN347">
        <f t="shared" si="54"/>
        <v>6969.6</v>
      </c>
      <c r="AO347">
        <f t="shared" si="55"/>
        <v>0.8</v>
      </c>
      <c r="AP347" t="str">
        <f t="shared" si="56"/>
        <v>Under 30</v>
      </c>
      <c r="AQ347" t="str">
        <f t="shared" si="57"/>
        <v>Low</v>
      </c>
      <c r="AR347" t="str">
        <f t="shared" si="58"/>
        <v>Long</v>
      </c>
      <c r="AS347">
        <f t="shared" si="59"/>
        <v>0</v>
      </c>
    </row>
    <row r="348" spans="1:4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s="20">
        <v>6032</v>
      </c>
      <c r="T348">
        <v>10110</v>
      </c>
      <c r="U348">
        <v>6</v>
      </c>
      <c r="V348" t="s">
        <v>42</v>
      </c>
      <c r="W348" t="s">
        <v>35</v>
      </c>
      <c r="X348" s="19">
        <v>15</v>
      </c>
      <c r="Y348">
        <v>3</v>
      </c>
      <c r="Z348">
        <v>4</v>
      </c>
      <c r="AA348">
        <v>80</v>
      </c>
      <c r="AB348">
        <v>0</v>
      </c>
      <c r="AC348">
        <v>8</v>
      </c>
      <c r="AD348">
        <v>3</v>
      </c>
      <c r="AE348">
        <v>3</v>
      </c>
      <c r="AF348">
        <v>5</v>
      </c>
      <c r="AG348">
        <v>4</v>
      </c>
      <c r="AH348">
        <v>1</v>
      </c>
      <c r="AI348">
        <v>2</v>
      </c>
      <c r="AJ348">
        <f t="shared" si="50"/>
        <v>0</v>
      </c>
      <c r="AK348">
        <f t="shared" si="51"/>
        <v>1</v>
      </c>
      <c r="AL348">
        <f t="shared" si="52"/>
        <v>1</v>
      </c>
      <c r="AM348">
        <f t="shared" si="53"/>
        <v>3.25</v>
      </c>
      <c r="AN348">
        <f t="shared" si="54"/>
        <v>12064</v>
      </c>
      <c r="AO348">
        <f t="shared" si="55"/>
        <v>0.55555555555555558</v>
      </c>
      <c r="AP348" t="str">
        <f t="shared" si="56"/>
        <v>40-49</v>
      </c>
      <c r="AQ348" t="str">
        <f t="shared" si="57"/>
        <v>High</v>
      </c>
      <c r="AR348" t="str">
        <f t="shared" si="58"/>
        <v>Medium</v>
      </c>
      <c r="AS348">
        <f t="shared" si="59"/>
        <v>0</v>
      </c>
    </row>
    <row r="349" spans="1:4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s="20">
        <v>2976</v>
      </c>
      <c r="T349">
        <v>25751</v>
      </c>
      <c r="U349">
        <v>3</v>
      </c>
      <c r="V349" t="s">
        <v>42</v>
      </c>
      <c r="W349" t="s">
        <v>43</v>
      </c>
      <c r="X349" s="19">
        <v>19</v>
      </c>
      <c r="Y349">
        <v>3</v>
      </c>
      <c r="Z349">
        <v>1</v>
      </c>
      <c r="AA349">
        <v>80</v>
      </c>
      <c r="AB349">
        <v>0</v>
      </c>
      <c r="AC349">
        <v>5</v>
      </c>
      <c r="AD349">
        <v>3</v>
      </c>
      <c r="AE349">
        <v>3</v>
      </c>
      <c r="AF349">
        <v>0</v>
      </c>
      <c r="AG349">
        <v>0</v>
      </c>
      <c r="AH349">
        <v>0</v>
      </c>
      <c r="AI349">
        <v>0</v>
      </c>
      <c r="AJ349">
        <f t="shared" si="50"/>
        <v>0</v>
      </c>
      <c r="AK349">
        <f t="shared" si="51"/>
        <v>0</v>
      </c>
      <c r="AL349">
        <f t="shared" si="52"/>
        <v>1</v>
      </c>
      <c r="AM349">
        <f t="shared" si="53"/>
        <v>2.25</v>
      </c>
      <c r="AN349">
        <f t="shared" si="54"/>
        <v>35712</v>
      </c>
      <c r="AO349">
        <f t="shared" si="55"/>
        <v>0</v>
      </c>
      <c r="AP349" t="str">
        <f t="shared" si="56"/>
        <v>40-49</v>
      </c>
      <c r="AQ349" t="str">
        <f t="shared" si="57"/>
        <v>Medium</v>
      </c>
      <c r="AR349" t="str">
        <f t="shared" si="58"/>
        <v>Short</v>
      </c>
      <c r="AS349">
        <f t="shared" si="59"/>
        <v>1</v>
      </c>
    </row>
    <row r="350" spans="1:4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s="20">
        <v>15992</v>
      </c>
      <c r="T350">
        <v>15901</v>
      </c>
      <c r="U350">
        <v>2</v>
      </c>
      <c r="V350" t="s">
        <v>42</v>
      </c>
      <c r="W350" t="s">
        <v>43</v>
      </c>
      <c r="X350" s="19">
        <v>14</v>
      </c>
      <c r="Y350">
        <v>3</v>
      </c>
      <c r="Z350">
        <v>2</v>
      </c>
      <c r="AA350">
        <v>80</v>
      </c>
      <c r="AB350">
        <v>0</v>
      </c>
      <c r="AC350">
        <v>16</v>
      </c>
      <c r="AD350">
        <v>2</v>
      </c>
      <c r="AE350">
        <v>3</v>
      </c>
      <c r="AF350">
        <v>1</v>
      </c>
      <c r="AG350">
        <v>0</v>
      </c>
      <c r="AH350">
        <v>0</v>
      </c>
      <c r="AI350">
        <v>0</v>
      </c>
      <c r="AJ350">
        <f t="shared" si="50"/>
        <v>0</v>
      </c>
      <c r="AK350">
        <f t="shared" si="51"/>
        <v>0</v>
      </c>
      <c r="AL350">
        <f t="shared" si="52"/>
        <v>0</v>
      </c>
      <c r="AM350">
        <f t="shared" si="53"/>
        <v>2.5</v>
      </c>
      <c r="AN350">
        <f t="shared" si="54"/>
        <v>95952</v>
      </c>
      <c r="AO350">
        <f t="shared" si="55"/>
        <v>5.8823529411764705E-2</v>
      </c>
      <c r="AP350" t="str">
        <f t="shared" si="56"/>
        <v>40-49</v>
      </c>
      <c r="AQ350" t="str">
        <f t="shared" si="57"/>
        <v>Very High</v>
      </c>
      <c r="AR350" t="str">
        <f t="shared" si="58"/>
        <v>Long</v>
      </c>
      <c r="AS350">
        <f t="shared" si="59"/>
        <v>0</v>
      </c>
    </row>
    <row r="351" spans="1:4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s="20">
        <v>4649</v>
      </c>
      <c r="T351">
        <v>16928</v>
      </c>
      <c r="U351">
        <v>1</v>
      </c>
      <c r="V351" t="s">
        <v>42</v>
      </c>
      <c r="W351" t="s">
        <v>43</v>
      </c>
      <c r="X351" s="19">
        <v>14</v>
      </c>
      <c r="Y351">
        <v>3</v>
      </c>
      <c r="Z351">
        <v>1</v>
      </c>
      <c r="AA351">
        <v>80</v>
      </c>
      <c r="AB351">
        <v>1</v>
      </c>
      <c r="AC351">
        <v>4</v>
      </c>
      <c r="AD351">
        <v>3</v>
      </c>
      <c r="AE351">
        <v>2</v>
      </c>
      <c r="AF351">
        <v>4</v>
      </c>
      <c r="AG351">
        <v>3</v>
      </c>
      <c r="AH351">
        <v>0</v>
      </c>
      <c r="AI351">
        <v>2</v>
      </c>
      <c r="AJ351">
        <f t="shared" si="50"/>
        <v>0</v>
      </c>
      <c r="AK351">
        <f t="shared" si="51"/>
        <v>0</v>
      </c>
      <c r="AL351">
        <f t="shared" si="52"/>
        <v>1</v>
      </c>
      <c r="AM351">
        <f t="shared" si="53"/>
        <v>2.5</v>
      </c>
      <c r="AN351">
        <f t="shared" si="54"/>
        <v>11157.6</v>
      </c>
      <c r="AO351">
        <f t="shared" si="55"/>
        <v>0.8</v>
      </c>
      <c r="AP351" t="str">
        <f t="shared" si="56"/>
        <v>Under 30</v>
      </c>
      <c r="AQ351" t="str">
        <f t="shared" si="57"/>
        <v>Medium</v>
      </c>
      <c r="AR351" t="str">
        <f t="shared" si="58"/>
        <v>Short</v>
      </c>
      <c r="AS351">
        <f t="shared" si="59"/>
        <v>0</v>
      </c>
    </row>
    <row r="352" spans="1:4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s="20">
        <v>2696</v>
      </c>
      <c r="T352">
        <v>24017</v>
      </c>
      <c r="U352">
        <v>0</v>
      </c>
      <c r="V352" t="s">
        <v>42</v>
      </c>
      <c r="W352" t="s">
        <v>35</v>
      </c>
      <c r="X352" s="19">
        <v>11</v>
      </c>
      <c r="Y352">
        <v>3</v>
      </c>
      <c r="Z352">
        <v>3</v>
      </c>
      <c r="AA352">
        <v>80</v>
      </c>
      <c r="AB352">
        <v>1</v>
      </c>
      <c r="AC352">
        <v>4</v>
      </c>
      <c r="AD352">
        <v>5</v>
      </c>
      <c r="AE352">
        <v>3</v>
      </c>
      <c r="AF352">
        <v>3</v>
      </c>
      <c r="AG352">
        <v>2</v>
      </c>
      <c r="AH352">
        <v>1</v>
      </c>
      <c r="AI352">
        <v>0</v>
      </c>
      <c r="AJ352">
        <f t="shared" si="50"/>
        <v>0</v>
      </c>
      <c r="AK352">
        <f t="shared" si="51"/>
        <v>1</v>
      </c>
      <c r="AL352">
        <f t="shared" si="52"/>
        <v>1</v>
      </c>
      <c r="AM352">
        <f t="shared" si="53"/>
        <v>3</v>
      </c>
      <c r="AN352">
        <f t="shared" si="54"/>
        <v>8088</v>
      </c>
      <c r="AO352">
        <f t="shared" si="55"/>
        <v>0.6</v>
      </c>
      <c r="AP352" t="str">
        <f t="shared" si="56"/>
        <v>40-49</v>
      </c>
      <c r="AQ352" t="str">
        <f t="shared" si="57"/>
        <v>Low</v>
      </c>
      <c r="AR352" t="str">
        <f t="shared" si="58"/>
        <v>Short</v>
      </c>
      <c r="AS352">
        <f t="shared" si="59"/>
        <v>0</v>
      </c>
    </row>
    <row r="353" spans="1:4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s="20">
        <v>2370</v>
      </c>
      <c r="T353">
        <v>3956</v>
      </c>
      <c r="U353">
        <v>1</v>
      </c>
      <c r="V353" t="s">
        <v>42</v>
      </c>
      <c r="W353" t="s">
        <v>43</v>
      </c>
      <c r="X353" s="19">
        <v>13</v>
      </c>
      <c r="Y353">
        <v>3</v>
      </c>
      <c r="Z353">
        <v>3</v>
      </c>
      <c r="AA353">
        <v>80</v>
      </c>
      <c r="AB353">
        <v>1</v>
      </c>
      <c r="AC353">
        <v>8</v>
      </c>
      <c r="AD353">
        <v>4</v>
      </c>
      <c r="AE353">
        <v>3</v>
      </c>
      <c r="AF353">
        <v>8</v>
      </c>
      <c r="AG353">
        <v>0</v>
      </c>
      <c r="AH353">
        <v>0</v>
      </c>
      <c r="AI353">
        <v>7</v>
      </c>
      <c r="AJ353">
        <f t="shared" si="50"/>
        <v>0</v>
      </c>
      <c r="AK353">
        <f t="shared" si="51"/>
        <v>0</v>
      </c>
      <c r="AL353">
        <f t="shared" si="52"/>
        <v>0</v>
      </c>
      <c r="AM353">
        <f t="shared" si="53"/>
        <v>2.75</v>
      </c>
      <c r="AN353">
        <f t="shared" si="54"/>
        <v>3160</v>
      </c>
      <c r="AO353">
        <f t="shared" si="55"/>
        <v>0.88888888888888884</v>
      </c>
      <c r="AP353" t="str">
        <f t="shared" si="56"/>
        <v>30-39</v>
      </c>
      <c r="AQ353" t="str">
        <f t="shared" si="57"/>
        <v>Low</v>
      </c>
      <c r="AR353" t="str">
        <f t="shared" si="58"/>
        <v>Short</v>
      </c>
      <c r="AS353">
        <f t="shared" si="59"/>
        <v>0</v>
      </c>
    </row>
    <row r="354" spans="1:4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s="20">
        <v>12504</v>
      </c>
      <c r="T354">
        <v>23978</v>
      </c>
      <c r="U354">
        <v>3</v>
      </c>
      <c r="V354" t="s">
        <v>42</v>
      </c>
      <c r="W354" t="s">
        <v>43</v>
      </c>
      <c r="X354" s="19">
        <v>21</v>
      </c>
      <c r="Y354">
        <v>4</v>
      </c>
      <c r="Z354">
        <v>2</v>
      </c>
      <c r="AA354">
        <v>80</v>
      </c>
      <c r="AB354">
        <v>1</v>
      </c>
      <c r="AC354">
        <v>15</v>
      </c>
      <c r="AD354">
        <v>3</v>
      </c>
      <c r="AE354">
        <v>1</v>
      </c>
      <c r="AF354">
        <v>0</v>
      </c>
      <c r="AG354">
        <v>0</v>
      </c>
      <c r="AH354">
        <v>0</v>
      </c>
      <c r="AI354">
        <v>0</v>
      </c>
      <c r="AJ354">
        <f t="shared" si="50"/>
        <v>0</v>
      </c>
      <c r="AK354">
        <f t="shared" si="51"/>
        <v>0</v>
      </c>
      <c r="AL354">
        <f t="shared" si="52"/>
        <v>0</v>
      </c>
      <c r="AM354">
        <f t="shared" si="53"/>
        <v>1.75</v>
      </c>
      <c r="AN354">
        <f t="shared" si="54"/>
        <v>150048</v>
      </c>
      <c r="AO354">
        <f t="shared" si="55"/>
        <v>0</v>
      </c>
      <c r="AP354" t="str">
        <f t="shared" si="56"/>
        <v>40-49</v>
      </c>
      <c r="AQ354" t="str">
        <f t="shared" si="57"/>
        <v>Very High</v>
      </c>
      <c r="AR354" t="str">
        <f t="shared" si="58"/>
        <v>Long</v>
      </c>
      <c r="AS354">
        <f t="shared" si="59"/>
        <v>0</v>
      </c>
    </row>
    <row r="355" spans="1:4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s="20">
        <v>5974</v>
      </c>
      <c r="T355">
        <v>17001</v>
      </c>
      <c r="U355">
        <v>4</v>
      </c>
      <c r="V355" t="s">
        <v>42</v>
      </c>
      <c r="W355" t="s">
        <v>35</v>
      </c>
      <c r="X355" s="19">
        <v>13</v>
      </c>
      <c r="Y355">
        <v>3</v>
      </c>
      <c r="Z355">
        <v>1</v>
      </c>
      <c r="AA355">
        <v>80</v>
      </c>
      <c r="AB355">
        <v>2</v>
      </c>
      <c r="AC355">
        <v>13</v>
      </c>
      <c r="AD355">
        <v>2</v>
      </c>
      <c r="AE355">
        <v>3</v>
      </c>
      <c r="AF355">
        <v>7</v>
      </c>
      <c r="AG355">
        <v>7</v>
      </c>
      <c r="AH355">
        <v>6</v>
      </c>
      <c r="AI355">
        <v>7</v>
      </c>
      <c r="AJ355">
        <f t="shared" si="50"/>
        <v>0</v>
      </c>
      <c r="AK355">
        <f t="shared" si="51"/>
        <v>1</v>
      </c>
      <c r="AL355">
        <f t="shared" si="52"/>
        <v>1</v>
      </c>
      <c r="AM355">
        <f t="shared" si="53"/>
        <v>2</v>
      </c>
      <c r="AN355">
        <f t="shared" si="54"/>
        <v>8961</v>
      </c>
      <c r="AO355">
        <f t="shared" si="55"/>
        <v>0.5</v>
      </c>
      <c r="AP355" t="str">
        <f t="shared" si="56"/>
        <v>30-39</v>
      </c>
      <c r="AQ355" t="str">
        <f t="shared" si="57"/>
        <v>High</v>
      </c>
      <c r="AR355" t="str">
        <f t="shared" si="58"/>
        <v>Medium</v>
      </c>
      <c r="AS355">
        <f t="shared" si="59"/>
        <v>0</v>
      </c>
    </row>
    <row r="356" spans="1:4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s="20">
        <v>4736</v>
      </c>
      <c r="T356">
        <v>6069</v>
      </c>
      <c r="U356">
        <v>7</v>
      </c>
      <c r="V356" t="s">
        <v>42</v>
      </c>
      <c r="W356" t="s">
        <v>35</v>
      </c>
      <c r="X356" s="19">
        <v>12</v>
      </c>
      <c r="Y356">
        <v>3</v>
      </c>
      <c r="Z356">
        <v>2</v>
      </c>
      <c r="AA356">
        <v>80</v>
      </c>
      <c r="AB356">
        <v>1</v>
      </c>
      <c r="AC356">
        <v>4</v>
      </c>
      <c r="AD356">
        <v>2</v>
      </c>
      <c r="AE356">
        <v>4</v>
      </c>
      <c r="AF356">
        <v>2</v>
      </c>
      <c r="AG356">
        <v>2</v>
      </c>
      <c r="AH356">
        <v>2</v>
      </c>
      <c r="AI356">
        <v>2</v>
      </c>
      <c r="AJ356">
        <f t="shared" si="50"/>
        <v>0</v>
      </c>
      <c r="AK356">
        <f t="shared" si="51"/>
        <v>1</v>
      </c>
      <c r="AL356">
        <f t="shared" si="52"/>
        <v>0</v>
      </c>
      <c r="AM356">
        <f t="shared" si="53"/>
        <v>3.25</v>
      </c>
      <c r="AN356">
        <f t="shared" si="54"/>
        <v>18944</v>
      </c>
      <c r="AO356">
        <f t="shared" si="55"/>
        <v>0.4</v>
      </c>
      <c r="AP356" t="str">
        <f t="shared" si="56"/>
        <v>30-39</v>
      </c>
      <c r="AQ356" t="str">
        <f t="shared" si="57"/>
        <v>Medium</v>
      </c>
      <c r="AR356" t="str">
        <f t="shared" si="58"/>
        <v>Long</v>
      </c>
      <c r="AS356">
        <f t="shared" si="59"/>
        <v>0</v>
      </c>
    </row>
    <row r="357" spans="1:4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s="20">
        <v>5296</v>
      </c>
      <c r="T357">
        <v>20156</v>
      </c>
      <c r="U357">
        <v>1</v>
      </c>
      <c r="V357" t="s">
        <v>42</v>
      </c>
      <c r="W357" t="s">
        <v>43</v>
      </c>
      <c r="X357" s="19">
        <v>17</v>
      </c>
      <c r="Y357">
        <v>3</v>
      </c>
      <c r="Z357">
        <v>2</v>
      </c>
      <c r="AA357">
        <v>80</v>
      </c>
      <c r="AB357">
        <v>1</v>
      </c>
      <c r="AC357">
        <v>8</v>
      </c>
      <c r="AD357">
        <v>3</v>
      </c>
      <c r="AE357">
        <v>3</v>
      </c>
      <c r="AF357">
        <v>8</v>
      </c>
      <c r="AG357">
        <v>7</v>
      </c>
      <c r="AH357">
        <v>7</v>
      </c>
      <c r="AI357">
        <v>7</v>
      </c>
      <c r="AJ357">
        <f t="shared" si="50"/>
        <v>0</v>
      </c>
      <c r="AK357">
        <f t="shared" si="51"/>
        <v>0</v>
      </c>
      <c r="AL357">
        <f t="shared" si="52"/>
        <v>1</v>
      </c>
      <c r="AM357">
        <f t="shared" si="53"/>
        <v>2.75</v>
      </c>
      <c r="AN357">
        <f t="shared" si="54"/>
        <v>7061.333333333333</v>
      </c>
      <c r="AO357">
        <f t="shared" si="55"/>
        <v>0.88888888888888884</v>
      </c>
      <c r="AP357" t="str">
        <f t="shared" si="56"/>
        <v>Under 30</v>
      </c>
      <c r="AQ357" t="str">
        <f t="shared" si="57"/>
        <v>High</v>
      </c>
      <c r="AR357" t="str">
        <f t="shared" si="58"/>
        <v>Short</v>
      </c>
      <c r="AS357">
        <f t="shared" si="59"/>
        <v>0</v>
      </c>
    </row>
    <row r="358" spans="1:4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s="20">
        <v>6781</v>
      </c>
      <c r="T358">
        <v>17078</v>
      </c>
      <c r="U358">
        <v>3</v>
      </c>
      <c r="V358" t="s">
        <v>42</v>
      </c>
      <c r="W358" t="s">
        <v>43</v>
      </c>
      <c r="X358" s="19">
        <v>23</v>
      </c>
      <c r="Y358">
        <v>4</v>
      </c>
      <c r="Z358">
        <v>2</v>
      </c>
      <c r="AA358">
        <v>80</v>
      </c>
      <c r="AB358">
        <v>0</v>
      </c>
      <c r="AC358">
        <v>14</v>
      </c>
      <c r="AD358">
        <v>6</v>
      </c>
      <c r="AE358">
        <v>3</v>
      </c>
      <c r="AF358">
        <v>1</v>
      </c>
      <c r="AG358">
        <v>0</v>
      </c>
      <c r="AH358">
        <v>0</v>
      </c>
      <c r="AI358">
        <v>0</v>
      </c>
      <c r="AJ358">
        <f t="shared" si="50"/>
        <v>0</v>
      </c>
      <c r="AK358">
        <f t="shared" si="51"/>
        <v>0</v>
      </c>
      <c r="AL358">
        <f t="shared" si="52"/>
        <v>1</v>
      </c>
      <c r="AM358">
        <f t="shared" si="53"/>
        <v>2.5</v>
      </c>
      <c r="AN358">
        <f t="shared" si="54"/>
        <v>40686</v>
      </c>
      <c r="AO358">
        <f t="shared" si="55"/>
        <v>6.6666666666666666E-2</v>
      </c>
      <c r="AP358" t="str">
        <f t="shared" si="56"/>
        <v>40-49</v>
      </c>
      <c r="AQ358" t="str">
        <f t="shared" si="57"/>
        <v>High</v>
      </c>
      <c r="AR358" t="str">
        <f t="shared" si="58"/>
        <v>Short</v>
      </c>
      <c r="AS358">
        <f t="shared" si="59"/>
        <v>0</v>
      </c>
    </row>
    <row r="359" spans="1:4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s="20">
        <v>2174</v>
      </c>
      <c r="T359">
        <v>9150</v>
      </c>
      <c r="U359">
        <v>1</v>
      </c>
      <c r="V359" t="s">
        <v>42</v>
      </c>
      <c r="W359" t="s">
        <v>35</v>
      </c>
      <c r="X359" s="19">
        <v>11</v>
      </c>
      <c r="Y359">
        <v>3</v>
      </c>
      <c r="Z359">
        <v>3</v>
      </c>
      <c r="AA359">
        <v>80</v>
      </c>
      <c r="AB359">
        <v>0</v>
      </c>
      <c r="AC359">
        <v>3</v>
      </c>
      <c r="AD359">
        <v>3</v>
      </c>
      <c r="AE359">
        <v>3</v>
      </c>
      <c r="AF359">
        <v>3</v>
      </c>
      <c r="AG359">
        <v>2</v>
      </c>
      <c r="AH359">
        <v>1</v>
      </c>
      <c r="AI359">
        <v>2</v>
      </c>
      <c r="AJ359">
        <f t="shared" si="50"/>
        <v>1</v>
      </c>
      <c r="AK359">
        <f t="shared" si="51"/>
        <v>1</v>
      </c>
      <c r="AL359">
        <f t="shared" si="52"/>
        <v>0</v>
      </c>
      <c r="AM359">
        <f t="shared" si="53"/>
        <v>2.25</v>
      </c>
      <c r="AN359">
        <f t="shared" si="54"/>
        <v>6522</v>
      </c>
      <c r="AO359">
        <f t="shared" si="55"/>
        <v>0.75</v>
      </c>
      <c r="AP359" t="str">
        <f t="shared" si="56"/>
        <v>Under 30</v>
      </c>
      <c r="AQ359" t="str">
        <f t="shared" si="57"/>
        <v>Low</v>
      </c>
      <c r="AR359" t="str">
        <f t="shared" si="58"/>
        <v>Short</v>
      </c>
      <c r="AS359">
        <f t="shared" si="59"/>
        <v>1</v>
      </c>
    </row>
    <row r="360" spans="1:4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s="20">
        <v>6653</v>
      </c>
      <c r="T360">
        <v>15276</v>
      </c>
      <c r="U360">
        <v>4</v>
      </c>
      <c r="V360" t="s">
        <v>42</v>
      </c>
      <c r="W360" t="s">
        <v>43</v>
      </c>
      <c r="X360" s="19">
        <v>15</v>
      </c>
      <c r="Y360">
        <v>3</v>
      </c>
      <c r="Z360">
        <v>2</v>
      </c>
      <c r="AA360">
        <v>80</v>
      </c>
      <c r="AB360">
        <v>0</v>
      </c>
      <c r="AC360">
        <v>7</v>
      </c>
      <c r="AD360">
        <v>6</v>
      </c>
      <c r="AE360">
        <v>3</v>
      </c>
      <c r="AF360">
        <v>1</v>
      </c>
      <c r="AG360">
        <v>0</v>
      </c>
      <c r="AH360">
        <v>0</v>
      </c>
      <c r="AI360">
        <v>0</v>
      </c>
      <c r="AJ360">
        <f t="shared" si="50"/>
        <v>0</v>
      </c>
      <c r="AK360">
        <f t="shared" si="51"/>
        <v>0</v>
      </c>
      <c r="AL360">
        <f t="shared" si="52"/>
        <v>0</v>
      </c>
      <c r="AM360">
        <f t="shared" si="53"/>
        <v>3.25</v>
      </c>
      <c r="AN360">
        <f t="shared" si="54"/>
        <v>39918</v>
      </c>
      <c r="AO360">
        <f t="shared" si="55"/>
        <v>0.125</v>
      </c>
      <c r="AP360" t="str">
        <f t="shared" si="56"/>
        <v>30-39</v>
      </c>
      <c r="AQ360" t="str">
        <f t="shared" si="57"/>
        <v>High</v>
      </c>
      <c r="AR360" t="str">
        <f t="shared" si="58"/>
        <v>Short</v>
      </c>
      <c r="AS360">
        <f t="shared" si="59"/>
        <v>0</v>
      </c>
    </row>
    <row r="361" spans="1:4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s="20">
        <v>9699</v>
      </c>
      <c r="T361">
        <v>7246</v>
      </c>
      <c r="U361">
        <v>4</v>
      </c>
      <c r="V361" t="s">
        <v>42</v>
      </c>
      <c r="W361" t="s">
        <v>43</v>
      </c>
      <c r="X361" s="19">
        <v>11</v>
      </c>
      <c r="Y361">
        <v>3</v>
      </c>
      <c r="Z361">
        <v>1</v>
      </c>
      <c r="AA361">
        <v>80</v>
      </c>
      <c r="AB361">
        <v>1</v>
      </c>
      <c r="AC361">
        <v>16</v>
      </c>
      <c r="AD361">
        <v>2</v>
      </c>
      <c r="AE361">
        <v>3</v>
      </c>
      <c r="AF361">
        <v>13</v>
      </c>
      <c r="AG361">
        <v>9</v>
      </c>
      <c r="AH361">
        <v>1</v>
      </c>
      <c r="AI361">
        <v>12</v>
      </c>
      <c r="AJ361">
        <f t="shared" si="50"/>
        <v>0</v>
      </c>
      <c r="AK361">
        <f t="shared" si="51"/>
        <v>0</v>
      </c>
      <c r="AL361">
        <f t="shared" si="52"/>
        <v>1</v>
      </c>
      <c r="AM361">
        <f t="shared" si="53"/>
        <v>2.25</v>
      </c>
      <c r="AN361">
        <f t="shared" si="54"/>
        <v>8313.4285714285706</v>
      </c>
      <c r="AO361">
        <f t="shared" si="55"/>
        <v>0.76470588235294112</v>
      </c>
      <c r="AP361" t="str">
        <f t="shared" si="56"/>
        <v>30-39</v>
      </c>
      <c r="AQ361" t="str">
        <f t="shared" si="57"/>
        <v>Very High</v>
      </c>
      <c r="AR361" t="str">
        <f t="shared" si="58"/>
        <v>Short</v>
      </c>
      <c r="AS361">
        <f t="shared" si="59"/>
        <v>1</v>
      </c>
    </row>
    <row r="362" spans="1:4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s="20">
        <v>6755</v>
      </c>
      <c r="T362">
        <v>2967</v>
      </c>
      <c r="U362">
        <v>2</v>
      </c>
      <c r="V362" t="s">
        <v>42</v>
      </c>
      <c r="W362" t="s">
        <v>43</v>
      </c>
      <c r="X362" s="19">
        <v>11</v>
      </c>
      <c r="Y362">
        <v>3</v>
      </c>
      <c r="Z362">
        <v>3</v>
      </c>
      <c r="AA362">
        <v>80</v>
      </c>
      <c r="AB362">
        <v>0</v>
      </c>
      <c r="AC362">
        <v>15</v>
      </c>
      <c r="AD362">
        <v>2</v>
      </c>
      <c r="AE362">
        <v>3</v>
      </c>
      <c r="AF362">
        <v>3</v>
      </c>
      <c r="AG362">
        <v>2</v>
      </c>
      <c r="AH362">
        <v>1</v>
      </c>
      <c r="AI362">
        <v>2</v>
      </c>
      <c r="AJ362">
        <f t="shared" si="50"/>
        <v>0</v>
      </c>
      <c r="AK362">
        <f t="shared" si="51"/>
        <v>0</v>
      </c>
      <c r="AL362">
        <f t="shared" si="52"/>
        <v>1</v>
      </c>
      <c r="AM362">
        <f t="shared" si="53"/>
        <v>3.25</v>
      </c>
      <c r="AN362">
        <f t="shared" si="54"/>
        <v>20265</v>
      </c>
      <c r="AO362">
        <f t="shared" si="55"/>
        <v>0.1875</v>
      </c>
      <c r="AP362" t="str">
        <f t="shared" si="56"/>
        <v>50+</v>
      </c>
      <c r="AQ362" t="str">
        <f t="shared" si="57"/>
        <v>High</v>
      </c>
      <c r="AR362" t="str">
        <f t="shared" si="58"/>
        <v>Short</v>
      </c>
      <c r="AS362">
        <f t="shared" si="59"/>
        <v>0</v>
      </c>
    </row>
    <row r="363" spans="1:4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s="20">
        <v>2213</v>
      </c>
      <c r="T363">
        <v>22495</v>
      </c>
      <c r="U363">
        <v>3</v>
      </c>
      <c r="V363" t="s">
        <v>42</v>
      </c>
      <c r="W363" t="s">
        <v>35</v>
      </c>
      <c r="X363" s="19">
        <v>13</v>
      </c>
      <c r="Y363">
        <v>3</v>
      </c>
      <c r="Z363">
        <v>3</v>
      </c>
      <c r="AA363">
        <v>80</v>
      </c>
      <c r="AB363">
        <v>1</v>
      </c>
      <c r="AC363">
        <v>10</v>
      </c>
      <c r="AD363">
        <v>3</v>
      </c>
      <c r="AE363">
        <v>3</v>
      </c>
      <c r="AF363">
        <v>7</v>
      </c>
      <c r="AG363">
        <v>7</v>
      </c>
      <c r="AH363">
        <v>1</v>
      </c>
      <c r="AI363">
        <v>7</v>
      </c>
      <c r="AJ363">
        <f t="shared" si="50"/>
        <v>0</v>
      </c>
      <c r="AK363">
        <f t="shared" si="51"/>
        <v>1</v>
      </c>
      <c r="AL363">
        <f t="shared" si="52"/>
        <v>0</v>
      </c>
      <c r="AM363">
        <f t="shared" si="53"/>
        <v>3.25</v>
      </c>
      <c r="AN363">
        <f t="shared" si="54"/>
        <v>3319.5</v>
      </c>
      <c r="AO363">
        <f t="shared" si="55"/>
        <v>0.63636363636363635</v>
      </c>
      <c r="AP363" t="str">
        <f t="shared" si="56"/>
        <v>40-49</v>
      </c>
      <c r="AQ363" t="str">
        <f t="shared" si="57"/>
        <v>Low</v>
      </c>
      <c r="AR363" t="str">
        <f t="shared" si="58"/>
        <v>Medium</v>
      </c>
      <c r="AS363">
        <f t="shared" si="59"/>
        <v>0</v>
      </c>
    </row>
    <row r="364" spans="1:4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s="20">
        <v>2610</v>
      </c>
      <c r="T364">
        <v>2851</v>
      </c>
      <c r="U364">
        <v>1</v>
      </c>
      <c r="V364" t="s">
        <v>42</v>
      </c>
      <c r="W364" t="s">
        <v>43</v>
      </c>
      <c r="X364" s="19">
        <v>24</v>
      </c>
      <c r="Y364">
        <v>4</v>
      </c>
      <c r="Z364">
        <v>3</v>
      </c>
      <c r="AA364">
        <v>80</v>
      </c>
      <c r="AB364">
        <v>0</v>
      </c>
      <c r="AC364">
        <v>3</v>
      </c>
      <c r="AD364">
        <v>3</v>
      </c>
      <c r="AE364">
        <v>2</v>
      </c>
      <c r="AF364">
        <v>3</v>
      </c>
      <c r="AG364">
        <v>2</v>
      </c>
      <c r="AH364">
        <v>2</v>
      </c>
      <c r="AI364">
        <v>2</v>
      </c>
      <c r="AJ364">
        <f t="shared" si="50"/>
        <v>0</v>
      </c>
      <c r="AK364">
        <f t="shared" si="51"/>
        <v>0</v>
      </c>
      <c r="AL364">
        <f t="shared" si="52"/>
        <v>1</v>
      </c>
      <c r="AM364">
        <f t="shared" si="53"/>
        <v>2.5</v>
      </c>
      <c r="AN364">
        <f t="shared" si="54"/>
        <v>7830</v>
      </c>
      <c r="AO364">
        <f t="shared" si="55"/>
        <v>0.75</v>
      </c>
      <c r="AP364" t="str">
        <f t="shared" si="56"/>
        <v>Under 30</v>
      </c>
      <c r="AQ364" t="str">
        <f t="shared" si="57"/>
        <v>Low</v>
      </c>
      <c r="AR364" t="str">
        <f t="shared" si="58"/>
        <v>Medium</v>
      </c>
      <c r="AS364">
        <f t="shared" si="59"/>
        <v>0</v>
      </c>
    </row>
    <row r="365" spans="1:4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s="20">
        <v>2851</v>
      </c>
      <c r="T365">
        <v>9150</v>
      </c>
      <c r="U365">
        <v>1</v>
      </c>
      <c r="V365" t="s">
        <v>42</v>
      </c>
      <c r="W365" t="s">
        <v>35</v>
      </c>
      <c r="X365" s="19">
        <v>13</v>
      </c>
      <c r="Y365">
        <v>3</v>
      </c>
      <c r="Z365">
        <v>2</v>
      </c>
      <c r="AA365">
        <v>80</v>
      </c>
      <c r="AB365">
        <v>0</v>
      </c>
      <c r="AC365">
        <v>1</v>
      </c>
      <c r="AD365">
        <v>2</v>
      </c>
      <c r="AE365">
        <v>3</v>
      </c>
      <c r="AF365">
        <v>1</v>
      </c>
      <c r="AG365">
        <v>0</v>
      </c>
      <c r="AH365">
        <v>0</v>
      </c>
      <c r="AI365">
        <v>0</v>
      </c>
      <c r="AJ365">
        <f t="shared" si="50"/>
        <v>1</v>
      </c>
      <c r="AK365">
        <f t="shared" si="51"/>
        <v>1</v>
      </c>
      <c r="AL365">
        <f t="shared" si="52"/>
        <v>0</v>
      </c>
      <c r="AM365">
        <f t="shared" si="53"/>
        <v>3</v>
      </c>
      <c r="AN365">
        <f t="shared" si="54"/>
        <v>17106</v>
      </c>
      <c r="AO365">
        <f t="shared" si="55"/>
        <v>0.5</v>
      </c>
      <c r="AP365" t="str">
        <f t="shared" si="56"/>
        <v>30-39</v>
      </c>
      <c r="AQ365" t="str">
        <f t="shared" si="57"/>
        <v>Low</v>
      </c>
      <c r="AR365" t="str">
        <f t="shared" si="58"/>
        <v>Short</v>
      </c>
      <c r="AS365">
        <f t="shared" si="59"/>
        <v>0</v>
      </c>
    </row>
    <row r="366" spans="1:4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s="20">
        <v>3452</v>
      </c>
      <c r="T366">
        <v>17663</v>
      </c>
      <c r="U366">
        <v>6</v>
      </c>
      <c r="V366" t="s">
        <v>42</v>
      </c>
      <c r="W366" t="s">
        <v>43</v>
      </c>
      <c r="X366" s="19">
        <v>20</v>
      </c>
      <c r="Y366">
        <v>4</v>
      </c>
      <c r="Z366">
        <v>2</v>
      </c>
      <c r="AA366">
        <v>80</v>
      </c>
      <c r="AB366">
        <v>1</v>
      </c>
      <c r="AC366">
        <v>17</v>
      </c>
      <c r="AD366">
        <v>3</v>
      </c>
      <c r="AE366">
        <v>3</v>
      </c>
      <c r="AF366">
        <v>5</v>
      </c>
      <c r="AG366">
        <v>4</v>
      </c>
      <c r="AH366">
        <v>0</v>
      </c>
      <c r="AI366">
        <v>3</v>
      </c>
      <c r="AJ366">
        <f t="shared" si="50"/>
        <v>0</v>
      </c>
      <c r="AK366">
        <f t="shared" si="51"/>
        <v>0</v>
      </c>
      <c r="AL366">
        <f t="shared" si="52"/>
        <v>0</v>
      </c>
      <c r="AM366">
        <f t="shared" si="53"/>
        <v>2.25</v>
      </c>
      <c r="AN366">
        <f t="shared" si="54"/>
        <v>6904</v>
      </c>
      <c r="AO366">
        <f t="shared" si="55"/>
        <v>0.27777777777777779</v>
      </c>
      <c r="AP366" t="str">
        <f t="shared" si="56"/>
        <v>30-39</v>
      </c>
      <c r="AQ366" t="str">
        <f t="shared" si="57"/>
        <v>Medium</v>
      </c>
      <c r="AR366" t="str">
        <f t="shared" si="58"/>
        <v>Medium</v>
      </c>
      <c r="AS366">
        <f t="shared" si="59"/>
        <v>0</v>
      </c>
    </row>
    <row r="367" spans="1:4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s="20">
        <v>5258</v>
      </c>
      <c r="T367">
        <v>16044</v>
      </c>
      <c r="U367">
        <v>2</v>
      </c>
      <c r="V367" t="s">
        <v>42</v>
      </c>
      <c r="W367" t="s">
        <v>43</v>
      </c>
      <c r="X367" s="19">
        <v>14</v>
      </c>
      <c r="Y367">
        <v>3</v>
      </c>
      <c r="Z367">
        <v>3</v>
      </c>
      <c r="AA367">
        <v>80</v>
      </c>
      <c r="AB367">
        <v>0</v>
      </c>
      <c r="AC367">
        <v>7</v>
      </c>
      <c r="AD367">
        <v>2</v>
      </c>
      <c r="AE367">
        <v>4</v>
      </c>
      <c r="AF367">
        <v>1</v>
      </c>
      <c r="AG367">
        <v>0</v>
      </c>
      <c r="AH367">
        <v>0</v>
      </c>
      <c r="AI367">
        <v>0</v>
      </c>
      <c r="AJ367">
        <f t="shared" si="50"/>
        <v>0</v>
      </c>
      <c r="AK367">
        <f t="shared" si="51"/>
        <v>0</v>
      </c>
      <c r="AL367">
        <f t="shared" si="52"/>
        <v>0</v>
      </c>
      <c r="AM367">
        <f t="shared" si="53"/>
        <v>3.25</v>
      </c>
      <c r="AN367">
        <f t="shared" si="54"/>
        <v>31548</v>
      </c>
      <c r="AO367">
        <f t="shared" si="55"/>
        <v>0.125</v>
      </c>
      <c r="AP367" t="str">
        <f t="shared" si="56"/>
        <v>40-49</v>
      </c>
      <c r="AQ367" t="str">
        <f t="shared" si="57"/>
        <v>High</v>
      </c>
      <c r="AR367" t="str">
        <f t="shared" si="58"/>
        <v>Medium</v>
      </c>
      <c r="AS367">
        <f t="shared" si="59"/>
        <v>0</v>
      </c>
    </row>
    <row r="368" spans="1:4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s="20">
        <v>9355</v>
      </c>
      <c r="T368">
        <v>9558</v>
      </c>
      <c r="U368">
        <v>1</v>
      </c>
      <c r="V368" t="s">
        <v>42</v>
      </c>
      <c r="W368" t="s">
        <v>43</v>
      </c>
      <c r="X368" s="19">
        <v>18</v>
      </c>
      <c r="Y368">
        <v>3</v>
      </c>
      <c r="Z368">
        <v>3</v>
      </c>
      <c r="AA368">
        <v>80</v>
      </c>
      <c r="AB368">
        <v>0</v>
      </c>
      <c r="AC368">
        <v>8</v>
      </c>
      <c r="AD368">
        <v>5</v>
      </c>
      <c r="AE368">
        <v>3</v>
      </c>
      <c r="AF368">
        <v>8</v>
      </c>
      <c r="AG368">
        <v>7</v>
      </c>
      <c r="AH368">
        <v>7</v>
      </c>
      <c r="AI368">
        <v>7</v>
      </c>
      <c r="AJ368">
        <f t="shared" si="50"/>
        <v>1</v>
      </c>
      <c r="AK368">
        <f t="shared" si="51"/>
        <v>0</v>
      </c>
      <c r="AL368">
        <f t="shared" si="52"/>
        <v>1</v>
      </c>
      <c r="AM368">
        <f t="shared" si="53"/>
        <v>2.25</v>
      </c>
      <c r="AN368">
        <f t="shared" si="54"/>
        <v>12473.333333333334</v>
      </c>
      <c r="AO368">
        <f t="shared" si="55"/>
        <v>0.88888888888888884</v>
      </c>
      <c r="AP368" t="str">
        <f t="shared" si="56"/>
        <v>40-49</v>
      </c>
      <c r="AQ368" t="str">
        <f t="shared" si="57"/>
        <v>Very High</v>
      </c>
      <c r="AR368" t="str">
        <f t="shared" si="58"/>
        <v>Short</v>
      </c>
      <c r="AS368">
        <f t="shared" si="59"/>
        <v>1</v>
      </c>
    </row>
    <row r="369" spans="1:4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s="20">
        <v>10496</v>
      </c>
      <c r="T369">
        <v>2755</v>
      </c>
      <c r="U369">
        <v>6</v>
      </c>
      <c r="V369" t="s">
        <v>42</v>
      </c>
      <c r="W369" t="s">
        <v>43</v>
      </c>
      <c r="X369" s="19">
        <v>15</v>
      </c>
      <c r="Y369">
        <v>3</v>
      </c>
      <c r="Z369">
        <v>4</v>
      </c>
      <c r="AA369">
        <v>80</v>
      </c>
      <c r="AB369">
        <v>0</v>
      </c>
      <c r="AC369">
        <v>20</v>
      </c>
      <c r="AD369">
        <v>2</v>
      </c>
      <c r="AE369">
        <v>3</v>
      </c>
      <c r="AF369">
        <v>4</v>
      </c>
      <c r="AG369">
        <v>3</v>
      </c>
      <c r="AH369">
        <v>1</v>
      </c>
      <c r="AI369">
        <v>3</v>
      </c>
      <c r="AJ369">
        <f t="shared" si="50"/>
        <v>0</v>
      </c>
      <c r="AK369">
        <f t="shared" si="51"/>
        <v>0</v>
      </c>
      <c r="AL369">
        <f t="shared" si="52"/>
        <v>1</v>
      </c>
      <c r="AM369">
        <f t="shared" si="53"/>
        <v>3.75</v>
      </c>
      <c r="AN369">
        <f t="shared" si="54"/>
        <v>25190.400000000001</v>
      </c>
      <c r="AO369">
        <f t="shared" si="55"/>
        <v>0.19047619047619047</v>
      </c>
      <c r="AP369" t="str">
        <f t="shared" si="56"/>
        <v>50+</v>
      </c>
      <c r="AQ369" t="str">
        <f t="shared" si="57"/>
        <v>Very High</v>
      </c>
      <c r="AR369" t="str">
        <f t="shared" si="58"/>
        <v>Medium</v>
      </c>
      <c r="AS369">
        <f t="shared" si="59"/>
        <v>0</v>
      </c>
    </row>
    <row r="370" spans="1:4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s="20">
        <v>6380</v>
      </c>
      <c r="T370">
        <v>6110</v>
      </c>
      <c r="U370">
        <v>2</v>
      </c>
      <c r="V370" t="s">
        <v>42</v>
      </c>
      <c r="W370" t="s">
        <v>35</v>
      </c>
      <c r="X370" s="19">
        <v>12</v>
      </c>
      <c r="Y370">
        <v>3</v>
      </c>
      <c r="Z370">
        <v>1</v>
      </c>
      <c r="AA370">
        <v>80</v>
      </c>
      <c r="AB370">
        <v>2</v>
      </c>
      <c r="AC370">
        <v>8</v>
      </c>
      <c r="AD370">
        <v>6</v>
      </c>
      <c r="AE370">
        <v>3</v>
      </c>
      <c r="AF370">
        <v>6</v>
      </c>
      <c r="AG370">
        <v>4</v>
      </c>
      <c r="AH370">
        <v>1</v>
      </c>
      <c r="AI370">
        <v>0</v>
      </c>
      <c r="AJ370">
        <f t="shared" si="50"/>
        <v>1</v>
      </c>
      <c r="AK370">
        <f t="shared" si="51"/>
        <v>1</v>
      </c>
      <c r="AL370">
        <f t="shared" si="52"/>
        <v>1</v>
      </c>
      <c r="AM370">
        <f t="shared" si="53"/>
        <v>2.5</v>
      </c>
      <c r="AN370">
        <f t="shared" si="54"/>
        <v>10937.142857142857</v>
      </c>
      <c r="AO370">
        <f t="shared" si="55"/>
        <v>0.66666666666666663</v>
      </c>
      <c r="AP370" t="str">
        <f t="shared" si="56"/>
        <v>40-49</v>
      </c>
      <c r="AQ370" t="str">
        <f t="shared" si="57"/>
        <v>High</v>
      </c>
      <c r="AR370" t="str">
        <f t="shared" si="58"/>
        <v>Long</v>
      </c>
      <c r="AS370">
        <f t="shared" si="59"/>
        <v>0</v>
      </c>
    </row>
    <row r="371" spans="1:4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s="20">
        <v>2657</v>
      </c>
      <c r="T371">
        <v>7551</v>
      </c>
      <c r="U371">
        <v>0</v>
      </c>
      <c r="V371" t="s">
        <v>42</v>
      </c>
      <c r="W371" t="s">
        <v>35</v>
      </c>
      <c r="X371" s="19">
        <v>16</v>
      </c>
      <c r="Y371">
        <v>3</v>
      </c>
      <c r="Z371">
        <v>4</v>
      </c>
      <c r="AA371">
        <v>80</v>
      </c>
      <c r="AB371">
        <v>0</v>
      </c>
      <c r="AC371">
        <v>3</v>
      </c>
      <c r="AD371">
        <v>5</v>
      </c>
      <c r="AE371">
        <v>3</v>
      </c>
      <c r="AF371">
        <v>2</v>
      </c>
      <c r="AG371">
        <v>2</v>
      </c>
      <c r="AH371">
        <v>2</v>
      </c>
      <c r="AI371">
        <v>2</v>
      </c>
      <c r="AJ371">
        <f t="shared" si="50"/>
        <v>0</v>
      </c>
      <c r="AK371">
        <f t="shared" si="51"/>
        <v>1</v>
      </c>
      <c r="AL371">
        <f t="shared" si="52"/>
        <v>1</v>
      </c>
      <c r="AM371">
        <f t="shared" si="53"/>
        <v>3</v>
      </c>
      <c r="AN371">
        <f t="shared" si="54"/>
        <v>10628</v>
      </c>
      <c r="AO371">
        <f t="shared" si="55"/>
        <v>0.5</v>
      </c>
      <c r="AP371" t="str">
        <f t="shared" si="56"/>
        <v>30-39</v>
      </c>
      <c r="AQ371" t="str">
        <f t="shared" si="57"/>
        <v>Low</v>
      </c>
      <c r="AR371" t="str">
        <f t="shared" si="58"/>
        <v>Medium</v>
      </c>
      <c r="AS371">
        <f t="shared" si="59"/>
        <v>0</v>
      </c>
    </row>
    <row r="372" spans="1:4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s="20">
        <v>2716</v>
      </c>
      <c r="T372">
        <v>25422</v>
      </c>
      <c r="U372">
        <v>1</v>
      </c>
      <c r="V372" t="s">
        <v>42</v>
      </c>
      <c r="W372" t="s">
        <v>43</v>
      </c>
      <c r="X372" s="19">
        <v>15</v>
      </c>
      <c r="Y372">
        <v>3</v>
      </c>
      <c r="Z372">
        <v>4</v>
      </c>
      <c r="AA372">
        <v>80</v>
      </c>
      <c r="AB372">
        <v>0</v>
      </c>
      <c r="AC372">
        <v>1</v>
      </c>
      <c r="AD372">
        <v>0</v>
      </c>
      <c r="AE372">
        <v>3</v>
      </c>
      <c r="AF372">
        <v>1</v>
      </c>
      <c r="AG372">
        <v>0</v>
      </c>
      <c r="AH372">
        <v>0</v>
      </c>
      <c r="AI372">
        <v>0</v>
      </c>
      <c r="AJ372">
        <f t="shared" si="50"/>
        <v>1</v>
      </c>
      <c r="AK372">
        <f t="shared" si="51"/>
        <v>0</v>
      </c>
      <c r="AL372">
        <f t="shared" si="52"/>
        <v>0</v>
      </c>
      <c r="AM372">
        <f t="shared" si="53"/>
        <v>3</v>
      </c>
      <c r="AN372">
        <f t="shared" si="54"/>
        <v>16296</v>
      </c>
      <c r="AO372">
        <f t="shared" si="55"/>
        <v>0.5</v>
      </c>
      <c r="AP372" t="str">
        <f t="shared" si="56"/>
        <v>Under 30</v>
      </c>
      <c r="AQ372" t="str">
        <f t="shared" si="57"/>
        <v>Low</v>
      </c>
      <c r="AR372" t="str">
        <f t="shared" si="58"/>
        <v>Medium</v>
      </c>
      <c r="AS372">
        <f t="shared" si="59"/>
        <v>0</v>
      </c>
    </row>
    <row r="373" spans="1:4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s="20">
        <v>2201</v>
      </c>
      <c r="T373">
        <v>18168</v>
      </c>
      <c r="U373">
        <v>9</v>
      </c>
      <c r="V373" t="s">
        <v>42</v>
      </c>
      <c r="W373" t="s">
        <v>43</v>
      </c>
      <c r="X373" s="19">
        <v>16</v>
      </c>
      <c r="Y373">
        <v>3</v>
      </c>
      <c r="Z373">
        <v>4</v>
      </c>
      <c r="AA373">
        <v>80</v>
      </c>
      <c r="AB373">
        <v>0</v>
      </c>
      <c r="AC373">
        <v>6</v>
      </c>
      <c r="AD373">
        <v>4</v>
      </c>
      <c r="AE373">
        <v>3</v>
      </c>
      <c r="AF373">
        <v>3</v>
      </c>
      <c r="AG373">
        <v>2</v>
      </c>
      <c r="AH373">
        <v>1</v>
      </c>
      <c r="AI373">
        <v>2</v>
      </c>
      <c r="AJ373">
        <f t="shared" si="50"/>
        <v>0</v>
      </c>
      <c r="AK373">
        <f t="shared" si="51"/>
        <v>0</v>
      </c>
      <c r="AL373">
        <f t="shared" si="52"/>
        <v>1</v>
      </c>
      <c r="AM373">
        <f t="shared" si="53"/>
        <v>3.75</v>
      </c>
      <c r="AN373">
        <f t="shared" si="54"/>
        <v>6603</v>
      </c>
      <c r="AO373">
        <f t="shared" si="55"/>
        <v>0.42857142857142855</v>
      </c>
      <c r="AP373" t="str">
        <f t="shared" si="56"/>
        <v>Under 30</v>
      </c>
      <c r="AQ373" t="str">
        <f t="shared" si="57"/>
        <v>Low</v>
      </c>
      <c r="AR373" t="str">
        <f t="shared" si="58"/>
        <v>Long</v>
      </c>
      <c r="AS373">
        <f t="shared" si="59"/>
        <v>0</v>
      </c>
    </row>
    <row r="374" spans="1:4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s="20">
        <v>6540</v>
      </c>
      <c r="T374">
        <v>19394</v>
      </c>
      <c r="U374">
        <v>9</v>
      </c>
      <c r="V374" t="s">
        <v>42</v>
      </c>
      <c r="W374" t="s">
        <v>43</v>
      </c>
      <c r="X374" s="19">
        <v>19</v>
      </c>
      <c r="Y374">
        <v>3</v>
      </c>
      <c r="Z374">
        <v>3</v>
      </c>
      <c r="AA374">
        <v>80</v>
      </c>
      <c r="AB374">
        <v>0</v>
      </c>
      <c r="AC374">
        <v>10</v>
      </c>
      <c r="AD374">
        <v>5</v>
      </c>
      <c r="AE374">
        <v>3</v>
      </c>
      <c r="AF374">
        <v>1</v>
      </c>
      <c r="AG374">
        <v>1</v>
      </c>
      <c r="AH374">
        <v>0</v>
      </c>
      <c r="AI374">
        <v>0</v>
      </c>
      <c r="AJ374">
        <f t="shared" si="50"/>
        <v>0</v>
      </c>
      <c r="AK374">
        <f t="shared" si="51"/>
        <v>0</v>
      </c>
      <c r="AL374">
        <f t="shared" si="52"/>
        <v>1</v>
      </c>
      <c r="AM374">
        <f t="shared" si="53"/>
        <v>2.75</v>
      </c>
      <c r="AN374">
        <f t="shared" si="54"/>
        <v>39240</v>
      </c>
      <c r="AO374">
        <f t="shared" si="55"/>
        <v>9.0909090909090912E-2</v>
      </c>
      <c r="AP374" t="str">
        <f t="shared" si="56"/>
        <v>30-39</v>
      </c>
      <c r="AQ374" t="str">
        <f t="shared" si="57"/>
        <v>High</v>
      </c>
      <c r="AR374" t="str">
        <f t="shared" si="58"/>
        <v>Medium</v>
      </c>
      <c r="AS374">
        <f t="shared" si="59"/>
        <v>0</v>
      </c>
    </row>
    <row r="375" spans="1:4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s="20">
        <v>3816</v>
      </c>
      <c r="T375">
        <v>17881</v>
      </c>
      <c r="U375">
        <v>1</v>
      </c>
      <c r="V375" t="s">
        <v>42</v>
      </c>
      <c r="W375" t="s">
        <v>43</v>
      </c>
      <c r="X375" s="19">
        <v>11</v>
      </c>
      <c r="Y375">
        <v>3</v>
      </c>
      <c r="Z375">
        <v>2</v>
      </c>
      <c r="AA375">
        <v>80</v>
      </c>
      <c r="AB375">
        <v>1</v>
      </c>
      <c r="AC375">
        <v>5</v>
      </c>
      <c r="AD375">
        <v>2</v>
      </c>
      <c r="AE375">
        <v>3</v>
      </c>
      <c r="AF375">
        <v>5</v>
      </c>
      <c r="AG375">
        <v>2</v>
      </c>
      <c r="AH375">
        <v>0</v>
      </c>
      <c r="AI375">
        <v>4</v>
      </c>
      <c r="AJ375">
        <f t="shared" si="50"/>
        <v>0</v>
      </c>
      <c r="AK375">
        <f t="shared" si="51"/>
        <v>0</v>
      </c>
      <c r="AL375">
        <f t="shared" si="52"/>
        <v>1</v>
      </c>
      <c r="AM375">
        <f t="shared" si="53"/>
        <v>2.75</v>
      </c>
      <c r="AN375">
        <f t="shared" si="54"/>
        <v>7632</v>
      </c>
      <c r="AO375">
        <f t="shared" si="55"/>
        <v>0.83333333333333337</v>
      </c>
      <c r="AP375" t="str">
        <f t="shared" si="56"/>
        <v>Under 30</v>
      </c>
      <c r="AQ375" t="str">
        <f t="shared" si="57"/>
        <v>Medium</v>
      </c>
      <c r="AR375" t="str">
        <f t="shared" si="58"/>
        <v>Short</v>
      </c>
      <c r="AS375">
        <f t="shared" si="59"/>
        <v>0</v>
      </c>
    </row>
    <row r="376" spans="1:4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s="20">
        <v>5253</v>
      </c>
      <c r="T376">
        <v>20750</v>
      </c>
      <c r="U376">
        <v>1</v>
      </c>
      <c r="V376" t="s">
        <v>42</v>
      </c>
      <c r="W376" t="s">
        <v>43</v>
      </c>
      <c r="X376" s="19">
        <v>16</v>
      </c>
      <c r="Y376">
        <v>3</v>
      </c>
      <c r="Z376">
        <v>4</v>
      </c>
      <c r="AA376">
        <v>80</v>
      </c>
      <c r="AB376">
        <v>0</v>
      </c>
      <c r="AC376">
        <v>7</v>
      </c>
      <c r="AD376">
        <v>1</v>
      </c>
      <c r="AE376">
        <v>3</v>
      </c>
      <c r="AF376">
        <v>7</v>
      </c>
      <c r="AG376">
        <v>5</v>
      </c>
      <c r="AH376">
        <v>0</v>
      </c>
      <c r="AI376">
        <v>7</v>
      </c>
      <c r="AJ376">
        <f t="shared" si="50"/>
        <v>0</v>
      </c>
      <c r="AK376">
        <f t="shared" si="51"/>
        <v>0</v>
      </c>
      <c r="AL376">
        <f t="shared" si="52"/>
        <v>1</v>
      </c>
      <c r="AM376">
        <f t="shared" si="53"/>
        <v>3.25</v>
      </c>
      <c r="AN376">
        <f t="shared" si="54"/>
        <v>7879.5</v>
      </c>
      <c r="AO376">
        <f t="shared" si="55"/>
        <v>0.875</v>
      </c>
      <c r="AP376" t="str">
        <f t="shared" si="56"/>
        <v>Under 30</v>
      </c>
      <c r="AQ376" t="str">
        <f t="shared" si="57"/>
        <v>High</v>
      </c>
      <c r="AR376" t="str">
        <f t="shared" si="58"/>
        <v>Medium</v>
      </c>
      <c r="AS376">
        <f t="shared" si="59"/>
        <v>0</v>
      </c>
    </row>
    <row r="377" spans="1:4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s="20">
        <v>10965</v>
      </c>
      <c r="T377">
        <v>12066</v>
      </c>
      <c r="U377">
        <v>8</v>
      </c>
      <c r="V377" t="s">
        <v>42</v>
      </c>
      <c r="W377" t="s">
        <v>43</v>
      </c>
      <c r="X377" s="19">
        <v>24</v>
      </c>
      <c r="Y377">
        <v>4</v>
      </c>
      <c r="Z377">
        <v>3</v>
      </c>
      <c r="AA377">
        <v>80</v>
      </c>
      <c r="AB377">
        <v>0</v>
      </c>
      <c r="AC377">
        <v>26</v>
      </c>
      <c r="AD377">
        <v>2</v>
      </c>
      <c r="AE377">
        <v>3</v>
      </c>
      <c r="AF377">
        <v>5</v>
      </c>
      <c r="AG377">
        <v>2</v>
      </c>
      <c r="AH377">
        <v>0</v>
      </c>
      <c r="AI377">
        <v>0</v>
      </c>
      <c r="AJ377">
        <f t="shared" si="50"/>
        <v>0</v>
      </c>
      <c r="AK377">
        <f t="shared" si="51"/>
        <v>0</v>
      </c>
      <c r="AL377">
        <f t="shared" si="52"/>
        <v>1</v>
      </c>
      <c r="AM377">
        <f t="shared" si="53"/>
        <v>2.75</v>
      </c>
      <c r="AN377">
        <f t="shared" si="54"/>
        <v>21930</v>
      </c>
      <c r="AO377">
        <f t="shared" si="55"/>
        <v>0.18518518518518517</v>
      </c>
      <c r="AP377" t="str">
        <f t="shared" si="56"/>
        <v>40-49</v>
      </c>
      <c r="AQ377" t="str">
        <f t="shared" si="57"/>
        <v>Very High</v>
      </c>
      <c r="AR377" t="str">
        <f t="shared" si="58"/>
        <v>Medium</v>
      </c>
      <c r="AS377">
        <f t="shared" si="59"/>
        <v>0</v>
      </c>
    </row>
    <row r="378" spans="1:4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s="20">
        <v>4936</v>
      </c>
      <c r="T378">
        <v>14862</v>
      </c>
      <c r="U378">
        <v>4</v>
      </c>
      <c r="V378" t="s">
        <v>42</v>
      </c>
      <c r="W378" t="s">
        <v>43</v>
      </c>
      <c r="X378" s="19">
        <v>11</v>
      </c>
      <c r="Y378">
        <v>3</v>
      </c>
      <c r="Z378">
        <v>3</v>
      </c>
      <c r="AA378">
        <v>80</v>
      </c>
      <c r="AB378">
        <v>1</v>
      </c>
      <c r="AC378">
        <v>18</v>
      </c>
      <c r="AD378">
        <v>2</v>
      </c>
      <c r="AE378">
        <v>2</v>
      </c>
      <c r="AF378">
        <v>7</v>
      </c>
      <c r="AG378">
        <v>7</v>
      </c>
      <c r="AH378">
        <v>0</v>
      </c>
      <c r="AI378">
        <v>7</v>
      </c>
      <c r="AJ378">
        <f t="shared" si="50"/>
        <v>0</v>
      </c>
      <c r="AK378">
        <f t="shared" si="51"/>
        <v>0</v>
      </c>
      <c r="AL378">
        <f t="shared" si="52"/>
        <v>0</v>
      </c>
      <c r="AM378">
        <f t="shared" si="53"/>
        <v>3</v>
      </c>
      <c r="AN378">
        <f t="shared" si="54"/>
        <v>7404</v>
      </c>
      <c r="AO378">
        <f t="shared" si="55"/>
        <v>0.36842105263157893</v>
      </c>
      <c r="AP378" t="str">
        <f t="shared" si="56"/>
        <v>50+</v>
      </c>
      <c r="AQ378" t="str">
        <f t="shared" si="57"/>
        <v>High</v>
      </c>
      <c r="AR378" t="str">
        <f t="shared" si="58"/>
        <v>Medium</v>
      </c>
      <c r="AS378">
        <f t="shared" si="59"/>
        <v>0</v>
      </c>
    </row>
    <row r="379" spans="1:4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s="20">
        <v>2543</v>
      </c>
      <c r="T379">
        <v>11868</v>
      </c>
      <c r="U379">
        <v>4</v>
      </c>
      <c r="V379" t="s">
        <v>42</v>
      </c>
      <c r="W379" t="s">
        <v>43</v>
      </c>
      <c r="X379" s="19">
        <v>13</v>
      </c>
      <c r="Y379">
        <v>3</v>
      </c>
      <c r="Z379">
        <v>2</v>
      </c>
      <c r="AA379">
        <v>80</v>
      </c>
      <c r="AB379">
        <v>1</v>
      </c>
      <c r="AC379">
        <v>6</v>
      </c>
      <c r="AD379">
        <v>3</v>
      </c>
      <c r="AE379">
        <v>3</v>
      </c>
      <c r="AF379">
        <v>2</v>
      </c>
      <c r="AG379">
        <v>2</v>
      </c>
      <c r="AH379">
        <v>2</v>
      </c>
      <c r="AI379">
        <v>2</v>
      </c>
      <c r="AJ379">
        <f t="shared" si="50"/>
        <v>0</v>
      </c>
      <c r="AK379">
        <f t="shared" si="51"/>
        <v>0</v>
      </c>
      <c r="AL379">
        <f t="shared" si="52"/>
        <v>0</v>
      </c>
      <c r="AM379">
        <f t="shared" si="53"/>
        <v>3</v>
      </c>
      <c r="AN379">
        <f t="shared" si="54"/>
        <v>10172</v>
      </c>
      <c r="AO379">
        <f t="shared" si="55"/>
        <v>0.2857142857142857</v>
      </c>
      <c r="AP379" t="str">
        <f t="shared" si="56"/>
        <v>30-39</v>
      </c>
      <c r="AQ379" t="str">
        <f t="shared" si="57"/>
        <v>Low</v>
      </c>
      <c r="AR379" t="str">
        <f t="shared" si="58"/>
        <v>Short</v>
      </c>
      <c r="AS379">
        <f t="shared" si="59"/>
        <v>0</v>
      </c>
    </row>
    <row r="380" spans="1:4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s="20">
        <v>5304</v>
      </c>
      <c r="T380">
        <v>4652</v>
      </c>
      <c r="U380">
        <v>8</v>
      </c>
      <c r="V380" t="s">
        <v>42</v>
      </c>
      <c r="W380" t="s">
        <v>35</v>
      </c>
      <c r="X380" s="19">
        <v>13</v>
      </c>
      <c r="Y380">
        <v>3</v>
      </c>
      <c r="Z380">
        <v>2</v>
      </c>
      <c r="AA380">
        <v>80</v>
      </c>
      <c r="AB380">
        <v>0</v>
      </c>
      <c r="AC380">
        <v>9</v>
      </c>
      <c r="AD380">
        <v>3</v>
      </c>
      <c r="AE380">
        <v>2</v>
      </c>
      <c r="AF380">
        <v>5</v>
      </c>
      <c r="AG380">
        <v>2</v>
      </c>
      <c r="AH380">
        <v>0</v>
      </c>
      <c r="AI380">
        <v>4</v>
      </c>
      <c r="AJ380">
        <f t="shared" si="50"/>
        <v>1</v>
      </c>
      <c r="AK380">
        <f t="shared" si="51"/>
        <v>1</v>
      </c>
      <c r="AL380">
        <f t="shared" si="52"/>
        <v>1</v>
      </c>
      <c r="AM380">
        <f t="shared" si="53"/>
        <v>2.25</v>
      </c>
      <c r="AN380">
        <f t="shared" si="54"/>
        <v>10608</v>
      </c>
      <c r="AO380">
        <f t="shared" si="55"/>
        <v>0.5</v>
      </c>
      <c r="AP380" t="str">
        <f t="shared" si="56"/>
        <v>30-39</v>
      </c>
      <c r="AQ380" t="str">
        <f t="shared" si="57"/>
        <v>High</v>
      </c>
      <c r="AR380" t="str">
        <f t="shared" si="58"/>
        <v>Long</v>
      </c>
      <c r="AS380">
        <f t="shared" si="59"/>
        <v>0</v>
      </c>
    </row>
    <row r="381" spans="1:4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s="20">
        <v>16659</v>
      </c>
      <c r="T381">
        <v>23258</v>
      </c>
      <c r="U381">
        <v>2</v>
      </c>
      <c r="V381" t="s">
        <v>42</v>
      </c>
      <c r="W381" t="s">
        <v>35</v>
      </c>
      <c r="X381" s="19">
        <v>13</v>
      </c>
      <c r="Y381">
        <v>3</v>
      </c>
      <c r="Z381">
        <v>3</v>
      </c>
      <c r="AA381">
        <v>80</v>
      </c>
      <c r="AB381">
        <v>0</v>
      </c>
      <c r="AC381">
        <v>30</v>
      </c>
      <c r="AD381">
        <v>2</v>
      </c>
      <c r="AE381">
        <v>3</v>
      </c>
      <c r="AF381">
        <v>5</v>
      </c>
      <c r="AG381">
        <v>4</v>
      </c>
      <c r="AH381">
        <v>1</v>
      </c>
      <c r="AI381">
        <v>2</v>
      </c>
      <c r="AJ381">
        <f t="shared" si="50"/>
        <v>0</v>
      </c>
      <c r="AK381">
        <f t="shared" si="51"/>
        <v>1</v>
      </c>
      <c r="AL381">
        <f t="shared" si="52"/>
        <v>0</v>
      </c>
      <c r="AM381">
        <f t="shared" si="53"/>
        <v>3.25</v>
      </c>
      <c r="AN381">
        <f t="shared" si="54"/>
        <v>33318</v>
      </c>
      <c r="AO381">
        <f t="shared" si="55"/>
        <v>0.16129032258064516</v>
      </c>
      <c r="AP381" t="str">
        <f t="shared" si="56"/>
        <v>50+</v>
      </c>
      <c r="AQ381" t="str">
        <f t="shared" si="57"/>
        <v>Very High</v>
      </c>
      <c r="AR381" t="str">
        <f t="shared" si="58"/>
        <v>Short</v>
      </c>
      <c r="AS381">
        <f t="shared" si="59"/>
        <v>0</v>
      </c>
    </row>
    <row r="382" spans="1:4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s="20">
        <v>4260</v>
      </c>
      <c r="T382">
        <v>5915</v>
      </c>
      <c r="U382">
        <v>1</v>
      </c>
      <c r="V382" t="s">
        <v>42</v>
      </c>
      <c r="W382" t="s">
        <v>35</v>
      </c>
      <c r="X382" s="19">
        <v>12</v>
      </c>
      <c r="Y382">
        <v>3</v>
      </c>
      <c r="Z382">
        <v>4</v>
      </c>
      <c r="AA382">
        <v>80</v>
      </c>
      <c r="AB382">
        <v>1</v>
      </c>
      <c r="AC382">
        <v>5</v>
      </c>
      <c r="AD382">
        <v>2</v>
      </c>
      <c r="AE382">
        <v>4</v>
      </c>
      <c r="AF382">
        <v>5</v>
      </c>
      <c r="AG382">
        <v>2</v>
      </c>
      <c r="AH382">
        <v>0</v>
      </c>
      <c r="AI382">
        <v>3</v>
      </c>
      <c r="AJ382">
        <f t="shared" si="50"/>
        <v>0</v>
      </c>
      <c r="AK382">
        <f t="shared" si="51"/>
        <v>1</v>
      </c>
      <c r="AL382">
        <f t="shared" si="52"/>
        <v>0</v>
      </c>
      <c r="AM382">
        <f t="shared" si="53"/>
        <v>3.75</v>
      </c>
      <c r="AN382">
        <f t="shared" si="54"/>
        <v>8520</v>
      </c>
      <c r="AO382">
        <f t="shared" si="55"/>
        <v>0.83333333333333337</v>
      </c>
      <c r="AP382" t="str">
        <f t="shared" si="56"/>
        <v>Under 30</v>
      </c>
      <c r="AQ382" t="str">
        <f t="shared" si="57"/>
        <v>Medium</v>
      </c>
      <c r="AR382" t="str">
        <f t="shared" si="58"/>
        <v>Medium</v>
      </c>
      <c r="AS382">
        <f t="shared" si="59"/>
        <v>0</v>
      </c>
    </row>
    <row r="383" spans="1:4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s="20">
        <v>2476</v>
      </c>
      <c r="T383">
        <v>17434</v>
      </c>
      <c r="U383">
        <v>1</v>
      </c>
      <c r="V383" t="s">
        <v>42</v>
      </c>
      <c r="W383" t="s">
        <v>43</v>
      </c>
      <c r="X383" s="19">
        <v>18</v>
      </c>
      <c r="Y383">
        <v>3</v>
      </c>
      <c r="Z383">
        <v>1</v>
      </c>
      <c r="AA383">
        <v>80</v>
      </c>
      <c r="AB383">
        <v>1</v>
      </c>
      <c r="AC383">
        <v>1</v>
      </c>
      <c r="AD383">
        <v>3</v>
      </c>
      <c r="AE383">
        <v>3</v>
      </c>
      <c r="AF383">
        <v>1</v>
      </c>
      <c r="AG383">
        <v>0</v>
      </c>
      <c r="AH383">
        <v>0</v>
      </c>
      <c r="AI383">
        <v>0</v>
      </c>
      <c r="AJ383">
        <f t="shared" si="50"/>
        <v>0</v>
      </c>
      <c r="AK383">
        <f t="shared" si="51"/>
        <v>0</v>
      </c>
      <c r="AL383">
        <f t="shared" si="52"/>
        <v>1</v>
      </c>
      <c r="AM383">
        <f t="shared" si="53"/>
        <v>2.25</v>
      </c>
      <c r="AN383">
        <f t="shared" si="54"/>
        <v>14856</v>
      </c>
      <c r="AO383">
        <f t="shared" si="55"/>
        <v>0.5</v>
      </c>
      <c r="AP383" t="str">
        <f t="shared" si="56"/>
        <v>30-39</v>
      </c>
      <c r="AQ383" t="str">
        <f t="shared" si="57"/>
        <v>Low</v>
      </c>
      <c r="AR383" t="str">
        <f t="shared" si="58"/>
        <v>Short</v>
      </c>
      <c r="AS383">
        <f t="shared" si="59"/>
        <v>0</v>
      </c>
    </row>
    <row r="384" spans="1:4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s="20">
        <v>3102</v>
      </c>
      <c r="T384">
        <v>6582</v>
      </c>
      <c r="U384">
        <v>0</v>
      </c>
      <c r="V384" t="s">
        <v>42</v>
      </c>
      <c r="W384" t="s">
        <v>43</v>
      </c>
      <c r="X384" s="19">
        <v>22</v>
      </c>
      <c r="Y384">
        <v>4</v>
      </c>
      <c r="Z384">
        <v>3</v>
      </c>
      <c r="AA384">
        <v>80</v>
      </c>
      <c r="AB384">
        <v>0</v>
      </c>
      <c r="AC384">
        <v>7</v>
      </c>
      <c r="AD384">
        <v>2</v>
      </c>
      <c r="AE384">
        <v>3</v>
      </c>
      <c r="AF384">
        <v>6</v>
      </c>
      <c r="AG384">
        <v>4</v>
      </c>
      <c r="AH384">
        <v>0</v>
      </c>
      <c r="AI384">
        <v>4</v>
      </c>
      <c r="AJ384">
        <f t="shared" si="50"/>
        <v>1</v>
      </c>
      <c r="AK384">
        <f t="shared" si="51"/>
        <v>0</v>
      </c>
      <c r="AL384">
        <f t="shared" si="52"/>
        <v>1</v>
      </c>
      <c r="AM384">
        <f t="shared" si="53"/>
        <v>2.5</v>
      </c>
      <c r="AN384">
        <f t="shared" si="54"/>
        <v>5317.7142857142853</v>
      </c>
      <c r="AO384">
        <f t="shared" si="55"/>
        <v>0.75</v>
      </c>
      <c r="AP384" t="str">
        <f t="shared" si="56"/>
        <v>Under 30</v>
      </c>
      <c r="AQ384" t="str">
        <f t="shared" si="57"/>
        <v>Medium</v>
      </c>
      <c r="AR384" t="str">
        <f t="shared" si="58"/>
        <v>Short</v>
      </c>
      <c r="AS384">
        <f t="shared" si="59"/>
        <v>1</v>
      </c>
    </row>
    <row r="385" spans="1:4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s="20">
        <v>2244</v>
      </c>
      <c r="T385">
        <v>24440</v>
      </c>
      <c r="U385">
        <v>1</v>
      </c>
      <c r="V385" t="s">
        <v>42</v>
      </c>
      <c r="W385" t="s">
        <v>43</v>
      </c>
      <c r="X385" s="19">
        <v>13</v>
      </c>
      <c r="Y385">
        <v>3</v>
      </c>
      <c r="Z385">
        <v>4</v>
      </c>
      <c r="AA385">
        <v>80</v>
      </c>
      <c r="AB385">
        <v>1</v>
      </c>
      <c r="AC385">
        <v>2</v>
      </c>
      <c r="AD385">
        <v>1</v>
      </c>
      <c r="AE385">
        <v>3</v>
      </c>
      <c r="AF385">
        <v>2</v>
      </c>
      <c r="AG385">
        <v>1</v>
      </c>
      <c r="AH385">
        <v>1</v>
      </c>
      <c r="AI385">
        <v>2</v>
      </c>
      <c r="AJ385">
        <f t="shared" si="50"/>
        <v>0</v>
      </c>
      <c r="AK385">
        <f t="shared" si="51"/>
        <v>0</v>
      </c>
      <c r="AL385">
        <f t="shared" si="52"/>
        <v>0</v>
      </c>
      <c r="AM385">
        <f t="shared" si="53"/>
        <v>2.5</v>
      </c>
      <c r="AN385">
        <f t="shared" si="54"/>
        <v>8976</v>
      </c>
      <c r="AO385">
        <f t="shared" si="55"/>
        <v>0.66666666666666663</v>
      </c>
      <c r="AP385" t="str">
        <f t="shared" si="56"/>
        <v>Under 30</v>
      </c>
      <c r="AQ385" t="str">
        <f t="shared" si="57"/>
        <v>Low</v>
      </c>
      <c r="AR385" t="str">
        <f t="shared" si="58"/>
        <v>Medium</v>
      </c>
      <c r="AS385">
        <f t="shared" si="59"/>
        <v>0</v>
      </c>
    </row>
    <row r="386" spans="1:4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s="20">
        <v>7596</v>
      </c>
      <c r="T386">
        <v>3809</v>
      </c>
      <c r="U386">
        <v>1</v>
      </c>
      <c r="V386" t="s">
        <v>42</v>
      </c>
      <c r="W386" t="s">
        <v>43</v>
      </c>
      <c r="X386" s="19">
        <v>13</v>
      </c>
      <c r="Y386">
        <v>3</v>
      </c>
      <c r="Z386">
        <v>2</v>
      </c>
      <c r="AA386">
        <v>80</v>
      </c>
      <c r="AB386">
        <v>2</v>
      </c>
      <c r="AC386">
        <v>10</v>
      </c>
      <c r="AD386">
        <v>2</v>
      </c>
      <c r="AE386">
        <v>3</v>
      </c>
      <c r="AF386">
        <v>10</v>
      </c>
      <c r="AG386">
        <v>9</v>
      </c>
      <c r="AH386">
        <v>9</v>
      </c>
      <c r="AI386">
        <v>0</v>
      </c>
      <c r="AJ386">
        <f t="shared" si="50"/>
        <v>0</v>
      </c>
      <c r="AK386">
        <f t="shared" si="51"/>
        <v>0</v>
      </c>
      <c r="AL386">
        <f t="shared" si="52"/>
        <v>1</v>
      </c>
      <c r="AM386">
        <f t="shared" si="53"/>
        <v>2.5</v>
      </c>
      <c r="AN386">
        <f t="shared" si="54"/>
        <v>8286.545454545454</v>
      </c>
      <c r="AO386">
        <f t="shared" si="55"/>
        <v>0.90909090909090906</v>
      </c>
      <c r="AP386" t="str">
        <f t="shared" si="56"/>
        <v>30-39</v>
      </c>
      <c r="AQ386" t="str">
        <f t="shared" si="57"/>
        <v>High</v>
      </c>
      <c r="AR386" t="str">
        <f t="shared" si="58"/>
        <v>Short</v>
      </c>
      <c r="AS386">
        <f t="shared" si="59"/>
        <v>0</v>
      </c>
    </row>
    <row r="387" spans="1:4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s="20">
        <v>2285</v>
      </c>
      <c r="T387">
        <v>3427</v>
      </c>
      <c r="U387">
        <v>9</v>
      </c>
      <c r="V387" t="s">
        <v>42</v>
      </c>
      <c r="W387" t="s">
        <v>35</v>
      </c>
      <c r="X387" s="19">
        <v>23</v>
      </c>
      <c r="Y387">
        <v>4</v>
      </c>
      <c r="Z387">
        <v>3</v>
      </c>
      <c r="AA387">
        <v>80</v>
      </c>
      <c r="AB387">
        <v>0</v>
      </c>
      <c r="AC387">
        <v>3</v>
      </c>
      <c r="AD387">
        <v>4</v>
      </c>
      <c r="AE387">
        <v>3</v>
      </c>
      <c r="AF387">
        <v>1</v>
      </c>
      <c r="AG387">
        <v>0</v>
      </c>
      <c r="AH387">
        <v>0</v>
      </c>
      <c r="AI387">
        <v>0</v>
      </c>
      <c r="AJ387">
        <f t="shared" ref="AJ387:AJ450" si="60">IF(B387="Yes",1,0)</f>
        <v>1</v>
      </c>
      <c r="AK387">
        <f t="shared" ref="AK387:AK450" si="61">IF(W387="Yes",1,0)</f>
        <v>1</v>
      </c>
      <c r="AL387">
        <f t="shared" ref="AL387:AL450" si="62">IF(L387="Male",1,0)</f>
        <v>1</v>
      </c>
      <c r="AM387">
        <f t="shared" ref="AM387:AM450" si="63">AVERAGE(K387,Q387,Z387,AE387)</f>
        <v>3.25</v>
      </c>
      <c r="AN387">
        <f t="shared" ref="AN387:AN450" si="64">(S387*12)/(AF387+1)</f>
        <v>13710</v>
      </c>
      <c r="AO387">
        <f t="shared" ref="AO387:AO450" si="65">AF387/(AC387+1)</f>
        <v>0.25</v>
      </c>
      <c r="AP387" t="str">
        <f t="shared" ref="AP387:AP450" si="66">IF(A387&lt;30,"Under 30",IF(A387&lt;40,"30-39",IF(A387&lt;50,"40-49","50+")))</f>
        <v>30-39</v>
      </c>
      <c r="AQ387" t="str">
        <f t="shared" ref="AQ387:AQ450" si="67">IF(S387&lt;=$AV$1,"Low",IF(S387&lt;=$AV$2,"Medium",IF(S387&lt;=$AV$3,"High","Very High")))</f>
        <v>Low</v>
      </c>
      <c r="AR387" t="str">
        <f t="shared" ref="AR387:AR450" si="68">IF(F387&lt;=5,"Short",IF(F387&lt;=15,"Medium","Long"))</f>
        <v>Short</v>
      </c>
      <c r="AS387">
        <f t="shared" ref="AS387:AS450" si="69">IF(C387="Travel_Frequently",1,0)</f>
        <v>1</v>
      </c>
    </row>
    <row r="388" spans="1:4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s="20">
        <v>3034</v>
      </c>
      <c r="T388">
        <v>26914</v>
      </c>
      <c r="U388">
        <v>1</v>
      </c>
      <c r="V388" t="s">
        <v>42</v>
      </c>
      <c r="W388" t="s">
        <v>43</v>
      </c>
      <c r="X388" s="19">
        <v>12</v>
      </c>
      <c r="Y388">
        <v>3</v>
      </c>
      <c r="Z388">
        <v>3</v>
      </c>
      <c r="AA388">
        <v>80</v>
      </c>
      <c r="AB388">
        <v>1</v>
      </c>
      <c r="AC388">
        <v>18</v>
      </c>
      <c r="AD388">
        <v>2</v>
      </c>
      <c r="AE388">
        <v>2</v>
      </c>
      <c r="AF388">
        <v>18</v>
      </c>
      <c r="AG388">
        <v>7</v>
      </c>
      <c r="AH388">
        <v>12</v>
      </c>
      <c r="AI388">
        <v>17</v>
      </c>
      <c r="AJ388">
        <f t="shared" si="60"/>
        <v>0</v>
      </c>
      <c r="AK388">
        <f t="shared" si="61"/>
        <v>0</v>
      </c>
      <c r="AL388">
        <f t="shared" si="62"/>
        <v>0</v>
      </c>
      <c r="AM388">
        <f t="shared" si="63"/>
        <v>2.5</v>
      </c>
      <c r="AN388">
        <f t="shared" si="64"/>
        <v>1916.2105263157894</v>
      </c>
      <c r="AO388">
        <f t="shared" si="65"/>
        <v>0.94736842105263153</v>
      </c>
      <c r="AP388" t="str">
        <f t="shared" si="66"/>
        <v>30-39</v>
      </c>
      <c r="AQ388" t="str">
        <f t="shared" si="67"/>
        <v>Medium</v>
      </c>
      <c r="AR388" t="str">
        <f t="shared" si="68"/>
        <v>Medium</v>
      </c>
      <c r="AS388">
        <f t="shared" si="69"/>
        <v>0</v>
      </c>
    </row>
    <row r="389" spans="1:4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s="20">
        <v>5715</v>
      </c>
      <c r="T389">
        <v>22553</v>
      </c>
      <c r="U389">
        <v>7</v>
      </c>
      <c r="V389" t="s">
        <v>42</v>
      </c>
      <c r="W389" t="s">
        <v>43</v>
      </c>
      <c r="X389" s="19">
        <v>12</v>
      </c>
      <c r="Y389">
        <v>3</v>
      </c>
      <c r="Z389">
        <v>3</v>
      </c>
      <c r="AA389">
        <v>80</v>
      </c>
      <c r="AB389">
        <v>2</v>
      </c>
      <c r="AC389">
        <v>8</v>
      </c>
      <c r="AD389">
        <v>5</v>
      </c>
      <c r="AE389">
        <v>3</v>
      </c>
      <c r="AF389">
        <v>5</v>
      </c>
      <c r="AG389">
        <v>4</v>
      </c>
      <c r="AH389">
        <v>1</v>
      </c>
      <c r="AI389">
        <v>3</v>
      </c>
      <c r="AJ389">
        <f t="shared" si="60"/>
        <v>0</v>
      </c>
      <c r="AK389">
        <f t="shared" si="61"/>
        <v>0</v>
      </c>
      <c r="AL389">
        <f t="shared" si="62"/>
        <v>0</v>
      </c>
      <c r="AM389">
        <f t="shared" si="63"/>
        <v>3</v>
      </c>
      <c r="AN389">
        <f t="shared" si="64"/>
        <v>11430</v>
      </c>
      <c r="AO389">
        <f t="shared" si="65"/>
        <v>0.55555555555555558</v>
      </c>
      <c r="AP389" t="str">
        <f t="shared" si="66"/>
        <v>40-49</v>
      </c>
      <c r="AQ389" t="str">
        <f t="shared" si="67"/>
        <v>High</v>
      </c>
      <c r="AR389" t="str">
        <f t="shared" si="68"/>
        <v>Short</v>
      </c>
      <c r="AS389">
        <f t="shared" si="69"/>
        <v>0</v>
      </c>
    </row>
    <row r="390" spans="1:4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s="20">
        <v>2576</v>
      </c>
      <c r="T390">
        <v>20490</v>
      </c>
      <c r="U390">
        <v>3</v>
      </c>
      <c r="V390" t="s">
        <v>42</v>
      </c>
      <c r="W390" t="s">
        <v>43</v>
      </c>
      <c r="X390" s="19">
        <v>16</v>
      </c>
      <c r="Y390">
        <v>3</v>
      </c>
      <c r="Z390">
        <v>2</v>
      </c>
      <c r="AA390">
        <v>80</v>
      </c>
      <c r="AB390">
        <v>1</v>
      </c>
      <c r="AC390">
        <v>8</v>
      </c>
      <c r="AD390">
        <v>5</v>
      </c>
      <c r="AE390">
        <v>3</v>
      </c>
      <c r="AF390">
        <v>5</v>
      </c>
      <c r="AG390">
        <v>2</v>
      </c>
      <c r="AH390">
        <v>1</v>
      </c>
      <c r="AI390">
        <v>2</v>
      </c>
      <c r="AJ390">
        <f t="shared" si="60"/>
        <v>0</v>
      </c>
      <c r="AK390">
        <f t="shared" si="61"/>
        <v>0</v>
      </c>
      <c r="AL390">
        <f t="shared" si="62"/>
        <v>0</v>
      </c>
      <c r="AM390">
        <f t="shared" si="63"/>
        <v>2</v>
      </c>
      <c r="AN390">
        <f t="shared" si="64"/>
        <v>5152</v>
      </c>
      <c r="AO390">
        <f t="shared" si="65"/>
        <v>0.55555555555555558</v>
      </c>
      <c r="AP390" t="str">
        <f t="shared" si="66"/>
        <v>40-49</v>
      </c>
      <c r="AQ390" t="str">
        <f t="shared" si="67"/>
        <v>Low</v>
      </c>
      <c r="AR390" t="str">
        <f t="shared" si="68"/>
        <v>Short</v>
      </c>
      <c r="AS390">
        <f t="shared" si="69"/>
        <v>0</v>
      </c>
    </row>
    <row r="391" spans="1:4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s="20">
        <v>4197</v>
      </c>
      <c r="T391">
        <v>21123</v>
      </c>
      <c r="U391">
        <v>2</v>
      </c>
      <c r="V391" t="s">
        <v>42</v>
      </c>
      <c r="W391" t="s">
        <v>35</v>
      </c>
      <c r="X391" s="19">
        <v>12</v>
      </c>
      <c r="Y391">
        <v>3</v>
      </c>
      <c r="Z391">
        <v>4</v>
      </c>
      <c r="AA391">
        <v>80</v>
      </c>
      <c r="AB391">
        <v>0</v>
      </c>
      <c r="AC391">
        <v>18</v>
      </c>
      <c r="AD391">
        <v>2</v>
      </c>
      <c r="AE391">
        <v>2</v>
      </c>
      <c r="AF391">
        <v>1</v>
      </c>
      <c r="AG391">
        <v>0</v>
      </c>
      <c r="AH391">
        <v>0</v>
      </c>
      <c r="AI391">
        <v>1</v>
      </c>
      <c r="AJ391">
        <f t="shared" si="60"/>
        <v>0</v>
      </c>
      <c r="AK391">
        <f t="shared" si="61"/>
        <v>1</v>
      </c>
      <c r="AL391">
        <f t="shared" si="62"/>
        <v>1</v>
      </c>
      <c r="AM391">
        <f t="shared" si="63"/>
        <v>2.75</v>
      </c>
      <c r="AN391">
        <f t="shared" si="64"/>
        <v>25182</v>
      </c>
      <c r="AO391">
        <f t="shared" si="65"/>
        <v>5.2631578947368418E-2</v>
      </c>
      <c r="AP391" t="str">
        <f t="shared" si="66"/>
        <v>30-39</v>
      </c>
      <c r="AQ391" t="str">
        <f t="shared" si="67"/>
        <v>Medium</v>
      </c>
      <c r="AR391" t="str">
        <f t="shared" si="68"/>
        <v>Medium</v>
      </c>
      <c r="AS391">
        <f t="shared" si="69"/>
        <v>0</v>
      </c>
    </row>
    <row r="392" spans="1:4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s="20">
        <v>14336</v>
      </c>
      <c r="T392">
        <v>4345</v>
      </c>
      <c r="U392">
        <v>1</v>
      </c>
      <c r="V392" t="s">
        <v>42</v>
      </c>
      <c r="W392" t="s">
        <v>43</v>
      </c>
      <c r="X392" s="19">
        <v>11</v>
      </c>
      <c r="Y392">
        <v>3</v>
      </c>
      <c r="Z392">
        <v>3</v>
      </c>
      <c r="AA392">
        <v>80</v>
      </c>
      <c r="AB392">
        <v>1</v>
      </c>
      <c r="AC392">
        <v>25</v>
      </c>
      <c r="AD392">
        <v>3</v>
      </c>
      <c r="AE392">
        <v>3</v>
      </c>
      <c r="AF392">
        <v>25</v>
      </c>
      <c r="AG392">
        <v>10</v>
      </c>
      <c r="AH392">
        <v>3</v>
      </c>
      <c r="AI392">
        <v>9</v>
      </c>
      <c r="AJ392">
        <f t="shared" si="60"/>
        <v>0</v>
      </c>
      <c r="AK392">
        <f t="shared" si="61"/>
        <v>0</v>
      </c>
      <c r="AL392">
        <f t="shared" si="62"/>
        <v>1</v>
      </c>
      <c r="AM392">
        <f t="shared" si="63"/>
        <v>2.25</v>
      </c>
      <c r="AN392">
        <f t="shared" si="64"/>
        <v>6616.6153846153848</v>
      </c>
      <c r="AO392">
        <f t="shared" si="65"/>
        <v>0.96153846153846156</v>
      </c>
      <c r="AP392" t="str">
        <f t="shared" si="66"/>
        <v>40-49</v>
      </c>
      <c r="AQ392" t="str">
        <f t="shared" si="67"/>
        <v>Very High</v>
      </c>
      <c r="AR392" t="str">
        <f t="shared" si="68"/>
        <v>Medium</v>
      </c>
      <c r="AS392">
        <f t="shared" si="69"/>
        <v>0</v>
      </c>
    </row>
    <row r="393" spans="1:4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s="20">
        <v>3448</v>
      </c>
      <c r="T393">
        <v>13436</v>
      </c>
      <c r="U393">
        <v>6</v>
      </c>
      <c r="V393" t="s">
        <v>42</v>
      </c>
      <c r="W393" t="s">
        <v>43</v>
      </c>
      <c r="X393" s="19">
        <v>22</v>
      </c>
      <c r="Y393">
        <v>4</v>
      </c>
      <c r="Z393">
        <v>2</v>
      </c>
      <c r="AA393">
        <v>80</v>
      </c>
      <c r="AB393">
        <v>1</v>
      </c>
      <c r="AC393">
        <v>20</v>
      </c>
      <c r="AD393">
        <v>3</v>
      </c>
      <c r="AE393">
        <v>3</v>
      </c>
      <c r="AF393">
        <v>1</v>
      </c>
      <c r="AG393">
        <v>0</v>
      </c>
      <c r="AH393">
        <v>0</v>
      </c>
      <c r="AI393">
        <v>0</v>
      </c>
      <c r="AJ393">
        <f t="shared" si="60"/>
        <v>0</v>
      </c>
      <c r="AK393">
        <f t="shared" si="61"/>
        <v>0</v>
      </c>
      <c r="AL393">
        <f t="shared" si="62"/>
        <v>0</v>
      </c>
      <c r="AM393">
        <f t="shared" si="63"/>
        <v>2.5</v>
      </c>
      <c r="AN393">
        <f t="shared" si="64"/>
        <v>20688</v>
      </c>
      <c r="AO393">
        <f t="shared" si="65"/>
        <v>4.7619047619047616E-2</v>
      </c>
      <c r="AP393" t="str">
        <f t="shared" si="66"/>
        <v>40-49</v>
      </c>
      <c r="AQ393" t="str">
        <f t="shared" si="67"/>
        <v>Medium</v>
      </c>
      <c r="AR393" t="str">
        <f t="shared" si="68"/>
        <v>Short</v>
      </c>
      <c r="AS393">
        <f t="shared" si="69"/>
        <v>0</v>
      </c>
    </row>
    <row r="394" spans="1:4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s="20">
        <v>19406</v>
      </c>
      <c r="T394">
        <v>8509</v>
      </c>
      <c r="U394">
        <v>4</v>
      </c>
      <c r="V394" t="s">
        <v>42</v>
      </c>
      <c r="W394" t="s">
        <v>43</v>
      </c>
      <c r="X394" s="19">
        <v>11</v>
      </c>
      <c r="Y394">
        <v>3</v>
      </c>
      <c r="Z394">
        <v>3</v>
      </c>
      <c r="AA394">
        <v>80</v>
      </c>
      <c r="AB394">
        <v>1</v>
      </c>
      <c r="AC394">
        <v>24</v>
      </c>
      <c r="AD394">
        <v>4</v>
      </c>
      <c r="AE394">
        <v>2</v>
      </c>
      <c r="AF394">
        <v>4</v>
      </c>
      <c r="AG394">
        <v>2</v>
      </c>
      <c r="AH394">
        <v>1</v>
      </c>
      <c r="AI394">
        <v>2</v>
      </c>
      <c r="AJ394">
        <f t="shared" si="60"/>
        <v>0</v>
      </c>
      <c r="AK394">
        <f t="shared" si="61"/>
        <v>0</v>
      </c>
      <c r="AL394">
        <f t="shared" si="62"/>
        <v>1</v>
      </c>
      <c r="AM394">
        <f t="shared" si="63"/>
        <v>1.75</v>
      </c>
      <c r="AN394">
        <f t="shared" si="64"/>
        <v>46574.400000000001</v>
      </c>
      <c r="AO394">
        <f t="shared" si="65"/>
        <v>0.16</v>
      </c>
      <c r="AP394" t="str">
        <f t="shared" si="66"/>
        <v>50+</v>
      </c>
      <c r="AQ394" t="str">
        <f t="shared" si="67"/>
        <v>Very High</v>
      </c>
      <c r="AR394" t="str">
        <f t="shared" si="68"/>
        <v>Short</v>
      </c>
      <c r="AS394">
        <f t="shared" si="69"/>
        <v>0</v>
      </c>
    </row>
    <row r="395" spans="1:4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s="20">
        <v>6538</v>
      </c>
      <c r="T395">
        <v>12740</v>
      </c>
      <c r="U395">
        <v>9</v>
      </c>
      <c r="V395" t="s">
        <v>42</v>
      </c>
      <c r="W395" t="s">
        <v>43</v>
      </c>
      <c r="X395" s="19">
        <v>15</v>
      </c>
      <c r="Y395">
        <v>3</v>
      </c>
      <c r="Z395">
        <v>1</v>
      </c>
      <c r="AA395">
        <v>80</v>
      </c>
      <c r="AB395">
        <v>1</v>
      </c>
      <c r="AC395">
        <v>6</v>
      </c>
      <c r="AD395">
        <v>3</v>
      </c>
      <c r="AE395">
        <v>3</v>
      </c>
      <c r="AF395">
        <v>3</v>
      </c>
      <c r="AG395">
        <v>2</v>
      </c>
      <c r="AH395">
        <v>1</v>
      </c>
      <c r="AI395">
        <v>2</v>
      </c>
      <c r="AJ395">
        <f t="shared" si="60"/>
        <v>0</v>
      </c>
      <c r="AK395">
        <f t="shared" si="61"/>
        <v>0</v>
      </c>
      <c r="AL395">
        <f t="shared" si="62"/>
        <v>0</v>
      </c>
      <c r="AM395">
        <f t="shared" si="63"/>
        <v>2.5</v>
      </c>
      <c r="AN395">
        <f t="shared" si="64"/>
        <v>19614</v>
      </c>
      <c r="AO395">
        <f t="shared" si="65"/>
        <v>0.42857142857142855</v>
      </c>
      <c r="AP395" t="str">
        <f t="shared" si="66"/>
        <v>30-39</v>
      </c>
      <c r="AQ395" t="str">
        <f t="shared" si="67"/>
        <v>High</v>
      </c>
      <c r="AR395" t="str">
        <f t="shared" si="68"/>
        <v>Short</v>
      </c>
      <c r="AS395">
        <f t="shared" si="69"/>
        <v>0</v>
      </c>
    </row>
    <row r="396" spans="1:4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s="20">
        <v>4306</v>
      </c>
      <c r="T396">
        <v>4156</v>
      </c>
      <c r="U396">
        <v>1</v>
      </c>
      <c r="V396" t="s">
        <v>42</v>
      </c>
      <c r="W396" t="s">
        <v>43</v>
      </c>
      <c r="X396" s="19">
        <v>12</v>
      </c>
      <c r="Y396">
        <v>3</v>
      </c>
      <c r="Z396">
        <v>2</v>
      </c>
      <c r="AA396">
        <v>80</v>
      </c>
      <c r="AB396">
        <v>1</v>
      </c>
      <c r="AC396">
        <v>13</v>
      </c>
      <c r="AD396">
        <v>5</v>
      </c>
      <c r="AE396">
        <v>1</v>
      </c>
      <c r="AF396">
        <v>13</v>
      </c>
      <c r="AG396">
        <v>10</v>
      </c>
      <c r="AH396">
        <v>3</v>
      </c>
      <c r="AI396">
        <v>12</v>
      </c>
      <c r="AJ396">
        <f t="shared" si="60"/>
        <v>0</v>
      </c>
      <c r="AK396">
        <f t="shared" si="61"/>
        <v>0</v>
      </c>
      <c r="AL396">
        <f t="shared" si="62"/>
        <v>0</v>
      </c>
      <c r="AM396">
        <f t="shared" si="63"/>
        <v>1.5</v>
      </c>
      <c r="AN396">
        <f t="shared" si="64"/>
        <v>3690.8571428571427</v>
      </c>
      <c r="AO396">
        <f t="shared" si="65"/>
        <v>0.9285714285714286</v>
      </c>
      <c r="AP396" t="str">
        <f t="shared" si="66"/>
        <v>30-39</v>
      </c>
      <c r="AQ396" t="str">
        <f t="shared" si="67"/>
        <v>Medium</v>
      </c>
      <c r="AR396" t="str">
        <f t="shared" si="68"/>
        <v>Medium</v>
      </c>
      <c r="AS396">
        <f t="shared" si="69"/>
        <v>0</v>
      </c>
    </row>
    <row r="397" spans="1:4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s="20">
        <v>2258</v>
      </c>
      <c r="T397">
        <v>15238</v>
      </c>
      <c r="U397">
        <v>7</v>
      </c>
      <c r="V397" t="s">
        <v>42</v>
      </c>
      <c r="W397" t="s">
        <v>43</v>
      </c>
      <c r="X397" s="19">
        <v>20</v>
      </c>
      <c r="Y397">
        <v>4</v>
      </c>
      <c r="Z397">
        <v>1</v>
      </c>
      <c r="AA397">
        <v>80</v>
      </c>
      <c r="AB397">
        <v>1</v>
      </c>
      <c r="AC397">
        <v>8</v>
      </c>
      <c r="AD397">
        <v>1</v>
      </c>
      <c r="AE397">
        <v>3</v>
      </c>
      <c r="AF397">
        <v>3</v>
      </c>
      <c r="AG397">
        <v>2</v>
      </c>
      <c r="AH397">
        <v>1</v>
      </c>
      <c r="AI397">
        <v>2</v>
      </c>
      <c r="AJ397">
        <f t="shared" si="60"/>
        <v>0</v>
      </c>
      <c r="AK397">
        <f t="shared" si="61"/>
        <v>0</v>
      </c>
      <c r="AL397">
        <f t="shared" si="62"/>
        <v>1</v>
      </c>
      <c r="AM397">
        <f t="shared" si="63"/>
        <v>3</v>
      </c>
      <c r="AN397">
        <f t="shared" si="64"/>
        <v>6774</v>
      </c>
      <c r="AO397">
        <f t="shared" si="65"/>
        <v>0.33333333333333331</v>
      </c>
      <c r="AP397" t="str">
        <f t="shared" si="66"/>
        <v>40-49</v>
      </c>
      <c r="AQ397" t="str">
        <f t="shared" si="67"/>
        <v>Low</v>
      </c>
      <c r="AR397" t="str">
        <f t="shared" si="68"/>
        <v>Long</v>
      </c>
      <c r="AS397">
        <f t="shared" si="69"/>
        <v>1</v>
      </c>
    </row>
    <row r="398" spans="1:4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s="20">
        <v>4522</v>
      </c>
      <c r="T398">
        <v>2227</v>
      </c>
      <c r="U398">
        <v>4</v>
      </c>
      <c r="V398" t="s">
        <v>42</v>
      </c>
      <c r="W398" t="s">
        <v>35</v>
      </c>
      <c r="X398" s="19">
        <v>14</v>
      </c>
      <c r="Y398">
        <v>3</v>
      </c>
      <c r="Z398">
        <v>4</v>
      </c>
      <c r="AA398">
        <v>80</v>
      </c>
      <c r="AB398">
        <v>0</v>
      </c>
      <c r="AC398">
        <v>8</v>
      </c>
      <c r="AD398">
        <v>3</v>
      </c>
      <c r="AE398">
        <v>3</v>
      </c>
      <c r="AF398">
        <v>5</v>
      </c>
      <c r="AG398">
        <v>2</v>
      </c>
      <c r="AH398">
        <v>0</v>
      </c>
      <c r="AI398">
        <v>2</v>
      </c>
      <c r="AJ398">
        <f t="shared" si="60"/>
        <v>0</v>
      </c>
      <c r="AK398">
        <f t="shared" si="61"/>
        <v>1</v>
      </c>
      <c r="AL398">
        <f t="shared" si="62"/>
        <v>0</v>
      </c>
      <c r="AM398">
        <f t="shared" si="63"/>
        <v>3.25</v>
      </c>
      <c r="AN398">
        <f t="shared" si="64"/>
        <v>9044</v>
      </c>
      <c r="AO398">
        <f t="shared" si="65"/>
        <v>0.55555555555555558</v>
      </c>
      <c r="AP398" t="str">
        <f t="shared" si="66"/>
        <v>40-49</v>
      </c>
      <c r="AQ398" t="str">
        <f t="shared" si="67"/>
        <v>Medium</v>
      </c>
      <c r="AR398" t="str">
        <f t="shared" si="68"/>
        <v>Medium</v>
      </c>
      <c r="AS398">
        <f t="shared" si="69"/>
        <v>0</v>
      </c>
    </row>
    <row r="399" spans="1:4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s="20">
        <v>4487</v>
      </c>
      <c r="T399">
        <v>12090</v>
      </c>
      <c r="U399">
        <v>1</v>
      </c>
      <c r="V399" t="s">
        <v>42</v>
      </c>
      <c r="W399" t="s">
        <v>35</v>
      </c>
      <c r="X399" s="19">
        <v>11</v>
      </c>
      <c r="Y399">
        <v>3</v>
      </c>
      <c r="Z399">
        <v>2</v>
      </c>
      <c r="AA399">
        <v>80</v>
      </c>
      <c r="AB399">
        <v>0</v>
      </c>
      <c r="AC399">
        <v>5</v>
      </c>
      <c r="AD399">
        <v>3</v>
      </c>
      <c r="AE399">
        <v>3</v>
      </c>
      <c r="AF399">
        <v>5</v>
      </c>
      <c r="AG399">
        <v>4</v>
      </c>
      <c r="AH399">
        <v>1</v>
      </c>
      <c r="AI399">
        <v>3</v>
      </c>
      <c r="AJ399">
        <f t="shared" si="60"/>
        <v>0</v>
      </c>
      <c r="AK399">
        <f t="shared" si="61"/>
        <v>1</v>
      </c>
      <c r="AL399">
        <f t="shared" si="62"/>
        <v>0</v>
      </c>
      <c r="AM399">
        <f t="shared" si="63"/>
        <v>2.75</v>
      </c>
      <c r="AN399">
        <f t="shared" si="64"/>
        <v>8974</v>
      </c>
      <c r="AO399">
        <f t="shared" si="65"/>
        <v>0.83333333333333337</v>
      </c>
      <c r="AP399" t="str">
        <f t="shared" si="66"/>
        <v>Under 30</v>
      </c>
      <c r="AQ399" t="str">
        <f t="shared" si="67"/>
        <v>Medium</v>
      </c>
      <c r="AR399" t="str">
        <f t="shared" si="68"/>
        <v>Short</v>
      </c>
      <c r="AS399">
        <f t="shared" si="69"/>
        <v>0</v>
      </c>
    </row>
    <row r="400" spans="1:4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s="20">
        <v>4449</v>
      </c>
      <c r="T400">
        <v>23866</v>
      </c>
      <c r="U400">
        <v>3</v>
      </c>
      <c r="V400" t="s">
        <v>42</v>
      </c>
      <c r="W400" t="s">
        <v>35</v>
      </c>
      <c r="X400" s="19">
        <v>15</v>
      </c>
      <c r="Y400">
        <v>3</v>
      </c>
      <c r="Z400">
        <v>1</v>
      </c>
      <c r="AA400">
        <v>80</v>
      </c>
      <c r="AB400">
        <v>2</v>
      </c>
      <c r="AC400">
        <v>15</v>
      </c>
      <c r="AD400">
        <v>2</v>
      </c>
      <c r="AE400">
        <v>3</v>
      </c>
      <c r="AF400">
        <v>13</v>
      </c>
      <c r="AG400">
        <v>11</v>
      </c>
      <c r="AH400">
        <v>10</v>
      </c>
      <c r="AI400">
        <v>7</v>
      </c>
      <c r="AJ400">
        <f t="shared" si="60"/>
        <v>0</v>
      </c>
      <c r="AK400">
        <f t="shared" si="61"/>
        <v>1</v>
      </c>
      <c r="AL400">
        <f t="shared" si="62"/>
        <v>0</v>
      </c>
      <c r="AM400">
        <f t="shared" si="63"/>
        <v>2.25</v>
      </c>
      <c r="AN400">
        <f t="shared" si="64"/>
        <v>3813.4285714285716</v>
      </c>
      <c r="AO400">
        <f t="shared" si="65"/>
        <v>0.8125</v>
      </c>
      <c r="AP400" t="str">
        <f t="shared" si="66"/>
        <v>30-39</v>
      </c>
      <c r="AQ400" t="str">
        <f t="shared" si="67"/>
        <v>Medium</v>
      </c>
      <c r="AR400" t="str">
        <f t="shared" si="68"/>
        <v>Long</v>
      </c>
      <c r="AS400">
        <f t="shared" si="69"/>
        <v>0</v>
      </c>
    </row>
    <row r="401" spans="1:4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s="20">
        <v>2218</v>
      </c>
      <c r="T401">
        <v>16193</v>
      </c>
      <c r="U401">
        <v>1</v>
      </c>
      <c r="V401" t="s">
        <v>42</v>
      </c>
      <c r="W401" t="s">
        <v>43</v>
      </c>
      <c r="X401" s="19">
        <v>12</v>
      </c>
      <c r="Y401">
        <v>3</v>
      </c>
      <c r="Z401">
        <v>3</v>
      </c>
      <c r="AA401">
        <v>80</v>
      </c>
      <c r="AB401">
        <v>1</v>
      </c>
      <c r="AC401">
        <v>4</v>
      </c>
      <c r="AD401">
        <v>3</v>
      </c>
      <c r="AE401">
        <v>3</v>
      </c>
      <c r="AF401">
        <v>4</v>
      </c>
      <c r="AG401">
        <v>2</v>
      </c>
      <c r="AH401">
        <v>3</v>
      </c>
      <c r="AI401">
        <v>2</v>
      </c>
      <c r="AJ401">
        <f t="shared" si="60"/>
        <v>0</v>
      </c>
      <c r="AK401">
        <f t="shared" si="61"/>
        <v>0</v>
      </c>
      <c r="AL401">
        <f t="shared" si="62"/>
        <v>1</v>
      </c>
      <c r="AM401">
        <f t="shared" si="63"/>
        <v>2.75</v>
      </c>
      <c r="AN401">
        <f t="shared" si="64"/>
        <v>5323.2</v>
      </c>
      <c r="AO401">
        <f t="shared" si="65"/>
        <v>0.8</v>
      </c>
      <c r="AP401" t="str">
        <f t="shared" si="66"/>
        <v>30-39</v>
      </c>
      <c r="AQ401" t="str">
        <f t="shared" si="67"/>
        <v>Low</v>
      </c>
      <c r="AR401" t="str">
        <f t="shared" si="68"/>
        <v>Short</v>
      </c>
      <c r="AS401">
        <f t="shared" si="69"/>
        <v>0</v>
      </c>
    </row>
    <row r="402" spans="1:4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s="20">
        <v>19197</v>
      </c>
      <c r="T402">
        <v>8213</v>
      </c>
      <c r="U402">
        <v>1</v>
      </c>
      <c r="V402" t="s">
        <v>42</v>
      </c>
      <c r="W402" t="s">
        <v>35</v>
      </c>
      <c r="X402" s="19">
        <v>14</v>
      </c>
      <c r="Y402">
        <v>3</v>
      </c>
      <c r="Z402">
        <v>3</v>
      </c>
      <c r="AA402">
        <v>80</v>
      </c>
      <c r="AB402">
        <v>1</v>
      </c>
      <c r="AC402">
        <v>21</v>
      </c>
      <c r="AD402">
        <v>3</v>
      </c>
      <c r="AE402">
        <v>3</v>
      </c>
      <c r="AF402">
        <v>21</v>
      </c>
      <c r="AG402">
        <v>8</v>
      </c>
      <c r="AH402">
        <v>1</v>
      </c>
      <c r="AI402">
        <v>6</v>
      </c>
      <c r="AJ402">
        <f t="shared" si="60"/>
        <v>0</v>
      </c>
      <c r="AK402">
        <f t="shared" si="61"/>
        <v>1</v>
      </c>
      <c r="AL402">
        <f t="shared" si="62"/>
        <v>1</v>
      </c>
      <c r="AM402">
        <f t="shared" si="63"/>
        <v>2.75</v>
      </c>
      <c r="AN402">
        <f t="shared" si="64"/>
        <v>10471.09090909091</v>
      </c>
      <c r="AO402">
        <f t="shared" si="65"/>
        <v>0.95454545454545459</v>
      </c>
      <c r="AP402" t="str">
        <f t="shared" si="66"/>
        <v>30-39</v>
      </c>
      <c r="AQ402" t="str">
        <f t="shared" si="67"/>
        <v>Very High</v>
      </c>
      <c r="AR402" t="str">
        <f t="shared" si="68"/>
        <v>Short</v>
      </c>
      <c r="AS402">
        <f t="shared" si="69"/>
        <v>1</v>
      </c>
    </row>
    <row r="403" spans="1:4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s="20">
        <v>13212</v>
      </c>
      <c r="T403">
        <v>18256</v>
      </c>
      <c r="U403">
        <v>9</v>
      </c>
      <c r="V403" t="s">
        <v>42</v>
      </c>
      <c r="W403" t="s">
        <v>43</v>
      </c>
      <c r="X403" s="19">
        <v>11</v>
      </c>
      <c r="Y403">
        <v>3</v>
      </c>
      <c r="Z403">
        <v>4</v>
      </c>
      <c r="AA403">
        <v>80</v>
      </c>
      <c r="AB403">
        <v>3</v>
      </c>
      <c r="AC403">
        <v>36</v>
      </c>
      <c r="AD403">
        <v>0</v>
      </c>
      <c r="AE403">
        <v>2</v>
      </c>
      <c r="AF403">
        <v>7</v>
      </c>
      <c r="AG403">
        <v>7</v>
      </c>
      <c r="AH403">
        <v>7</v>
      </c>
      <c r="AI403">
        <v>7</v>
      </c>
      <c r="AJ403">
        <f t="shared" si="60"/>
        <v>0</v>
      </c>
      <c r="AK403">
        <f t="shared" si="61"/>
        <v>0</v>
      </c>
      <c r="AL403">
        <f t="shared" si="62"/>
        <v>0</v>
      </c>
      <c r="AM403">
        <f t="shared" si="63"/>
        <v>2.5</v>
      </c>
      <c r="AN403">
        <f t="shared" si="64"/>
        <v>19818</v>
      </c>
      <c r="AO403">
        <f t="shared" si="65"/>
        <v>0.1891891891891892</v>
      </c>
      <c r="AP403" t="str">
        <f t="shared" si="66"/>
        <v>50+</v>
      </c>
      <c r="AQ403" t="str">
        <f t="shared" si="67"/>
        <v>Very High</v>
      </c>
      <c r="AR403" t="str">
        <f t="shared" si="68"/>
        <v>Medium</v>
      </c>
      <c r="AS403">
        <f t="shared" si="69"/>
        <v>1</v>
      </c>
    </row>
    <row r="404" spans="1:4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s="20">
        <v>6577</v>
      </c>
      <c r="T404">
        <v>19558</v>
      </c>
      <c r="U404">
        <v>0</v>
      </c>
      <c r="V404" t="s">
        <v>42</v>
      </c>
      <c r="W404" t="s">
        <v>43</v>
      </c>
      <c r="X404" s="19">
        <v>11</v>
      </c>
      <c r="Y404">
        <v>3</v>
      </c>
      <c r="Z404">
        <v>2</v>
      </c>
      <c r="AA404">
        <v>80</v>
      </c>
      <c r="AB404">
        <v>0</v>
      </c>
      <c r="AC404">
        <v>6</v>
      </c>
      <c r="AD404">
        <v>6</v>
      </c>
      <c r="AE404">
        <v>3</v>
      </c>
      <c r="AF404">
        <v>5</v>
      </c>
      <c r="AG404">
        <v>4</v>
      </c>
      <c r="AH404">
        <v>4</v>
      </c>
      <c r="AI404">
        <v>4</v>
      </c>
      <c r="AJ404">
        <f t="shared" si="60"/>
        <v>0</v>
      </c>
      <c r="AK404">
        <f t="shared" si="61"/>
        <v>0</v>
      </c>
      <c r="AL404">
        <f t="shared" si="62"/>
        <v>0</v>
      </c>
      <c r="AM404">
        <f t="shared" si="63"/>
        <v>2.5</v>
      </c>
      <c r="AN404">
        <f t="shared" si="64"/>
        <v>13154</v>
      </c>
      <c r="AO404">
        <f t="shared" si="65"/>
        <v>0.7142857142857143</v>
      </c>
      <c r="AP404" t="str">
        <f t="shared" si="66"/>
        <v>30-39</v>
      </c>
      <c r="AQ404" t="str">
        <f t="shared" si="67"/>
        <v>High</v>
      </c>
      <c r="AR404" t="str">
        <f t="shared" si="68"/>
        <v>Medium</v>
      </c>
      <c r="AS404">
        <f t="shared" si="69"/>
        <v>0</v>
      </c>
    </row>
    <row r="405" spans="1:4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s="20">
        <v>8392</v>
      </c>
      <c r="T405">
        <v>19566</v>
      </c>
      <c r="U405">
        <v>1</v>
      </c>
      <c r="V405" t="s">
        <v>42</v>
      </c>
      <c r="W405" t="s">
        <v>43</v>
      </c>
      <c r="X405" s="19">
        <v>16</v>
      </c>
      <c r="Y405">
        <v>3</v>
      </c>
      <c r="Z405">
        <v>3</v>
      </c>
      <c r="AA405">
        <v>80</v>
      </c>
      <c r="AB405">
        <v>1</v>
      </c>
      <c r="AC405">
        <v>10</v>
      </c>
      <c r="AD405">
        <v>2</v>
      </c>
      <c r="AE405">
        <v>3</v>
      </c>
      <c r="AF405">
        <v>10</v>
      </c>
      <c r="AG405">
        <v>7</v>
      </c>
      <c r="AH405">
        <v>0</v>
      </c>
      <c r="AI405">
        <v>7</v>
      </c>
      <c r="AJ405">
        <f t="shared" si="60"/>
        <v>0</v>
      </c>
      <c r="AK405">
        <f t="shared" si="61"/>
        <v>0</v>
      </c>
      <c r="AL405">
        <f t="shared" si="62"/>
        <v>1</v>
      </c>
      <c r="AM405">
        <f t="shared" si="63"/>
        <v>2.25</v>
      </c>
      <c r="AN405">
        <f t="shared" si="64"/>
        <v>9154.9090909090901</v>
      </c>
      <c r="AO405">
        <f t="shared" si="65"/>
        <v>0.90909090909090906</v>
      </c>
      <c r="AP405" t="str">
        <f t="shared" si="66"/>
        <v>40-49</v>
      </c>
      <c r="AQ405" t="str">
        <f t="shared" si="67"/>
        <v>Very High</v>
      </c>
      <c r="AR405" t="str">
        <f t="shared" si="68"/>
        <v>Short</v>
      </c>
      <c r="AS405">
        <f t="shared" si="69"/>
        <v>0</v>
      </c>
    </row>
    <row r="406" spans="1:4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s="20">
        <v>4558</v>
      </c>
      <c r="T406">
        <v>13535</v>
      </c>
      <c r="U406">
        <v>1</v>
      </c>
      <c r="V406" t="s">
        <v>42</v>
      </c>
      <c r="W406" t="s">
        <v>43</v>
      </c>
      <c r="X406" s="19">
        <v>12</v>
      </c>
      <c r="Y406">
        <v>3</v>
      </c>
      <c r="Z406">
        <v>4</v>
      </c>
      <c r="AA406">
        <v>80</v>
      </c>
      <c r="AB406">
        <v>1</v>
      </c>
      <c r="AC406">
        <v>10</v>
      </c>
      <c r="AD406">
        <v>2</v>
      </c>
      <c r="AE406">
        <v>3</v>
      </c>
      <c r="AF406">
        <v>10</v>
      </c>
      <c r="AG406">
        <v>0</v>
      </c>
      <c r="AH406">
        <v>1</v>
      </c>
      <c r="AI406">
        <v>8</v>
      </c>
      <c r="AJ406">
        <f t="shared" si="60"/>
        <v>0</v>
      </c>
      <c r="AK406">
        <f t="shared" si="61"/>
        <v>0</v>
      </c>
      <c r="AL406">
        <f t="shared" si="62"/>
        <v>1</v>
      </c>
      <c r="AM406">
        <f t="shared" si="63"/>
        <v>2.75</v>
      </c>
      <c r="AN406">
        <f t="shared" si="64"/>
        <v>4972.363636363636</v>
      </c>
      <c r="AO406">
        <f t="shared" si="65"/>
        <v>0.90909090909090906</v>
      </c>
      <c r="AP406" t="str">
        <f t="shared" si="66"/>
        <v>Under 30</v>
      </c>
      <c r="AQ406" t="str">
        <f t="shared" si="67"/>
        <v>Medium</v>
      </c>
      <c r="AR406" t="str">
        <f t="shared" si="68"/>
        <v>Long</v>
      </c>
      <c r="AS406">
        <f t="shared" si="69"/>
        <v>0</v>
      </c>
    </row>
    <row r="407" spans="1:4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s="20">
        <v>4031</v>
      </c>
      <c r="T407">
        <v>9396</v>
      </c>
      <c r="U407">
        <v>5</v>
      </c>
      <c r="V407" t="s">
        <v>42</v>
      </c>
      <c r="W407" t="s">
        <v>43</v>
      </c>
      <c r="X407" s="19">
        <v>13</v>
      </c>
      <c r="Y407">
        <v>3</v>
      </c>
      <c r="Z407">
        <v>3</v>
      </c>
      <c r="AA407">
        <v>80</v>
      </c>
      <c r="AB407">
        <v>1</v>
      </c>
      <c r="AC407">
        <v>6</v>
      </c>
      <c r="AD407">
        <v>5</v>
      </c>
      <c r="AE407">
        <v>3</v>
      </c>
      <c r="AF407">
        <v>2</v>
      </c>
      <c r="AG407">
        <v>2</v>
      </c>
      <c r="AH407">
        <v>0</v>
      </c>
      <c r="AI407">
        <v>2</v>
      </c>
      <c r="AJ407">
        <f t="shared" si="60"/>
        <v>1</v>
      </c>
      <c r="AK407">
        <f t="shared" si="61"/>
        <v>0</v>
      </c>
      <c r="AL407">
        <f t="shared" si="62"/>
        <v>1</v>
      </c>
      <c r="AM407">
        <f t="shared" si="63"/>
        <v>2</v>
      </c>
      <c r="AN407">
        <f t="shared" si="64"/>
        <v>16124</v>
      </c>
      <c r="AO407">
        <f t="shared" si="65"/>
        <v>0.2857142857142857</v>
      </c>
      <c r="AP407" t="str">
        <f t="shared" si="66"/>
        <v>Under 30</v>
      </c>
      <c r="AQ407" t="str">
        <f t="shared" si="67"/>
        <v>Medium</v>
      </c>
      <c r="AR407" t="str">
        <f t="shared" si="68"/>
        <v>Short</v>
      </c>
      <c r="AS407">
        <f t="shared" si="69"/>
        <v>0</v>
      </c>
    </row>
    <row r="408" spans="1:4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s="20">
        <v>7969</v>
      </c>
      <c r="T408">
        <v>19609</v>
      </c>
      <c r="U408">
        <v>2</v>
      </c>
      <c r="V408" t="s">
        <v>42</v>
      </c>
      <c r="W408" t="s">
        <v>35</v>
      </c>
      <c r="X408" s="19">
        <v>14</v>
      </c>
      <c r="Y408">
        <v>3</v>
      </c>
      <c r="Z408">
        <v>3</v>
      </c>
      <c r="AA408">
        <v>80</v>
      </c>
      <c r="AB408">
        <v>0</v>
      </c>
      <c r="AC408">
        <v>28</v>
      </c>
      <c r="AD408">
        <v>4</v>
      </c>
      <c r="AE408">
        <v>3</v>
      </c>
      <c r="AF408">
        <v>5</v>
      </c>
      <c r="AG408">
        <v>4</v>
      </c>
      <c r="AH408">
        <v>0</v>
      </c>
      <c r="AI408">
        <v>4</v>
      </c>
      <c r="AJ408">
        <f t="shared" si="60"/>
        <v>0</v>
      </c>
      <c r="AK408">
        <f t="shared" si="61"/>
        <v>1</v>
      </c>
      <c r="AL408">
        <f t="shared" si="62"/>
        <v>1</v>
      </c>
      <c r="AM408">
        <f t="shared" si="63"/>
        <v>3.25</v>
      </c>
      <c r="AN408">
        <f t="shared" si="64"/>
        <v>15938</v>
      </c>
      <c r="AO408">
        <f t="shared" si="65"/>
        <v>0.17241379310344829</v>
      </c>
      <c r="AP408" t="str">
        <f t="shared" si="66"/>
        <v>50+</v>
      </c>
      <c r="AQ408" t="str">
        <f t="shared" si="67"/>
        <v>High</v>
      </c>
      <c r="AR408" t="str">
        <f t="shared" si="68"/>
        <v>Short</v>
      </c>
      <c r="AS408">
        <f t="shared" si="69"/>
        <v>0</v>
      </c>
    </row>
    <row r="409" spans="1:4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s="20">
        <v>2654</v>
      </c>
      <c r="T409">
        <v>9655</v>
      </c>
      <c r="U409">
        <v>3</v>
      </c>
      <c r="V409" t="s">
        <v>42</v>
      </c>
      <c r="W409" t="s">
        <v>43</v>
      </c>
      <c r="X409" s="19">
        <v>21</v>
      </c>
      <c r="Y409">
        <v>4</v>
      </c>
      <c r="Z409">
        <v>4</v>
      </c>
      <c r="AA409">
        <v>80</v>
      </c>
      <c r="AB409">
        <v>2</v>
      </c>
      <c r="AC409">
        <v>8</v>
      </c>
      <c r="AD409">
        <v>3</v>
      </c>
      <c r="AE409">
        <v>2</v>
      </c>
      <c r="AF409">
        <v>2</v>
      </c>
      <c r="AG409">
        <v>2</v>
      </c>
      <c r="AH409">
        <v>0</v>
      </c>
      <c r="AI409">
        <v>2</v>
      </c>
      <c r="AJ409">
        <f t="shared" si="60"/>
        <v>0</v>
      </c>
      <c r="AK409">
        <f t="shared" si="61"/>
        <v>0</v>
      </c>
      <c r="AL409">
        <f t="shared" si="62"/>
        <v>1</v>
      </c>
      <c r="AM409">
        <f t="shared" si="63"/>
        <v>2.75</v>
      </c>
      <c r="AN409">
        <f t="shared" si="64"/>
        <v>10616</v>
      </c>
      <c r="AO409">
        <f t="shared" si="65"/>
        <v>0.22222222222222221</v>
      </c>
      <c r="AP409" t="str">
        <f t="shared" si="66"/>
        <v>40-49</v>
      </c>
      <c r="AQ409" t="str">
        <f t="shared" si="67"/>
        <v>Low</v>
      </c>
      <c r="AR409" t="str">
        <f t="shared" si="68"/>
        <v>Medium</v>
      </c>
      <c r="AS409">
        <f t="shared" si="69"/>
        <v>0</v>
      </c>
    </row>
    <row r="410" spans="1:4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s="20">
        <v>16555</v>
      </c>
      <c r="T410">
        <v>10310</v>
      </c>
      <c r="U410">
        <v>2</v>
      </c>
      <c r="V410" t="s">
        <v>42</v>
      </c>
      <c r="W410" t="s">
        <v>43</v>
      </c>
      <c r="X410" s="19">
        <v>13</v>
      </c>
      <c r="Y410">
        <v>3</v>
      </c>
      <c r="Z410">
        <v>4</v>
      </c>
      <c r="AA410">
        <v>80</v>
      </c>
      <c r="AB410">
        <v>0</v>
      </c>
      <c r="AC410">
        <v>31</v>
      </c>
      <c r="AD410">
        <v>2</v>
      </c>
      <c r="AE410">
        <v>1</v>
      </c>
      <c r="AF410">
        <v>5</v>
      </c>
      <c r="AG410">
        <v>2</v>
      </c>
      <c r="AH410">
        <v>1</v>
      </c>
      <c r="AI410">
        <v>4</v>
      </c>
      <c r="AJ410">
        <f t="shared" si="60"/>
        <v>0</v>
      </c>
      <c r="AK410">
        <f t="shared" si="61"/>
        <v>0</v>
      </c>
      <c r="AL410">
        <f t="shared" si="62"/>
        <v>0</v>
      </c>
      <c r="AM410">
        <f t="shared" si="63"/>
        <v>3.25</v>
      </c>
      <c r="AN410">
        <f t="shared" si="64"/>
        <v>33110</v>
      </c>
      <c r="AO410">
        <f t="shared" si="65"/>
        <v>0.15625</v>
      </c>
      <c r="AP410" t="str">
        <f t="shared" si="66"/>
        <v>50+</v>
      </c>
      <c r="AQ410" t="str">
        <f t="shared" si="67"/>
        <v>Very High</v>
      </c>
      <c r="AR410" t="str">
        <f t="shared" si="68"/>
        <v>Short</v>
      </c>
      <c r="AS410">
        <f t="shared" si="69"/>
        <v>0</v>
      </c>
    </row>
    <row r="411" spans="1:4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s="20">
        <v>4556</v>
      </c>
      <c r="T411">
        <v>12932</v>
      </c>
      <c r="U411">
        <v>2</v>
      </c>
      <c r="V411" t="s">
        <v>42</v>
      </c>
      <c r="W411" t="s">
        <v>43</v>
      </c>
      <c r="X411" s="19">
        <v>11</v>
      </c>
      <c r="Y411">
        <v>3</v>
      </c>
      <c r="Z411">
        <v>2</v>
      </c>
      <c r="AA411">
        <v>80</v>
      </c>
      <c r="AB411">
        <v>1</v>
      </c>
      <c r="AC411">
        <v>19</v>
      </c>
      <c r="AD411">
        <v>3</v>
      </c>
      <c r="AE411">
        <v>3</v>
      </c>
      <c r="AF411">
        <v>5</v>
      </c>
      <c r="AG411">
        <v>4</v>
      </c>
      <c r="AH411">
        <v>0</v>
      </c>
      <c r="AI411">
        <v>2</v>
      </c>
      <c r="AJ411">
        <f t="shared" si="60"/>
        <v>0</v>
      </c>
      <c r="AK411">
        <f t="shared" si="61"/>
        <v>0</v>
      </c>
      <c r="AL411">
        <f t="shared" si="62"/>
        <v>0</v>
      </c>
      <c r="AM411">
        <f t="shared" si="63"/>
        <v>2.25</v>
      </c>
      <c r="AN411">
        <f t="shared" si="64"/>
        <v>9112</v>
      </c>
      <c r="AO411">
        <f t="shared" si="65"/>
        <v>0.25</v>
      </c>
      <c r="AP411" t="str">
        <f t="shared" si="66"/>
        <v>40-49</v>
      </c>
      <c r="AQ411" t="str">
        <f t="shared" si="67"/>
        <v>Medium</v>
      </c>
      <c r="AR411" t="str">
        <f t="shared" si="68"/>
        <v>Long</v>
      </c>
      <c r="AS411">
        <f t="shared" si="69"/>
        <v>1</v>
      </c>
    </row>
    <row r="412" spans="1:4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s="20">
        <v>6091</v>
      </c>
      <c r="T412">
        <v>24793</v>
      </c>
      <c r="U412">
        <v>2</v>
      </c>
      <c r="V412" t="s">
        <v>42</v>
      </c>
      <c r="W412" t="s">
        <v>43</v>
      </c>
      <c r="X412" s="19">
        <v>20</v>
      </c>
      <c r="Y412">
        <v>4</v>
      </c>
      <c r="Z412">
        <v>3</v>
      </c>
      <c r="AA412">
        <v>80</v>
      </c>
      <c r="AB412">
        <v>0</v>
      </c>
      <c r="AC412">
        <v>11</v>
      </c>
      <c r="AD412">
        <v>2</v>
      </c>
      <c r="AE412">
        <v>3</v>
      </c>
      <c r="AF412">
        <v>5</v>
      </c>
      <c r="AG412">
        <v>4</v>
      </c>
      <c r="AH412">
        <v>0</v>
      </c>
      <c r="AI412">
        <v>2</v>
      </c>
      <c r="AJ412">
        <f t="shared" si="60"/>
        <v>0</v>
      </c>
      <c r="AK412">
        <f t="shared" si="61"/>
        <v>0</v>
      </c>
      <c r="AL412">
        <f t="shared" si="62"/>
        <v>0</v>
      </c>
      <c r="AM412">
        <f t="shared" si="63"/>
        <v>3.25</v>
      </c>
      <c r="AN412">
        <f t="shared" si="64"/>
        <v>12182</v>
      </c>
      <c r="AO412">
        <f t="shared" si="65"/>
        <v>0.41666666666666669</v>
      </c>
      <c r="AP412" t="str">
        <f t="shared" si="66"/>
        <v>30-39</v>
      </c>
      <c r="AQ412" t="str">
        <f t="shared" si="67"/>
        <v>High</v>
      </c>
      <c r="AR412" t="str">
        <f t="shared" si="68"/>
        <v>Short</v>
      </c>
      <c r="AS412">
        <f t="shared" si="69"/>
        <v>0</v>
      </c>
    </row>
    <row r="413" spans="1:4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s="20">
        <v>19566</v>
      </c>
      <c r="T413">
        <v>3854</v>
      </c>
      <c r="U413">
        <v>5</v>
      </c>
      <c r="V413" t="s">
        <v>42</v>
      </c>
      <c r="W413" t="s">
        <v>43</v>
      </c>
      <c r="X413" s="19">
        <v>11</v>
      </c>
      <c r="Y413">
        <v>3</v>
      </c>
      <c r="Z413">
        <v>4</v>
      </c>
      <c r="AA413">
        <v>80</v>
      </c>
      <c r="AB413">
        <v>0</v>
      </c>
      <c r="AC413">
        <v>33</v>
      </c>
      <c r="AD413">
        <v>5</v>
      </c>
      <c r="AE413">
        <v>1</v>
      </c>
      <c r="AF413">
        <v>29</v>
      </c>
      <c r="AG413">
        <v>8</v>
      </c>
      <c r="AH413">
        <v>11</v>
      </c>
      <c r="AI413">
        <v>10</v>
      </c>
      <c r="AJ413">
        <f t="shared" si="60"/>
        <v>0</v>
      </c>
      <c r="AK413">
        <f t="shared" si="61"/>
        <v>0</v>
      </c>
      <c r="AL413">
        <f t="shared" si="62"/>
        <v>0</v>
      </c>
      <c r="AM413">
        <f t="shared" si="63"/>
        <v>1.75</v>
      </c>
      <c r="AN413">
        <f t="shared" si="64"/>
        <v>7826.4</v>
      </c>
      <c r="AO413">
        <f t="shared" si="65"/>
        <v>0.8529411764705882</v>
      </c>
      <c r="AP413" t="str">
        <f t="shared" si="66"/>
        <v>50+</v>
      </c>
      <c r="AQ413" t="str">
        <f t="shared" si="67"/>
        <v>Very High</v>
      </c>
      <c r="AR413" t="str">
        <f t="shared" si="68"/>
        <v>Medium</v>
      </c>
      <c r="AS413">
        <f t="shared" si="69"/>
        <v>0</v>
      </c>
    </row>
    <row r="414" spans="1:4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s="20">
        <v>4810</v>
      </c>
      <c r="T414">
        <v>26314</v>
      </c>
      <c r="U414">
        <v>2</v>
      </c>
      <c r="V414" t="s">
        <v>42</v>
      </c>
      <c r="W414" t="s">
        <v>43</v>
      </c>
      <c r="X414" s="19">
        <v>14</v>
      </c>
      <c r="Y414">
        <v>3</v>
      </c>
      <c r="Z414">
        <v>3</v>
      </c>
      <c r="AA414">
        <v>80</v>
      </c>
      <c r="AB414">
        <v>1</v>
      </c>
      <c r="AC414">
        <v>19</v>
      </c>
      <c r="AD414">
        <v>5</v>
      </c>
      <c r="AE414">
        <v>2</v>
      </c>
      <c r="AF414">
        <v>10</v>
      </c>
      <c r="AG414">
        <v>7</v>
      </c>
      <c r="AH414">
        <v>0</v>
      </c>
      <c r="AI414">
        <v>8</v>
      </c>
      <c r="AJ414">
        <f t="shared" si="60"/>
        <v>0</v>
      </c>
      <c r="AK414">
        <f t="shared" si="61"/>
        <v>0</v>
      </c>
      <c r="AL414">
        <f t="shared" si="62"/>
        <v>0</v>
      </c>
      <c r="AM414">
        <f t="shared" si="63"/>
        <v>2.75</v>
      </c>
      <c r="AN414">
        <f t="shared" si="64"/>
        <v>5247.272727272727</v>
      </c>
      <c r="AO414">
        <f t="shared" si="65"/>
        <v>0.5</v>
      </c>
      <c r="AP414" t="str">
        <f t="shared" si="66"/>
        <v>40-49</v>
      </c>
      <c r="AQ414" t="str">
        <f t="shared" si="67"/>
        <v>Medium</v>
      </c>
      <c r="AR414" t="str">
        <f t="shared" si="68"/>
        <v>Long</v>
      </c>
      <c r="AS414">
        <f t="shared" si="69"/>
        <v>0</v>
      </c>
    </row>
    <row r="415" spans="1:4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s="20">
        <v>4523</v>
      </c>
      <c r="T415">
        <v>4386</v>
      </c>
      <c r="U415">
        <v>0</v>
      </c>
      <c r="V415" t="s">
        <v>42</v>
      </c>
      <c r="W415" t="s">
        <v>43</v>
      </c>
      <c r="X415" s="19">
        <v>11</v>
      </c>
      <c r="Y415">
        <v>3</v>
      </c>
      <c r="Z415">
        <v>4</v>
      </c>
      <c r="AA415">
        <v>80</v>
      </c>
      <c r="AB415">
        <v>3</v>
      </c>
      <c r="AC415">
        <v>7</v>
      </c>
      <c r="AD415">
        <v>4</v>
      </c>
      <c r="AE415">
        <v>4</v>
      </c>
      <c r="AF415">
        <v>6</v>
      </c>
      <c r="AG415">
        <v>5</v>
      </c>
      <c r="AH415">
        <v>0</v>
      </c>
      <c r="AI415">
        <v>4</v>
      </c>
      <c r="AJ415">
        <f t="shared" si="60"/>
        <v>0</v>
      </c>
      <c r="AK415">
        <f t="shared" si="61"/>
        <v>0</v>
      </c>
      <c r="AL415">
        <f t="shared" si="62"/>
        <v>0</v>
      </c>
      <c r="AM415">
        <f t="shared" si="63"/>
        <v>4</v>
      </c>
      <c r="AN415">
        <f t="shared" si="64"/>
        <v>7753.7142857142853</v>
      </c>
      <c r="AO415">
        <f t="shared" si="65"/>
        <v>0.75</v>
      </c>
      <c r="AP415" t="str">
        <f t="shared" si="66"/>
        <v>40-49</v>
      </c>
      <c r="AQ415" t="str">
        <f t="shared" si="67"/>
        <v>Medium</v>
      </c>
      <c r="AR415" t="str">
        <f t="shared" si="68"/>
        <v>Long</v>
      </c>
      <c r="AS415">
        <f t="shared" si="69"/>
        <v>1</v>
      </c>
    </row>
    <row r="416" spans="1:4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s="20">
        <v>3202</v>
      </c>
      <c r="T416">
        <v>21972</v>
      </c>
      <c r="U416">
        <v>1</v>
      </c>
      <c r="V416" t="s">
        <v>42</v>
      </c>
      <c r="W416" t="s">
        <v>35</v>
      </c>
      <c r="X416" s="19">
        <v>16</v>
      </c>
      <c r="Y416">
        <v>3</v>
      </c>
      <c r="Z416">
        <v>2</v>
      </c>
      <c r="AA416">
        <v>80</v>
      </c>
      <c r="AB416">
        <v>0</v>
      </c>
      <c r="AC416">
        <v>6</v>
      </c>
      <c r="AD416">
        <v>4</v>
      </c>
      <c r="AE416">
        <v>3</v>
      </c>
      <c r="AF416">
        <v>5</v>
      </c>
      <c r="AG416">
        <v>3</v>
      </c>
      <c r="AH416">
        <v>1</v>
      </c>
      <c r="AI416">
        <v>4</v>
      </c>
      <c r="AJ416">
        <f t="shared" si="60"/>
        <v>1</v>
      </c>
      <c r="AK416">
        <f t="shared" si="61"/>
        <v>1</v>
      </c>
      <c r="AL416">
        <f t="shared" si="62"/>
        <v>0</v>
      </c>
      <c r="AM416">
        <f t="shared" si="63"/>
        <v>2</v>
      </c>
      <c r="AN416">
        <f t="shared" si="64"/>
        <v>6404</v>
      </c>
      <c r="AO416">
        <f t="shared" si="65"/>
        <v>0.7142857142857143</v>
      </c>
      <c r="AP416" t="str">
        <f t="shared" si="66"/>
        <v>Under 30</v>
      </c>
      <c r="AQ416" t="str">
        <f t="shared" si="67"/>
        <v>Medium</v>
      </c>
      <c r="AR416" t="str">
        <f t="shared" si="68"/>
        <v>Short</v>
      </c>
      <c r="AS416">
        <f t="shared" si="69"/>
        <v>0</v>
      </c>
    </row>
    <row r="417" spans="1:4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s="20">
        <v>2351</v>
      </c>
      <c r="T417">
        <v>12253</v>
      </c>
      <c r="U417">
        <v>0</v>
      </c>
      <c r="V417" t="s">
        <v>42</v>
      </c>
      <c r="W417" t="s">
        <v>43</v>
      </c>
      <c r="X417" s="19">
        <v>16</v>
      </c>
      <c r="Y417">
        <v>3</v>
      </c>
      <c r="Z417">
        <v>4</v>
      </c>
      <c r="AA417">
        <v>80</v>
      </c>
      <c r="AB417">
        <v>1</v>
      </c>
      <c r="AC417">
        <v>3</v>
      </c>
      <c r="AD417">
        <v>3</v>
      </c>
      <c r="AE417">
        <v>2</v>
      </c>
      <c r="AF417">
        <v>2</v>
      </c>
      <c r="AG417">
        <v>2</v>
      </c>
      <c r="AH417">
        <v>1</v>
      </c>
      <c r="AI417">
        <v>0</v>
      </c>
      <c r="AJ417">
        <f t="shared" si="60"/>
        <v>1</v>
      </c>
      <c r="AK417">
        <f t="shared" si="61"/>
        <v>0</v>
      </c>
      <c r="AL417">
        <f t="shared" si="62"/>
        <v>0</v>
      </c>
      <c r="AM417">
        <f t="shared" si="63"/>
        <v>3.25</v>
      </c>
      <c r="AN417">
        <f t="shared" si="64"/>
        <v>9404</v>
      </c>
      <c r="AO417">
        <f t="shared" si="65"/>
        <v>0.5</v>
      </c>
      <c r="AP417" t="str">
        <f t="shared" si="66"/>
        <v>30-39</v>
      </c>
      <c r="AQ417" t="str">
        <f t="shared" si="67"/>
        <v>Low</v>
      </c>
      <c r="AR417" t="str">
        <f t="shared" si="68"/>
        <v>Medium</v>
      </c>
      <c r="AS417">
        <f t="shared" si="69"/>
        <v>1</v>
      </c>
    </row>
    <row r="418" spans="1:4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s="20">
        <v>1702</v>
      </c>
      <c r="T418">
        <v>12106</v>
      </c>
      <c r="U418">
        <v>1</v>
      </c>
      <c r="V418" t="s">
        <v>42</v>
      </c>
      <c r="W418" t="s">
        <v>35</v>
      </c>
      <c r="X418" s="19">
        <v>23</v>
      </c>
      <c r="Y418">
        <v>4</v>
      </c>
      <c r="Z418">
        <v>3</v>
      </c>
      <c r="AA418">
        <v>80</v>
      </c>
      <c r="AB418">
        <v>1</v>
      </c>
      <c r="AC418">
        <v>1</v>
      </c>
      <c r="AD418">
        <v>3</v>
      </c>
      <c r="AE418">
        <v>3</v>
      </c>
      <c r="AF418">
        <v>1</v>
      </c>
      <c r="AG418">
        <v>0</v>
      </c>
      <c r="AH418">
        <v>0</v>
      </c>
      <c r="AI418">
        <v>0</v>
      </c>
      <c r="AJ418">
        <f t="shared" si="60"/>
        <v>0</v>
      </c>
      <c r="AK418">
        <f t="shared" si="61"/>
        <v>1</v>
      </c>
      <c r="AL418">
        <f t="shared" si="62"/>
        <v>1</v>
      </c>
      <c r="AM418">
        <f t="shared" si="63"/>
        <v>3.5</v>
      </c>
      <c r="AN418">
        <f t="shared" si="64"/>
        <v>10212</v>
      </c>
      <c r="AO418">
        <f t="shared" si="65"/>
        <v>0.5</v>
      </c>
      <c r="AP418" t="str">
        <f t="shared" si="66"/>
        <v>30-39</v>
      </c>
      <c r="AQ418" t="str">
        <f t="shared" si="67"/>
        <v>Low</v>
      </c>
      <c r="AR418" t="str">
        <f t="shared" si="68"/>
        <v>Short</v>
      </c>
      <c r="AS418">
        <f t="shared" si="69"/>
        <v>1</v>
      </c>
    </row>
    <row r="419" spans="1:4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s="20">
        <v>18041</v>
      </c>
      <c r="T419">
        <v>13022</v>
      </c>
      <c r="U419">
        <v>0</v>
      </c>
      <c r="V419" t="s">
        <v>42</v>
      </c>
      <c r="W419" t="s">
        <v>43</v>
      </c>
      <c r="X419" s="19">
        <v>14</v>
      </c>
      <c r="Y419">
        <v>3</v>
      </c>
      <c r="Z419">
        <v>4</v>
      </c>
      <c r="AA419">
        <v>80</v>
      </c>
      <c r="AB419">
        <v>0</v>
      </c>
      <c r="AC419">
        <v>21</v>
      </c>
      <c r="AD419">
        <v>2</v>
      </c>
      <c r="AE419">
        <v>3</v>
      </c>
      <c r="AF419">
        <v>20</v>
      </c>
      <c r="AG419">
        <v>15</v>
      </c>
      <c r="AH419">
        <v>1</v>
      </c>
      <c r="AI419">
        <v>12</v>
      </c>
      <c r="AJ419">
        <f t="shared" si="60"/>
        <v>0</v>
      </c>
      <c r="AK419">
        <f t="shared" si="61"/>
        <v>0</v>
      </c>
      <c r="AL419">
        <f t="shared" si="62"/>
        <v>0</v>
      </c>
      <c r="AM419">
        <f t="shared" si="63"/>
        <v>3.25</v>
      </c>
      <c r="AN419">
        <f t="shared" si="64"/>
        <v>10309.142857142857</v>
      </c>
      <c r="AO419">
        <f t="shared" si="65"/>
        <v>0.90909090909090906</v>
      </c>
      <c r="AP419" t="str">
        <f t="shared" si="66"/>
        <v>40-49</v>
      </c>
      <c r="AQ419" t="str">
        <f t="shared" si="67"/>
        <v>Very High</v>
      </c>
      <c r="AR419" t="str">
        <f t="shared" si="68"/>
        <v>Short</v>
      </c>
      <c r="AS419">
        <f t="shared" si="69"/>
        <v>0</v>
      </c>
    </row>
    <row r="420" spans="1:4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s="20">
        <v>2886</v>
      </c>
      <c r="T420">
        <v>3032</v>
      </c>
      <c r="U420">
        <v>1</v>
      </c>
      <c r="V420" t="s">
        <v>42</v>
      </c>
      <c r="W420" t="s">
        <v>43</v>
      </c>
      <c r="X420" s="19">
        <v>22</v>
      </c>
      <c r="Y420">
        <v>4</v>
      </c>
      <c r="Z420">
        <v>2</v>
      </c>
      <c r="AA420">
        <v>80</v>
      </c>
      <c r="AB420">
        <v>2</v>
      </c>
      <c r="AC420">
        <v>3</v>
      </c>
      <c r="AD420">
        <v>3</v>
      </c>
      <c r="AE420">
        <v>1</v>
      </c>
      <c r="AF420">
        <v>3</v>
      </c>
      <c r="AG420">
        <v>2</v>
      </c>
      <c r="AH420">
        <v>0</v>
      </c>
      <c r="AI420">
        <v>2</v>
      </c>
      <c r="AJ420">
        <f t="shared" si="60"/>
        <v>0</v>
      </c>
      <c r="AK420">
        <f t="shared" si="61"/>
        <v>0</v>
      </c>
      <c r="AL420">
        <f t="shared" si="62"/>
        <v>0</v>
      </c>
      <c r="AM420">
        <f t="shared" si="63"/>
        <v>2</v>
      </c>
      <c r="AN420">
        <f t="shared" si="64"/>
        <v>8658</v>
      </c>
      <c r="AO420">
        <f t="shared" si="65"/>
        <v>0.75</v>
      </c>
      <c r="AP420" t="str">
        <f t="shared" si="66"/>
        <v>Under 30</v>
      </c>
      <c r="AQ420" t="str">
        <f t="shared" si="67"/>
        <v>Low</v>
      </c>
      <c r="AR420" t="str">
        <f t="shared" si="68"/>
        <v>Long</v>
      </c>
      <c r="AS420">
        <f t="shared" si="69"/>
        <v>0</v>
      </c>
    </row>
    <row r="421" spans="1:4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s="20">
        <v>2097</v>
      </c>
      <c r="T421">
        <v>16734</v>
      </c>
      <c r="U421">
        <v>4</v>
      </c>
      <c r="V421" t="s">
        <v>42</v>
      </c>
      <c r="W421" t="s">
        <v>43</v>
      </c>
      <c r="X421" s="19">
        <v>15</v>
      </c>
      <c r="Y421">
        <v>3</v>
      </c>
      <c r="Z421">
        <v>3</v>
      </c>
      <c r="AA421">
        <v>80</v>
      </c>
      <c r="AB421">
        <v>1</v>
      </c>
      <c r="AC421">
        <v>9</v>
      </c>
      <c r="AD421">
        <v>3</v>
      </c>
      <c r="AE421">
        <v>1</v>
      </c>
      <c r="AF421">
        <v>5</v>
      </c>
      <c r="AG421">
        <v>3</v>
      </c>
      <c r="AH421">
        <v>1</v>
      </c>
      <c r="AI421">
        <v>4</v>
      </c>
      <c r="AJ421">
        <f t="shared" si="60"/>
        <v>0</v>
      </c>
      <c r="AK421">
        <f t="shared" si="61"/>
        <v>0</v>
      </c>
      <c r="AL421">
        <f t="shared" si="62"/>
        <v>1</v>
      </c>
      <c r="AM421">
        <f t="shared" si="63"/>
        <v>2.75</v>
      </c>
      <c r="AN421">
        <f t="shared" si="64"/>
        <v>4194</v>
      </c>
      <c r="AO421">
        <f t="shared" si="65"/>
        <v>0.5</v>
      </c>
      <c r="AP421" t="str">
        <f t="shared" si="66"/>
        <v>30-39</v>
      </c>
      <c r="AQ421" t="str">
        <f t="shared" si="67"/>
        <v>Low</v>
      </c>
      <c r="AR421" t="str">
        <f t="shared" si="68"/>
        <v>Short</v>
      </c>
      <c r="AS421">
        <f t="shared" si="69"/>
        <v>0</v>
      </c>
    </row>
    <row r="422" spans="1:4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s="20">
        <v>11935</v>
      </c>
      <c r="T422">
        <v>21526</v>
      </c>
      <c r="U422">
        <v>1</v>
      </c>
      <c r="V422" t="s">
        <v>42</v>
      </c>
      <c r="W422" t="s">
        <v>43</v>
      </c>
      <c r="X422" s="19">
        <v>18</v>
      </c>
      <c r="Y422">
        <v>3</v>
      </c>
      <c r="Z422">
        <v>3</v>
      </c>
      <c r="AA422">
        <v>80</v>
      </c>
      <c r="AB422">
        <v>0</v>
      </c>
      <c r="AC422">
        <v>10</v>
      </c>
      <c r="AD422">
        <v>2</v>
      </c>
      <c r="AE422">
        <v>3</v>
      </c>
      <c r="AF422">
        <v>10</v>
      </c>
      <c r="AG422">
        <v>2</v>
      </c>
      <c r="AH422">
        <v>0</v>
      </c>
      <c r="AI422">
        <v>7</v>
      </c>
      <c r="AJ422">
        <f t="shared" si="60"/>
        <v>0</v>
      </c>
      <c r="AK422">
        <f t="shared" si="61"/>
        <v>0</v>
      </c>
      <c r="AL422">
        <f t="shared" si="62"/>
        <v>1</v>
      </c>
      <c r="AM422">
        <f t="shared" si="63"/>
        <v>2.75</v>
      </c>
      <c r="AN422">
        <f t="shared" si="64"/>
        <v>13020</v>
      </c>
      <c r="AO422">
        <f t="shared" si="65"/>
        <v>0.90909090909090906</v>
      </c>
      <c r="AP422" t="str">
        <f t="shared" si="66"/>
        <v>Under 30</v>
      </c>
      <c r="AQ422" t="str">
        <f t="shared" si="67"/>
        <v>Very High</v>
      </c>
      <c r="AR422" t="str">
        <f t="shared" si="68"/>
        <v>Short</v>
      </c>
      <c r="AS422">
        <f t="shared" si="69"/>
        <v>0</v>
      </c>
    </row>
    <row r="423" spans="1:4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s="20">
        <v>2546</v>
      </c>
      <c r="T423">
        <v>18300</v>
      </c>
      <c r="U423">
        <v>5</v>
      </c>
      <c r="V423" t="s">
        <v>42</v>
      </c>
      <c r="W423" t="s">
        <v>43</v>
      </c>
      <c r="X423" s="19">
        <v>16</v>
      </c>
      <c r="Y423">
        <v>3</v>
      </c>
      <c r="Z423">
        <v>2</v>
      </c>
      <c r="AA423">
        <v>80</v>
      </c>
      <c r="AB423">
        <v>0</v>
      </c>
      <c r="AC423">
        <v>6</v>
      </c>
      <c r="AD423">
        <v>2</v>
      </c>
      <c r="AE423">
        <v>4</v>
      </c>
      <c r="AF423">
        <v>2</v>
      </c>
      <c r="AG423">
        <v>2</v>
      </c>
      <c r="AH423">
        <v>1</v>
      </c>
      <c r="AI423">
        <v>1</v>
      </c>
      <c r="AJ423">
        <f t="shared" si="60"/>
        <v>1</v>
      </c>
      <c r="AK423">
        <f t="shared" si="61"/>
        <v>0</v>
      </c>
      <c r="AL423">
        <f t="shared" si="62"/>
        <v>0</v>
      </c>
      <c r="AM423">
        <f t="shared" si="63"/>
        <v>2.75</v>
      </c>
      <c r="AN423">
        <f t="shared" si="64"/>
        <v>10184</v>
      </c>
      <c r="AO423">
        <f t="shared" si="65"/>
        <v>0.2857142857142857</v>
      </c>
      <c r="AP423" t="str">
        <f t="shared" si="66"/>
        <v>Under 30</v>
      </c>
      <c r="AQ423" t="str">
        <f t="shared" si="67"/>
        <v>Low</v>
      </c>
      <c r="AR423" t="str">
        <f t="shared" si="68"/>
        <v>Long</v>
      </c>
      <c r="AS423">
        <f t="shared" si="69"/>
        <v>0</v>
      </c>
    </row>
    <row r="424" spans="1:4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s="20">
        <v>2564</v>
      </c>
      <c r="T424">
        <v>18437</v>
      </c>
      <c r="U424">
        <v>1</v>
      </c>
      <c r="V424" t="s">
        <v>42</v>
      </c>
      <c r="W424" t="s">
        <v>43</v>
      </c>
      <c r="X424" s="19">
        <v>12</v>
      </c>
      <c r="Y424">
        <v>3</v>
      </c>
      <c r="Z424">
        <v>3</v>
      </c>
      <c r="AA424">
        <v>80</v>
      </c>
      <c r="AB424">
        <v>0</v>
      </c>
      <c r="AC424">
        <v>1</v>
      </c>
      <c r="AD424">
        <v>3</v>
      </c>
      <c r="AE424">
        <v>4</v>
      </c>
      <c r="AF424">
        <v>1</v>
      </c>
      <c r="AG424">
        <v>0</v>
      </c>
      <c r="AH424">
        <v>0</v>
      </c>
      <c r="AI424">
        <v>0</v>
      </c>
      <c r="AJ424">
        <f t="shared" si="60"/>
        <v>1</v>
      </c>
      <c r="AK424">
        <f t="shared" si="61"/>
        <v>0</v>
      </c>
      <c r="AL424">
        <f t="shared" si="62"/>
        <v>1</v>
      </c>
      <c r="AM424">
        <f t="shared" si="63"/>
        <v>3</v>
      </c>
      <c r="AN424">
        <f t="shared" si="64"/>
        <v>15384</v>
      </c>
      <c r="AO424">
        <f t="shared" si="65"/>
        <v>0.5</v>
      </c>
      <c r="AP424" t="str">
        <f t="shared" si="66"/>
        <v>Under 30</v>
      </c>
      <c r="AQ424" t="str">
        <f t="shared" si="67"/>
        <v>Low</v>
      </c>
      <c r="AR424" t="str">
        <f t="shared" si="68"/>
        <v>Short</v>
      </c>
      <c r="AS424">
        <f t="shared" si="69"/>
        <v>0</v>
      </c>
    </row>
    <row r="425" spans="1:4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s="20">
        <v>8412</v>
      </c>
      <c r="T425">
        <v>2890</v>
      </c>
      <c r="U425">
        <v>0</v>
      </c>
      <c r="V425" t="s">
        <v>42</v>
      </c>
      <c r="W425" t="s">
        <v>43</v>
      </c>
      <c r="X425" s="19">
        <v>11</v>
      </c>
      <c r="Y425">
        <v>3</v>
      </c>
      <c r="Z425">
        <v>3</v>
      </c>
      <c r="AA425">
        <v>80</v>
      </c>
      <c r="AB425">
        <v>0</v>
      </c>
      <c r="AC425">
        <v>10</v>
      </c>
      <c r="AD425">
        <v>3</v>
      </c>
      <c r="AE425">
        <v>3</v>
      </c>
      <c r="AF425">
        <v>9</v>
      </c>
      <c r="AG425">
        <v>8</v>
      </c>
      <c r="AH425">
        <v>7</v>
      </c>
      <c r="AI425">
        <v>8</v>
      </c>
      <c r="AJ425">
        <f t="shared" si="60"/>
        <v>0</v>
      </c>
      <c r="AK425">
        <f t="shared" si="61"/>
        <v>0</v>
      </c>
      <c r="AL425">
        <f t="shared" si="62"/>
        <v>0</v>
      </c>
      <c r="AM425">
        <f t="shared" si="63"/>
        <v>2.5</v>
      </c>
      <c r="AN425">
        <f t="shared" si="64"/>
        <v>10094.4</v>
      </c>
      <c r="AO425">
        <f t="shared" si="65"/>
        <v>0.81818181818181823</v>
      </c>
      <c r="AP425" t="str">
        <f t="shared" si="66"/>
        <v>30-39</v>
      </c>
      <c r="AQ425" t="str">
        <f t="shared" si="67"/>
        <v>Very High</v>
      </c>
      <c r="AR425" t="str">
        <f t="shared" si="68"/>
        <v>Long</v>
      </c>
      <c r="AS425">
        <f t="shared" si="69"/>
        <v>0</v>
      </c>
    </row>
    <row r="426" spans="1:4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s="20">
        <v>14118</v>
      </c>
      <c r="T426">
        <v>22102</v>
      </c>
      <c r="U426">
        <v>3</v>
      </c>
      <c r="V426" t="s">
        <v>42</v>
      </c>
      <c r="W426" t="s">
        <v>43</v>
      </c>
      <c r="X426" s="19">
        <v>12</v>
      </c>
      <c r="Y426">
        <v>3</v>
      </c>
      <c r="Z426">
        <v>3</v>
      </c>
      <c r="AA426">
        <v>80</v>
      </c>
      <c r="AB426">
        <v>1</v>
      </c>
      <c r="AC426">
        <v>32</v>
      </c>
      <c r="AD426">
        <v>3</v>
      </c>
      <c r="AE426">
        <v>2</v>
      </c>
      <c r="AF426">
        <v>1</v>
      </c>
      <c r="AG426">
        <v>0</v>
      </c>
      <c r="AH426">
        <v>0</v>
      </c>
      <c r="AI426">
        <v>0</v>
      </c>
      <c r="AJ426">
        <f t="shared" si="60"/>
        <v>0</v>
      </c>
      <c r="AK426">
        <f t="shared" si="61"/>
        <v>0</v>
      </c>
      <c r="AL426">
        <f t="shared" si="62"/>
        <v>1</v>
      </c>
      <c r="AM426">
        <f t="shared" si="63"/>
        <v>2.5</v>
      </c>
      <c r="AN426">
        <f t="shared" si="64"/>
        <v>84708</v>
      </c>
      <c r="AO426">
        <f t="shared" si="65"/>
        <v>3.0303030303030304E-2</v>
      </c>
      <c r="AP426" t="str">
        <f t="shared" si="66"/>
        <v>50+</v>
      </c>
      <c r="AQ426" t="str">
        <f t="shared" si="67"/>
        <v>Very High</v>
      </c>
      <c r="AR426" t="str">
        <f t="shared" si="68"/>
        <v>Long</v>
      </c>
      <c r="AS426">
        <f t="shared" si="69"/>
        <v>0</v>
      </c>
    </row>
    <row r="427" spans="1:4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s="20">
        <v>17046</v>
      </c>
      <c r="T427">
        <v>9314</v>
      </c>
      <c r="U427">
        <v>0</v>
      </c>
      <c r="V427" t="s">
        <v>42</v>
      </c>
      <c r="W427" t="s">
        <v>43</v>
      </c>
      <c r="X427" s="19">
        <v>15</v>
      </c>
      <c r="Y427">
        <v>3</v>
      </c>
      <c r="Z427">
        <v>2</v>
      </c>
      <c r="AA427">
        <v>80</v>
      </c>
      <c r="AB427">
        <v>1</v>
      </c>
      <c r="AC427">
        <v>28</v>
      </c>
      <c r="AD427">
        <v>2</v>
      </c>
      <c r="AE427">
        <v>3</v>
      </c>
      <c r="AF427">
        <v>27</v>
      </c>
      <c r="AG427">
        <v>10</v>
      </c>
      <c r="AH427">
        <v>15</v>
      </c>
      <c r="AI427">
        <v>7</v>
      </c>
      <c r="AJ427">
        <f t="shared" si="60"/>
        <v>0</v>
      </c>
      <c r="AK427">
        <f t="shared" si="61"/>
        <v>0</v>
      </c>
      <c r="AL427">
        <f t="shared" si="62"/>
        <v>1</v>
      </c>
      <c r="AM427">
        <f t="shared" si="63"/>
        <v>2.5</v>
      </c>
      <c r="AN427">
        <f t="shared" si="64"/>
        <v>7305.4285714285716</v>
      </c>
      <c r="AO427">
        <f t="shared" si="65"/>
        <v>0.93103448275862066</v>
      </c>
      <c r="AP427" t="str">
        <f t="shared" si="66"/>
        <v>50+</v>
      </c>
      <c r="AQ427" t="str">
        <f t="shared" si="67"/>
        <v>Very High</v>
      </c>
      <c r="AR427" t="str">
        <f t="shared" si="68"/>
        <v>Long</v>
      </c>
      <c r="AS427">
        <f t="shared" si="69"/>
        <v>0</v>
      </c>
    </row>
    <row r="428" spans="1:4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s="20">
        <v>2564</v>
      </c>
      <c r="T428">
        <v>7181</v>
      </c>
      <c r="U428">
        <v>0</v>
      </c>
      <c r="V428" t="s">
        <v>42</v>
      </c>
      <c r="W428" t="s">
        <v>43</v>
      </c>
      <c r="X428" s="19">
        <v>14</v>
      </c>
      <c r="Y428">
        <v>3</v>
      </c>
      <c r="Z428">
        <v>3</v>
      </c>
      <c r="AA428">
        <v>80</v>
      </c>
      <c r="AB428">
        <v>0</v>
      </c>
      <c r="AC428">
        <v>12</v>
      </c>
      <c r="AD428">
        <v>2</v>
      </c>
      <c r="AE428">
        <v>2</v>
      </c>
      <c r="AF428">
        <v>11</v>
      </c>
      <c r="AG428">
        <v>7</v>
      </c>
      <c r="AH428">
        <v>6</v>
      </c>
      <c r="AI428">
        <v>7</v>
      </c>
      <c r="AJ428">
        <f t="shared" si="60"/>
        <v>0</v>
      </c>
      <c r="AK428">
        <f t="shared" si="61"/>
        <v>0</v>
      </c>
      <c r="AL428">
        <f t="shared" si="62"/>
        <v>0</v>
      </c>
      <c r="AM428">
        <f t="shared" si="63"/>
        <v>3</v>
      </c>
      <c r="AN428">
        <f t="shared" si="64"/>
        <v>2564</v>
      </c>
      <c r="AO428">
        <f t="shared" si="65"/>
        <v>0.84615384615384615</v>
      </c>
      <c r="AP428" t="str">
        <f t="shared" si="66"/>
        <v>30-39</v>
      </c>
      <c r="AQ428" t="str">
        <f t="shared" si="67"/>
        <v>Low</v>
      </c>
      <c r="AR428" t="str">
        <f t="shared" si="68"/>
        <v>Short</v>
      </c>
      <c r="AS428">
        <f t="shared" si="69"/>
        <v>0</v>
      </c>
    </row>
    <row r="429" spans="1:4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s="20">
        <v>10266</v>
      </c>
      <c r="T429">
        <v>2845</v>
      </c>
      <c r="U429">
        <v>4</v>
      </c>
      <c r="V429" t="s">
        <v>42</v>
      </c>
      <c r="W429" t="s">
        <v>43</v>
      </c>
      <c r="X429" s="19">
        <v>19</v>
      </c>
      <c r="Y429">
        <v>3</v>
      </c>
      <c r="Z429">
        <v>4</v>
      </c>
      <c r="AA429">
        <v>80</v>
      </c>
      <c r="AB429">
        <v>0</v>
      </c>
      <c r="AC429">
        <v>22</v>
      </c>
      <c r="AD429">
        <v>5</v>
      </c>
      <c r="AE429">
        <v>4</v>
      </c>
      <c r="AF429">
        <v>18</v>
      </c>
      <c r="AG429">
        <v>13</v>
      </c>
      <c r="AH429">
        <v>13</v>
      </c>
      <c r="AI429">
        <v>11</v>
      </c>
      <c r="AJ429">
        <f t="shared" si="60"/>
        <v>0</v>
      </c>
      <c r="AK429">
        <f t="shared" si="61"/>
        <v>0</v>
      </c>
      <c r="AL429">
        <f t="shared" si="62"/>
        <v>0</v>
      </c>
      <c r="AM429">
        <f t="shared" si="63"/>
        <v>3</v>
      </c>
      <c r="AN429">
        <f t="shared" si="64"/>
        <v>6483.7894736842109</v>
      </c>
      <c r="AO429">
        <f t="shared" si="65"/>
        <v>0.78260869565217395</v>
      </c>
      <c r="AP429" t="str">
        <f t="shared" si="66"/>
        <v>50+</v>
      </c>
      <c r="AQ429" t="str">
        <f t="shared" si="67"/>
        <v>Very High</v>
      </c>
      <c r="AR429" t="str">
        <f t="shared" si="68"/>
        <v>Long</v>
      </c>
      <c r="AS429">
        <f t="shared" si="69"/>
        <v>1</v>
      </c>
    </row>
    <row r="430" spans="1:4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s="20">
        <v>5070</v>
      </c>
      <c r="T430">
        <v>7389</v>
      </c>
      <c r="U430">
        <v>5</v>
      </c>
      <c r="V430" t="s">
        <v>42</v>
      </c>
      <c r="W430" t="s">
        <v>43</v>
      </c>
      <c r="X430" s="19">
        <v>13</v>
      </c>
      <c r="Y430">
        <v>3</v>
      </c>
      <c r="Z430">
        <v>3</v>
      </c>
      <c r="AA430">
        <v>80</v>
      </c>
      <c r="AB430">
        <v>3</v>
      </c>
      <c r="AC430">
        <v>20</v>
      </c>
      <c r="AD430">
        <v>2</v>
      </c>
      <c r="AE430">
        <v>3</v>
      </c>
      <c r="AF430">
        <v>5</v>
      </c>
      <c r="AG430">
        <v>0</v>
      </c>
      <c r="AH430">
        <v>0</v>
      </c>
      <c r="AI430">
        <v>4</v>
      </c>
      <c r="AJ430">
        <f t="shared" si="60"/>
        <v>0</v>
      </c>
      <c r="AK430">
        <f t="shared" si="61"/>
        <v>0</v>
      </c>
      <c r="AL430">
        <f t="shared" si="62"/>
        <v>0</v>
      </c>
      <c r="AM430">
        <f t="shared" si="63"/>
        <v>2.75</v>
      </c>
      <c r="AN430">
        <f t="shared" si="64"/>
        <v>10140</v>
      </c>
      <c r="AO430">
        <f t="shared" si="65"/>
        <v>0.23809523809523808</v>
      </c>
      <c r="AP430" t="str">
        <f t="shared" si="66"/>
        <v>40-49</v>
      </c>
      <c r="AQ430" t="str">
        <f t="shared" si="67"/>
        <v>High</v>
      </c>
      <c r="AR430" t="str">
        <f t="shared" si="68"/>
        <v>Short</v>
      </c>
      <c r="AS430">
        <f t="shared" si="69"/>
        <v>0</v>
      </c>
    </row>
    <row r="431" spans="1:4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s="20">
        <v>17861</v>
      </c>
      <c r="T431">
        <v>2288</v>
      </c>
      <c r="U431">
        <v>6</v>
      </c>
      <c r="V431" t="s">
        <v>42</v>
      </c>
      <c r="W431" t="s">
        <v>43</v>
      </c>
      <c r="X431" s="19">
        <v>13</v>
      </c>
      <c r="Y431">
        <v>3</v>
      </c>
      <c r="Z431">
        <v>3</v>
      </c>
      <c r="AA431">
        <v>80</v>
      </c>
      <c r="AB431">
        <v>0</v>
      </c>
      <c r="AC431">
        <v>26</v>
      </c>
      <c r="AD431">
        <v>2</v>
      </c>
      <c r="AE431">
        <v>1</v>
      </c>
      <c r="AF431">
        <v>3</v>
      </c>
      <c r="AG431">
        <v>2</v>
      </c>
      <c r="AH431">
        <v>0</v>
      </c>
      <c r="AI431">
        <v>1</v>
      </c>
      <c r="AJ431">
        <f t="shared" si="60"/>
        <v>0</v>
      </c>
      <c r="AK431">
        <f t="shared" si="61"/>
        <v>0</v>
      </c>
      <c r="AL431">
        <f t="shared" si="62"/>
        <v>1</v>
      </c>
      <c r="AM431">
        <f t="shared" si="63"/>
        <v>2</v>
      </c>
      <c r="AN431">
        <f t="shared" si="64"/>
        <v>53583</v>
      </c>
      <c r="AO431">
        <f t="shared" si="65"/>
        <v>0.1111111111111111</v>
      </c>
      <c r="AP431" t="str">
        <f t="shared" si="66"/>
        <v>40-49</v>
      </c>
      <c r="AQ431" t="str">
        <f t="shared" si="67"/>
        <v>Very High</v>
      </c>
      <c r="AR431" t="str">
        <f t="shared" si="68"/>
        <v>Short</v>
      </c>
      <c r="AS431">
        <f t="shared" si="69"/>
        <v>0</v>
      </c>
    </row>
    <row r="432" spans="1:4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48</v>
      </c>
      <c r="S432" s="20">
        <v>4230</v>
      </c>
      <c r="T432">
        <v>19225</v>
      </c>
      <c r="U432">
        <v>0</v>
      </c>
      <c r="V432" t="s">
        <v>42</v>
      </c>
      <c r="W432" t="s">
        <v>43</v>
      </c>
      <c r="X432" s="19">
        <v>15</v>
      </c>
      <c r="Y432">
        <v>3</v>
      </c>
      <c r="Z432">
        <v>3</v>
      </c>
      <c r="AA432">
        <v>80</v>
      </c>
      <c r="AB432">
        <v>0</v>
      </c>
      <c r="AC432">
        <v>6</v>
      </c>
      <c r="AD432">
        <v>2</v>
      </c>
      <c r="AE432">
        <v>3</v>
      </c>
      <c r="AF432">
        <v>5</v>
      </c>
      <c r="AG432">
        <v>4</v>
      </c>
      <c r="AH432">
        <v>4</v>
      </c>
      <c r="AI432">
        <v>3</v>
      </c>
      <c r="AJ432">
        <f t="shared" si="60"/>
        <v>0</v>
      </c>
      <c r="AK432">
        <f t="shared" si="61"/>
        <v>0</v>
      </c>
      <c r="AL432">
        <f t="shared" si="62"/>
        <v>1</v>
      </c>
      <c r="AM432">
        <f t="shared" si="63"/>
        <v>3.25</v>
      </c>
      <c r="AN432">
        <f t="shared" si="64"/>
        <v>8460</v>
      </c>
      <c r="AO432">
        <f t="shared" si="65"/>
        <v>0.7142857142857143</v>
      </c>
      <c r="AP432" t="str">
        <f t="shared" si="66"/>
        <v>30-39</v>
      </c>
      <c r="AQ432" t="str">
        <f t="shared" si="67"/>
        <v>Medium</v>
      </c>
      <c r="AR432" t="str">
        <f t="shared" si="68"/>
        <v>Long</v>
      </c>
      <c r="AS432">
        <f t="shared" si="69"/>
        <v>0</v>
      </c>
    </row>
    <row r="433" spans="1:4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s="20">
        <v>3780</v>
      </c>
      <c r="T433">
        <v>23428</v>
      </c>
      <c r="U433">
        <v>7</v>
      </c>
      <c r="V433" t="s">
        <v>42</v>
      </c>
      <c r="W433" t="s">
        <v>43</v>
      </c>
      <c r="X433" s="19">
        <v>11</v>
      </c>
      <c r="Y433">
        <v>3</v>
      </c>
      <c r="Z433">
        <v>3</v>
      </c>
      <c r="AA433">
        <v>80</v>
      </c>
      <c r="AB433">
        <v>0</v>
      </c>
      <c r="AC433">
        <v>19</v>
      </c>
      <c r="AD433">
        <v>3</v>
      </c>
      <c r="AE433">
        <v>3</v>
      </c>
      <c r="AF433">
        <v>1</v>
      </c>
      <c r="AG433">
        <v>0</v>
      </c>
      <c r="AH433">
        <v>0</v>
      </c>
      <c r="AI433">
        <v>0</v>
      </c>
      <c r="AJ433">
        <f t="shared" si="60"/>
        <v>0</v>
      </c>
      <c r="AK433">
        <f t="shared" si="61"/>
        <v>0</v>
      </c>
      <c r="AL433">
        <f t="shared" si="62"/>
        <v>0</v>
      </c>
      <c r="AM433">
        <f t="shared" si="63"/>
        <v>3</v>
      </c>
      <c r="AN433">
        <f t="shared" si="64"/>
        <v>22680</v>
      </c>
      <c r="AO433">
        <f t="shared" si="65"/>
        <v>0.05</v>
      </c>
      <c r="AP433" t="str">
        <f t="shared" si="66"/>
        <v>50+</v>
      </c>
      <c r="AQ433" t="str">
        <f t="shared" si="67"/>
        <v>Medium</v>
      </c>
      <c r="AR433" t="str">
        <f t="shared" si="68"/>
        <v>Medium</v>
      </c>
      <c r="AS433">
        <f t="shared" si="69"/>
        <v>0</v>
      </c>
    </row>
    <row r="434" spans="1:4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s="20">
        <v>2768</v>
      </c>
      <c r="T434">
        <v>8416</v>
      </c>
      <c r="U434">
        <v>3</v>
      </c>
      <c r="V434" t="s">
        <v>42</v>
      </c>
      <c r="W434" t="s">
        <v>43</v>
      </c>
      <c r="X434" s="19">
        <v>12</v>
      </c>
      <c r="Y434">
        <v>3</v>
      </c>
      <c r="Z434">
        <v>3</v>
      </c>
      <c r="AA434">
        <v>80</v>
      </c>
      <c r="AB434">
        <v>1</v>
      </c>
      <c r="AC434">
        <v>14</v>
      </c>
      <c r="AD434">
        <v>3</v>
      </c>
      <c r="AE434">
        <v>3</v>
      </c>
      <c r="AF434">
        <v>7</v>
      </c>
      <c r="AG434">
        <v>3</v>
      </c>
      <c r="AH434">
        <v>5</v>
      </c>
      <c r="AI434">
        <v>7</v>
      </c>
      <c r="AJ434">
        <f t="shared" si="60"/>
        <v>0</v>
      </c>
      <c r="AK434">
        <f t="shared" si="61"/>
        <v>0</v>
      </c>
      <c r="AL434">
        <f t="shared" si="62"/>
        <v>1</v>
      </c>
      <c r="AM434">
        <f t="shared" si="63"/>
        <v>3.25</v>
      </c>
      <c r="AN434">
        <f t="shared" si="64"/>
        <v>4152</v>
      </c>
      <c r="AO434">
        <f t="shared" si="65"/>
        <v>0.46666666666666667</v>
      </c>
      <c r="AP434" t="str">
        <f t="shared" si="66"/>
        <v>30-39</v>
      </c>
      <c r="AQ434" t="str">
        <f t="shared" si="67"/>
        <v>Low</v>
      </c>
      <c r="AR434" t="str">
        <f t="shared" si="68"/>
        <v>Short</v>
      </c>
      <c r="AS434">
        <f t="shared" si="69"/>
        <v>0</v>
      </c>
    </row>
    <row r="435" spans="1:4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s="20">
        <v>9071</v>
      </c>
      <c r="T435">
        <v>11563</v>
      </c>
      <c r="U435">
        <v>2</v>
      </c>
      <c r="V435" t="s">
        <v>42</v>
      </c>
      <c r="W435" t="s">
        <v>35</v>
      </c>
      <c r="X435" s="19">
        <v>19</v>
      </c>
      <c r="Y435">
        <v>3</v>
      </c>
      <c r="Z435">
        <v>3</v>
      </c>
      <c r="AA435">
        <v>80</v>
      </c>
      <c r="AB435">
        <v>1</v>
      </c>
      <c r="AC435">
        <v>15</v>
      </c>
      <c r="AD435">
        <v>3</v>
      </c>
      <c r="AE435">
        <v>3</v>
      </c>
      <c r="AF435">
        <v>3</v>
      </c>
      <c r="AG435">
        <v>2</v>
      </c>
      <c r="AH435">
        <v>1</v>
      </c>
      <c r="AI435">
        <v>2</v>
      </c>
      <c r="AJ435">
        <f t="shared" si="60"/>
        <v>0</v>
      </c>
      <c r="AK435">
        <f t="shared" si="61"/>
        <v>1</v>
      </c>
      <c r="AL435">
        <f t="shared" si="62"/>
        <v>0</v>
      </c>
      <c r="AM435">
        <f t="shared" si="63"/>
        <v>3.25</v>
      </c>
      <c r="AN435">
        <f t="shared" si="64"/>
        <v>27213</v>
      </c>
      <c r="AO435">
        <f t="shared" si="65"/>
        <v>0.1875</v>
      </c>
      <c r="AP435" t="str">
        <f t="shared" si="66"/>
        <v>40-49</v>
      </c>
      <c r="AQ435" t="str">
        <f t="shared" si="67"/>
        <v>Very High</v>
      </c>
      <c r="AR435" t="str">
        <f t="shared" si="68"/>
        <v>Medium</v>
      </c>
      <c r="AS435">
        <f t="shared" si="69"/>
        <v>0</v>
      </c>
    </row>
    <row r="436" spans="1:4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s="20">
        <v>10648</v>
      </c>
      <c r="T436">
        <v>14394</v>
      </c>
      <c r="U436">
        <v>1</v>
      </c>
      <c r="V436" t="s">
        <v>42</v>
      </c>
      <c r="W436" t="s">
        <v>43</v>
      </c>
      <c r="X436" s="19">
        <v>25</v>
      </c>
      <c r="Y436">
        <v>4</v>
      </c>
      <c r="Z436">
        <v>4</v>
      </c>
      <c r="AA436">
        <v>80</v>
      </c>
      <c r="AB436">
        <v>1</v>
      </c>
      <c r="AC436">
        <v>13</v>
      </c>
      <c r="AD436">
        <v>6</v>
      </c>
      <c r="AE436">
        <v>4</v>
      </c>
      <c r="AF436">
        <v>13</v>
      </c>
      <c r="AG436">
        <v>8</v>
      </c>
      <c r="AH436">
        <v>0</v>
      </c>
      <c r="AI436">
        <v>8</v>
      </c>
      <c r="AJ436">
        <f t="shared" si="60"/>
        <v>0</v>
      </c>
      <c r="AK436">
        <f t="shared" si="61"/>
        <v>0</v>
      </c>
      <c r="AL436">
        <f t="shared" si="62"/>
        <v>1</v>
      </c>
      <c r="AM436">
        <f t="shared" si="63"/>
        <v>3.25</v>
      </c>
      <c r="AN436">
        <f t="shared" si="64"/>
        <v>9126.8571428571431</v>
      </c>
      <c r="AO436">
        <f t="shared" si="65"/>
        <v>0.9285714285714286</v>
      </c>
      <c r="AP436" t="str">
        <f t="shared" si="66"/>
        <v>30-39</v>
      </c>
      <c r="AQ436" t="str">
        <f t="shared" si="67"/>
        <v>Very High</v>
      </c>
      <c r="AR436" t="str">
        <f t="shared" si="68"/>
        <v>Medium</v>
      </c>
      <c r="AS436">
        <f t="shared" si="69"/>
        <v>0</v>
      </c>
    </row>
    <row r="437" spans="1:4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s="20">
        <v>13610</v>
      </c>
      <c r="T437">
        <v>24619</v>
      </c>
      <c r="U437">
        <v>7</v>
      </c>
      <c r="V437" t="s">
        <v>42</v>
      </c>
      <c r="W437" t="s">
        <v>35</v>
      </c>
      <c r="X437" s="19">
        <v>12</v>
      </c>
      <c r="Y437">
        <v>3</v>
      </c>
      <c r="Z437">
        <v>4</v>
      </c>
      <c r="AA437">
        <v>80</v>
      </c>
      <c r="AB437">
        <v>0</v>
      </c>
      <c r="AC437">
        <v>15</v>
      </c>
      <c r="AD437">
        <v>2</v>
      </c>
      <c r="AE437">
        <v>4</v>
      </c>
      <c r="AF437">
        <v>7</v>
      </c>
      <c r="AG437">
        <v>6</v>
      </c>
      <c r="AH437">
        <v>7</v>
      </c>
      <c r="AI437">
        <v>7</v>
      </c>
      <c r="AJ437">
        <f t="shared" si="60"/>
        <v>1</v>
      </c>
      <c r="AK437">
        <f t="shared" si="61"/>
        <v>1</v>
      </c>
      <c r="AL437">
        <f t="shared" si="62"/>
        <v>1</v>
      </c>
      <c r="AM437">
        <f t="shared" si="63"/>
        <v>3.25</v>
      </c>
      <c r="AN437">
        <f t="shared" si="64"/>
        <v>20415</v>
      </c>
      <c r="AO437">
        <f t="shared" si="65"/>
        <v>0.4375</v>
      </c>
      <c r="AP437" t="str">
        <f t="shared" si="66"/>
        <v>30-39</v>
      </c>
      <c r="AQ437" t="str">
        <f t="shared" si="67"/>
        <v>Very High</v>
      </c>
      <c r="AR437" t="str">
        <f t="shared" si="68"/>
        <v>Medium</v>
      </c>
      <c r="AS437">
        <f t="shared" si="69"/>
        <v>0</v>
      </c>
    </row>
    <row r="438" spans="1:4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s="20">
        <v>3408</v>
      </c>
      <c r="T438">
        <v>6705</v>
      </c>
      <c r="U438">
        <v>7</v>
      </c>
      <c r="V438" t="s">
        <v>42</v>
      </c>
      <c r="W438" t="s">
        <v>43</v>
      </c>
      <c r="X438" s="19">
        <v>13</v>
      </c>
      <c r="Y438">
        <v>3</v>
      </c>
      <c r="Z438">
        <v>1</v>
      </c>
      <c r="AA438">
        <v>80</v>
      </c>
      <c r="AB438">
        <v>3</v>
      </c>
      <c r="AC438">
        <v>8</v>
      </c>
      <c r="AD438">
        <v>2</v>
      </c>
      <c r="AE438">
        <v>3</v>
      </c>
      <c r="AF438">
        <v>4</v>
      </c>
      <c r="AG438">
        <v>3</v>
      </c>
      <c r="AH438">
        <v>1</v>
      </c>
      <c r="AI438">
        <v>3</v>
      </c>
      <c r="AJ438">
        <f t="shared" si="60"/>
        <v>1</v>
      </c>
      <c r="AK438">
        <f t="shared" si="61"/>
        <v>0</v>
      </c>
      <c r="AL438">
        <f t="shared" si="62"/>
        <v>1</v>
      </c>
      <c r="AM438">
        <f t="shared" si="63"/>
        <v>2.25</v>
      </c>
      <c r="AN438">
        <f t="shared" si="64"/>
        <v>8179.2</v>
      </c>
      <c r="AO438">
        <f t="shared" si="65"/>
        <v>0.44444444444444442</v>
      </c>
      <c r="AP438" t="str">
        <f t="shared" si="66"/>
        <v>30-39</v>
      </c>
      <c r="AQ438" t="str">
        <f t="shared" si="67"/>
        <v>Medium</v>
      </c>
      <c r="AR438" t="str">
        <f t="shared" si="68"/>
        <v>Medium</v>
      </c>
      <c r="AS438">
        <f t="shared" si="69"/>
        <v>0</v>
      </c>
    </row>
    <row r="439" spans="1:4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s="20">
        <v>2983</v>
      </c>
      <c r="T439">
        <v>18398</v>
      </c>
      <c r="U439">
        <v>0</v>
      </c>
      <c r="V439" t="s">
        <v>42</v>
      </c>
      <c r="W439" t="s">
        <v>43</v>
      </c>
      <c r="X439" s="19">
        <v>14</v>
      </c>
      <c r="Y439">
        <v>3</v>
      </c>
      <c r="Z439">
        <v>1</v>
      </c>
      <c r="AA439">
        <v>80</v>
      </c>
      <c r="AB439">
        <v>0</v>
      </c>
      <c r="AC439">
        <v>4</v>
      </c>
      <c r="AD439">
        <v>3</v>
      </c>
      <c r="AE439">
        <v>3</v>
      </c>
      <c r="AF439">
        <v>3</v>
      </c>
      <c r="AG439">
        <v>2</v>
      </c>
      <c r="AH439">
        <v>1</v>
      </c>
      <c r="AI439">
        <v>2</v>
      </c>
      <c r="AJ439">
        <f t="shared" si="60"/>
        <v>0</v>
      </c>
      <c r="AK439">
        <f t="shared" si="61"/>
        <v>0</v>
      </c>
      <c r="AL439">
        <f t="shared" si="62"/>
        <v>1</v>
      </c>
      <c r="AM439">
        <f t="shared" si="63"/>
        <v>2.5</v>
      </c>
      <c r="AN439">
        <f t="shared" si="64"/>
        <v>8949</v>
      </c>
      <c r="AO439">
        <f t="shared" si="65"/>
        <v>0.6</v>
      </c>
      <c r="AP439" t="str">
        <f t="shared" si="66"/>
        <v>30-39</v>
      </c>
      <c r="AQ439" t="str">
        <f t="shared" si="67"/>
        <v>Medium</v>
      </c>
      <c r="AR439" t="str">
        <f t="shared" si="68"/>
        <v>Medium</v>
      </c>
      <c r="AS439">
        <f t="shared" si="69"/>
        <v>0</v>
      </c>
    </row>
    <row r="440" spans="1:4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s="20">
        <v>7632</v>
      </c>
      <c r="T440">
        <v>14295</v>
      </c>
      <c r="U440">
        <v>4</v>
      </c>
      <c r="V440" t="s">
        <v>42</v>
      </c>
      <c r="W440" t="s">
        <v>35</v>
      </c>
      <c r="X440" s="19">
        <v>12</v>
      </c>
      <c r="Y440">
        <v>3</v>
      </c>
      <c r="Z440">
        <v>3</v>
      </c>
      <c r="AA440">
        <v>80</v>
      </c>
      <c r="AB440">
        <v>0</v>
      </c>
      <c r="AC440">
        <v>10</v>
      </c>
      <c r="AD440">
        <v>2</v>
      </c>
      <c r="AE440">
        <v>3</v>
      </c>
      <c r="AF440">
        <v>8</v>
      </c>
      <c r="AG440">
        <v>7</v>
      </c>
      <c r="AH440">
        <v>0</v>
      </c>
      <c r="AI440">
        <v>0</v>
      </c>
      <c r="AJ440">
        <f t="shared" si="60"/>
        <v>0</v>
      </c>
      <c r="AK440">
        <f t="shared" si="61"/>
        <v>1</v>
      </c>
      <c r="AL440">
        <f t="shared" si="62"/>
        <v>1</v>
      </c>
      <c r="AM440">
        <f t="shared" si="63"/>
        <v>3.25</v>
      </c>
      <c r="AN440">
        <f t="shared" si="64"/>
        <v>10176</v>
      </c>
      <c r="AO440">
        <f t="shared" si="65"/>
        <v>0.72727272727272729</v>
      </c>
      <c r="AP440" t="str">
        <f t="shared" si="66"/>
        <v>30-39</v>
      </c>
      <c r="AQ440" t="str">
        <f t="shared" si="67"/>
        <v>High</v>
      </c>
      <c r="AR440" t="str">
        <f t="shared" si="68"/>
        <v>Long</v>
      </c>
      <c r="AS440">
        <f t="shared" si="69"/>
        <v>0</v>
      </c>
    </row>
    <row r="441" spans="1:4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s="20">
        <v>9824</v>
      </c>
      <c r="T441">
        <v>22908</v>
      </c>
      <c r="U441">
        <v>3</v>
      </c>
      <c r="V441" t="s">
        <v>42</v>
      </c>
      <c r="W441" t="s">
        <v>43</v>
      </c>
      <c r="X441" s="19">
        <v>12</v>
      </c>
      <c r="Y441">
        <v>3</v>
      </c>
      <c r="Z441">
        <v>1</v>
      </c>
      <c r="AA441">
        <v>80</v>
      </c>
      <c r="AB441">
        <v>0</v>
      </c>
      <c r="AC441">
        <v>12</v>
      </c>
      <c r="AD441">
        <v>2</v>
      </c>
      <c r="AE441">
        <v>3</v>
      </c>
      <c r="AF441">
        <v>1</v>
      </c>
      <c r="AG441">
        <v>0</v>
      </c>
      <c r="AH441">
        <v>0</v>
      </c>
      <c r="AI441">
        <v>0</v>
      </c>
      <c r="AJ441">
        <f t="shared" si="60"/>
        <v>1</v>
      </c>
      <c r="AK441">
        <f t="shared" si="61"/>
        <v>0</v>
      </c>
      <c r="AL441">
        <f t="shared" si="62"/>
        <v>1</v>
      </c>
      <c r="AM441">
        <f t="shared" si="63"/>
        <v>2</v>
      </c>
      <c r="AN441">
        <f t="shared" si="64"/>
        <v>58944</v>
      </c>
      <c r="AO441">
        <f t="shared" si="65"/>
        <v>7.6923076923076927E-2</v>
      </c>
      <c r="AP441" t="str">
        <f t="shared" si="66"/>
        <v>30-39</v>
      </c>
      <c r="AQ441" t="str">
        <f t="shared" si="67"/>
        <v>Very High</v>
      </c>
      <c r="AR441" t="str">
        <f t="shared" si="68"/>
        <v>Long</v>
      </c>
      <c r="AS441">
        <f t="shared" si="69"/>
        <v>1</v>
      </c>
    </row>
    <row r="442" spans="1:45" x14ac:dyDescent="0.3">
      <c r="A442">
        <v>34</v>
      </c>
      <c r="B442" t="s">
        <v>35</v>
      </c>
      <c r="C442" t="s">
        <v>36</v>
      </c>
      <c r="D442">
        <v>988</v>
      </c>
      <c r="E442" t="s">
        <v>61</v>
      </c>
      <c r="F442">
        <v>23</v>
      </c>
      <c r="G442">
        <v>3</v>
      </c>
      <c r="H442" t="s">
        <v>61</v>
      </c>
      <c r="I442">
        <v>1</v>
      </c>
      <c r="J442">
        <v>590</v>
      </c>
      <c r="K442">
        <v>2</v>
      </c>
      <c r="L442" t="s">
        <v>39</v>
      </c>
      <c r="M442">
        <v>43</v>
      </c>
      <c r="N442">
        <v>3</v>
      </c>
      <c r="O442">
        <v>3</v>
      </c>
      <c r="P442" t="s">
        <v>61</v>
      </c>
      <c r="Q442">
        <v>1</v>
      </c>
      <c r="R442" t="s">
        <v>52</v>
      </c>
      <c r="S442" s="20">
        <v>9950</v>
      </c>
      <c r="T442">
        <v>11533</v>
      </c>
      <c r="U442">
        <v>9</v>
      </c>
      <c r="V442" t="s">
        <v>42</v>
      </c>
      <c r="W442" t="s">
        <v>35</v>
      </c>
      <c r="X442" s="19">
        <v>15</v>
      </c>
      <c r="Y442">
        <v>3</v>
      </c>
      <c r="Z442">
        <v>3</v>
      </c>
      <c r="AA442">
        <v>80</v>
      </c>
      <c r="AB442">
        <v>3</v>
      </c>
      <c r="AC442">
        <v>11</v>
      </c>
      <c r="AD442">
        <v>2</v>
      </c>
      <c r="AE442">
        <v>3</v>
      </c>
      <c r="AF442">
        <v>3</v>
      </c>
      <c r="AG442">
        <v>2</v>
      </c>
      <c r="AH442">
        <v>0</v>
      </c>
      <c r="AI442">
        <v>2</v>
      </c>
      <c r="AJ442">
        <f t="shared" si="60"/>
        <v>1</v>
      </c>
      <c r="AK442">
        <f t="shared" si="61"/>
        <v>1</v>
      </c>
      <c r="AL442">
        <f t="shared" si="62"/>
        <v>0</v>
      </c>
      <c r="AM442">
        <f t="shared" si="63"/>
        <v>2.25</v>
      </c>
      <c r="AN442">
        <f t="shared" si="64"/>
        <v>29850</v>
      </c>
      <c r="AO442">
        <f t="shared" si="65"/>
        <v>0.25</v>
      </c>
      <c r="AP442" t="str">
        <f t="shared" si="66"/>
        <v>30-39</v>
      </c>
      <c r="AQ442" t="str">
        <f t="shared" si="67"/>
        <v>Very High</v>
      </c>
      <c r="AR442" t="str">
        <f t="shared" si="68"/>
        <v>Long</v>
      </c>
      <c r="AS442">
        <f t="shared" si="69"/>
        <v>0</v>
      </c>
    </row>
    <row r="443" spans="1:4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s="20">
        <v>2093</v>
      </c>
      <c r="T443">
        <v>9260</v>
      </c>
      <c r="U443">
        <v>4</v>
      </c>
      <c r="V443" t="s">
        <v>42</v>
      </c>
      <c r="W443" t="s">
        <v>43</v>
      </c>
      <c r="X443" s="19">
        <v>17</v>
      </c>
      <c r="Y443">
        <v>3</v>
      </c>
      <c r="Z443">
        <v>4</v>
      </c>
      <c r="AA443">
        <v>80</v>
      </c>
      <c r="AB443">
        <v>1</v>
      </c>
      <c r="AC443">
        <v>8</v>
      </c>
      <c r="AD443">
        <v>4</v>
      </c>
      <c r="AE443">
        <v>3</v>
      </c>
      <c r="AF443">
        <v>2</v>
      </c>
      <c r="AG443">
        <v>2</v>
      </c>
      <c r="AH443">
        <v>2</v>
      </c>
      <c r="AI443">
        <v>0</v>
      </c>
      <c r="AJ443">
        <f t="shared" si="60"/>
        <v>0</v>
      </c>
      <c r="AK443">
        <f t="shared" si="61"/>
        <v>0</v>
      </c>
      <c r="AL443">
        <f t="shared" si="62"/>
        <v>1</v>
      </c>
      <c r="AM443">
        <f t="shared" si="63"/>
        <v>3</v>
      </c>
      <c r="AN443">
        <f t="shared" si="64"/>
        <v>8372</v>
      </c>
      <c r="AO443">
        <f t="shared" si="65"/>
        <v>0.22222222222222221</v>
      </c>
      <c r="AP443" t="str">
        <f t="shared" si="66"/>
        <v>40-49</v>
      </c>
      <c r="AQ443" t="str">
        <f t="shared" si="67"/>
        <v>Low</v>
      </c>
      <c r="AR443" t="str">
        <f t="shared" si="68"/>
        <v>Short</v>
      </c>
      <c r="AS443">
        <f t="shared" si="69"/>
        <v>1</v>
      </c>
    </row>
    <row r="444" spans="1:4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s="20">
        <v>9980</v>
      </c>
      <c r="T444">
        <v>15318</v>
      </c>
      <c r="U444">
        <v>1</v>
      </c>
      <c r="V444" t="s">
        <v>42</v>
      </c>
      <c r="W444" t="s">
        <v>43</v>
      </c>
      <c r="X444" s="19">
        <v>14</v>
      </c>
      <c r="Y444">
        <v>3</v>
      </c>
      <c r="Z444">
        <v>4</v>
      </c>
      <c r="AA444">
        <v>80</v>
      </c>
      <c r="AB444">
        <v>0</v>
      </c>
      <c r="AC444">
        <v>10</v>
      </c>
      <c r="AD444">
        <v>3</v>
      </c>
      <c r="AE444">
        <v>2</v>
      </c>
      <c r="AF444">
        <v>10</v>
      </c>
      <c r="AG444">
        <v>3</v>
      </c>
      <c r="AH444">
        <v>9</v>
      </c>
      <c r="AI444">
        <v>7</v>
      </c>
      <c r="AJ444">
        <f t="shared" si="60"/>
        <v>0</v>
      </c>
      <c r="AK444">
        <f t="shared" si="61"/>
        <v>0</v>
      </c>
      <c r="AL444">
        <f t="shared" si="62"/>
        <v>1</v>
      </c>
      <c r="AM444">
        <f t="shared" si="63"/>
        <v>3</v>
      </c>
      <c r="AN444">
        <f t="shared" si="64"/>
        <v>10887.272727272728</v>
      </c>
      <c r="AO444">
        <f t="shared" si="65"/>
        <v>0.90909090909090906</v>
      </c>
      <c r="AP444" t="str">
        <f t="shared" si="66"/>
        <v>30-39</v>
      </c>
      <c r="AQ444" t="str">
        <f t="shared" si="67"/>
        <v>Very High</v>
      </c>
      <c r="AR444" t="str">
        <f t="shared" si="68"/>
        <v>Medium</v>
      </c>
      <c r="AS444">
        <f t="shared" si="69"/>
        <v>0</v>
      </c>
    </row>
    <row r="445" spans="1:4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s="20">
        <v>3894</v>
      </c>
      <c r="T445">
        <v>9129</v>
      </c>
      <c r="U445">
        <v>5</v>
      </c>
      <c r="V445" t="s">
        <v>42</v>
      </c>
      <c r="W445" t="s">
        <v>43</v>
      </c>
      <c r="X445" s="19">
        <v>16</v>
      </c>
      <c r="Y445">
        <v>3</v>
      </c>
      <c r="Z445">
        <v>3</v>
      </c>
      <c r="AA445">
        <v>80</v>
      </c>
      <c r="AB445">
        <v>0</v>
      </c>
      <c r="AC445">
        <v>4</v>
      </c>
      <c r="AD445">
        <v>3</v>
      </c>
      <c r="AE445">
        <v>3</v>
      </c>
      <c r="AF445">
        <v>2</v>
      </c>
      <c r="AG445">
        <v>2</v>
      </c>
      <c r="AH445">
        <v>1</v>
      </c>
      <c r="AI445">
        <v>2</v>
      </c>
      <c r="AJ445">
        <f t="shared" si="60"/>
        <v>1</v>
      </c>
      <c r="AK445">
        <f t="shared" si="61"/>
        <v>0</v>
      </c>
      <c r="AL445">
        <f t="shared" si="62"/>
        <v>1</v>
      </c>
      <c r="AM445">
        <f t="shared" si="63"/>
        <v>3</v>
      </c>
      <c r="AN445">
        <f t="shared" si="64"/>
        <v>15576</v>
      </c>
      <c r="AO445">
        <f t="shared" si="65"/>
        <v>0.4</v>
      </c>
      <c r="AP445" t="str">
        <f t="shared" si="66"/>
        <v>Under 30</v>
      </c>
      <c r="AQ445" t="str">
        <f t="shared" si="67"/>
        <v>Medium</v>
      </c>
      <c r="AR445" t="str">
        <f t="shared" si="68"/>
        <v>Short</v>
      </c>
      <c r="AS445">
        <f t="shared" si="69"/>
        <v>1</v>
      </c>
    </row>
    <row r="446" spans="1:4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s="20">
        <v>4051</v>
      </c>
      <c r="T446">
        <v>19658</v>
      </c>
      <c r="U446">
        <v>2</v>
      </c>
      <c r="V446" t="s">
        <v>42</v>
      </c>
      <c r="W446" t="s">
        <v>43</v>
      </c>
      <c r="X446" s="19">
        <v>14</v>
      </c>
      <c r="Y446">
        <v>3</v>
      </c>
      <c r="Z446">
        <v>1</v>
      </c>
      <c r="AA446">
        <v>80</v>
      </c>
      <c r="AB446">
        <v>1</v>
      </c>
      <c r="AC446">
        <v>14</v>
      </c>
      <c r="AD446">
        <v>2</v>
      </c>
      <c r="AE446">
        <v>3</v>
      </c>
      <c r="AF446">
        <v>9</v>
      </c>
      <c r="AG446">
        <v>7</v>
      </c>
      <c r="AH446">
        <v>6</v>
      </c>
      <c r="AI446">
        <v>7</v>
      </c>
      <c r="AJ446">
        <f t="shared" si="60"/>
        <v>0</v>
      </c>
      <c r="AK446">
        <f t="shared" si="61"/>
        <v>0</v>
      </c>
      <c r="AL446">
        <f t="shared" si="62"/>
        <v>0</v>
      </c>
      <c r="AM446">
        <f t="shared" si="63"/>
        <v>2.5</v>
      </c>
      <c r="AN446">
        <f t="shared" si="64"/>
        <v>4861.2</v>
      </c>
      <c r="AO446">
        <f t="shared" si="65"/>
        <v>0.6</v>
      </c>
      <c r="AP446" t="str">
        <f t="shared" si="66"/>
        <v>40-49</v>
      </c>
      <c r="AQ446" t="str">
        <f t="shared" si="67"/>
        <v>Medium</v>
      </c>
      <c r="AR446" t="str">
        <f t="shared" si="68"/>
        <v>Short</v>
      </c>
      <c r="AS446">
        <f t="shared" si="69"/>
        <v>0</v>
      </c>
    </row>
    <row r="447" spans="1:4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s="20">
        <v>16835</v>
      </c>
      <c r="T447">
        <v>9873</v>
      </c>
      <c r="U447">
        <v>3</v>
      </c>
      <c r="V447" t="s">
        <v>42</v>
      </c>
      <c r="W447" t="s">
        <v>43</v>
      </c>
      <c r="X447" s="19">
        <v>23</v>
      </c>
      <c r="Y447">
        <v>4</v>
      </c>
      <c r="Z447">
        <v>4</v>
      </c>
      <c r="AA447">
        <v>80</v>
      </c>
      <c r="AB447">
        <v>0</v>
      </c>
      <c r="AC447">
        <v>37</v>
      </c>
      <c r="AD447">
        <v>2</v>
      </c>
      <c r="AE447">
        <v>3</v>
      </c>
      <c r="AF447">
        <v>10</v>
      </c>
      <c r="AG447">
        <v>9</v>
      </c>
      <c r="AH447">
        <v>7</v>
      </c>
      <c r="AI447">
        <v>7</v>
      </c>
      <c r="AJ447">
        <f t="shared" si="60"/>
        <v>0</v>
      </c>
      <c r="AK447">
        <f t="shared" si="61"/>
        <v>0</v>
      </c>
      <c r="AL447">
        <f t="shared" si="62"/>
        <v>0</v>
      </c>
      <c r="AM447">
        <f t="shared" si="63"/>
        <v>2.5</v>
      </c>
      <c r="AN447">
        <f t="shared" si="64"/>
        <v>18365.454545454544</v>
      </c>
      <c r="AO447">
        <f t="shared" si="65"/>
        <v>0.26315789473684209</v>
      </c>
      <c r="AP447" t="str">
        <f t="shared" si="66"/>
        <v>50+</v>
      </c>
      <c r="AQ447" t="str">
        <f t="shared" si="67"/>
        <v>Very High</v>
      </c>
      <c r="AR447" t="str">
        <f t="shared" si="68"/>
        <v>Long</v>
      </c>
      <c r="AS447">
        <f t="shared" si="69"/>
        <v>0</v>
      </c>
    </row>
    <row r="448" spans="1:4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s="20">
        <v>6230</v>
      </c>
      <c r="T448">
        <v>13430</v>
      </c>
      <c r="U448">
        <v>7</v>
      </c>
      <c r="V448" t="s">
        <v>42</v>
      </c>
      <c r="W448" t="s">
        <v>43</v>
      </c>
      <c r="X448" s="19">
        <v>14</v>
      </c>
      <c r="Y448">
        <v>3</v>
      </c>
      <c r="Z448">
        <v>4</v>
      </c>
      <c r="AA448">
        <v>80</v>
      </c>
      <c r="AB448">
        <v>0</v>
      </c>
      <c r="AC448">
        <v>16</v>
      </c>
      <c r="AD448">
        <v>3</v>
      </c>
      <c r="AE448">
        <v>3</v>
      </c>
      <c r="AF448">
        <v>14</v>
      </c>
      <c r="AG448">
        <v>3</v>
      </c>
      <c r="AH448">
        <v>1</v>
      </c>
      <c r="AI448">
        <v>10</v>
      </c>
      <c r="AJ448">
        <f t="shared" si="60"/>
        <v>0</v>
      </c>
      <c r="AK448">
        <f t="shared" si="61"/>
        <v>0</v>
      </c>
      <c r="AL448">
        <f t="shared" si="62"/>
        <v>1</v>
      </c>
      <c r="AM448">
        <f t="shared" si="63"/>
        <v>3.75</v>
      </c>
      <c r="AN448">
        <f t="shared" si="64"/>
        <v>4984</v>
      </c>
      <c r="AO448">
        <f t="shared" si="65"/>
        <v>0.82352941176470584</v>
      </c>
      <c r="AP448" t="str">
        <f t="shared" si="66"/>
        <v>40-49</v>
      </c>
      <c r="AQ448" t="str">
        <f t="shared" si="67"/>
        <v>High</v>
      </c>
      <c r="AR448" t="str">
        <f t="shared" si="68"/>
        <v>Medium</v>
      </c>
      <c r="AS448">
        <f t="shared" si="69"/>
        <v>0</v>
      </c>
    </row>
    <row r="449" spans="1:4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s="20">
        <v>4717</v>
      </c>
      <c r="T449">
        <v>18659</v>
      </c>
      <c r="U449">
        <v>9</v>
      </c>
      <c r="V449" t="s">
        <v>42</v>
      </c>
      <c r="W449" t="s">
        <v>43</v>
      </c>
      <c r="X449" s="19">
        <v>11</v>
      </c>
      <c r="Y449">
        <v>3</v>
      </c>
      <c r="Z449">
        <v>3</v>
      </c>
      <c r="AA449">
        <v>80</v>
      </c>
      <c r="AB449">
        <v>0</v>
      </c>
      <c r="AC449">
        <v>15</v>
      </c>
      <c r="AD449">
        <v>2</v>
      </c>
      <c r="AE449">
        <v>3</v>
      </c>
      <c r="AF449">
        <v>11</v>
      </c>
      <c r="AG449">
        <v>9</v>
      </c>
      <c r="AH449">
        <v>6</v>
      </c>
      <c r="AI449">
        <v>9</v>
      </c>
      <c r="AJ449">
        <f t="shared" si="60"/>
        <v>0</v>
      </c>
      <c r="AK449">
        <f t="shared" si="61"/>
        <v>0</v>
      </c>
      <c r="AL449">
        <f t="shared" si="62"/>
        <v>1</v>
      </c>
      <c r="AM449">
        <f t="shared" si="63"/>
        <v>2.75</v>
      </c>
      <c r="AN449">
        <f t="shared" si="64"/>
        <v>4717</v>
      </c>
      <c r="AO449">
        <f t="shared" si="65"/>
        <v>0.6875</v>
      </c>
      <c r="AP449" t="str">
        <f t="shared" si="66"/>
        <v>30-39</v>
      </c>
      <c r="AQ449" t="str">
        <f t="shared" si="67"/>
        <v>Medium</v>
      </c>
      <c r="AR449" t="str">
        <f t="shared" si="68"/>
        <v>Short</v>
      </c>
      <c r="AS449">
        <f t="shared" si="69"/>
        <v>0</v>
      </c>
    </row>
    <row r="450" spans="1:4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s="20">
        <v>13237</v>
      </c>
      <c r="T450">
        <v>20364</v>
      </c>
      <c r="U450">
        <v>7</v>
      </c>
      <c r="V450" t="s">
        <v>42</v>
      </c>
      <c r="W450" t="s">
        <v>43</v>
      </c>
      <c r="X450" s="19">
        <v>15</v>
      </c>
      <c r="Y450">
        <v>3</v>
      </c>
      <c r="Z450">
        <v>3</v>
      </c>
      <c r="AA450">
        <v>80</v>
      </c>
      <c r="AB450">
        <v>0</v>
      </c>
      <c r="AC450">
        <v>22</v>
      </c>
      <c r="AD450">
        <v>3</v>
      </c>
      <c r="AE450">
        <v>3</v>
      </c>
      <c r="AF450">
        <v>20</v>
      </c>
      <c r="AG450">
        <v>6</v>
      </c>
      <c r="AH450">
        <v>5</v>
      </c>
      <c r="AI450">
        <v>13</v>
      </c>
      <c r="AJ450">
        <f t="shared" si="60"/>
        <v>0</v>
      </c>
      <c r="AK450">
        <f t="shared" si="61"/>
        <v>0</v>
      </c>
      <c r="AL450">
        <f t="shared" si="62"/>
        <v>0</v>
      </c>
      <c r="AM450">
        <f t="shared" si="63"/>
        <v>2.75</v>
      </c>
      <c r="AN450">
        <f t="shared" si="64"/>
        <v>7564</v>
      </c>
      <c r="AO450">
        <f t="shared" si="65"/>
        <v>0.86956521739130432</v>
      </c>
      <c r="AP450" t="str">
        <f t="shared" si="66"/>
        <v>40-49</v>
      </c>
      <c r="AQ450" t="str">
        <f t="shared" si="67"/>
        <v>Very High</v>
      </c>
      <c r="AR450" t="str">
        <f t="shared" si="68"/>
        <v>Medium</v>
      </c>
      <c r="AS450">
        <f t="shared" si="69"/>
        <v>0</v>
      </c>
    </row>
    <row r="451" spans="1:4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s="20">
        <v>3755</v>
      </c>
      <c r="T451">
        <v>17872</v>
      </c>
      <c r="U451">
        <v>1</v>
      </c>
      <c r="V451" t="s">
        <v>42</v>
      </c>
      <c r="W451" t="s">
        <v>43</v>
      </c>
      <c r="X451" s="19">
        <v>11</v>
      </c>
      <c r="Y451">
        <v>3</v>
      </c>
      <c r="Z451">
        <v>1</v>
      </c>
      <c r="AA451">
        <v>80</v>
      </c>
      <c r="AB451">
        <v>1</v>
      </c>
      <c r="AC451">
        <v>8</v>
      </c>
      <c r="AD451">
        <v>3</v>
      </c>
      <c r="AE451">
        <v>3</v>
      </c>
      <c r="AF451">
        <v>8</v>
      </c>
      <c r="AG451">
        <v>3</v>
      </c>
      <c r="AH451">
        <v>0</v>
      </c>
      <c r="AI451">
        <v>7</v>
      </c>
      <c r="AJ451">
        <f t="shared" ref="AJ451:AJ514" si="70">IF(B451="Yes",1,0)</f>
        <v>0</v>
      </c>
      <c r="AK451">
        <f t="shared" ref="AK451:AK514" si="71">IF(W451="Yes",1,0)</f>
        <v>0</v>
      </c>
      <c r="AL451">
        <f t="shared" ref="AL451:AL514" si="72">IF(L451="Male",1,0)</f>
        <v>0</v>
      </c>
      <c r="AM451">
        <f t="shared" ref="AM451:AM514" si="73">AVERAGE(K451,Q451,Z451,AE451)</f>
        <v>2.5</v>
      </c>
      <c r="AN451">
        <f t="shared" ref="AN451:AN514" si="74">(S451*12)/(AF451+1)</f>
        <v>5006.666666666667</v>
      </c>
      <c r="AO451">
        <f t="shared" ref="AO451:AO514" si="75">AF451/(AC451+1)</f>
        <v>0.88888888888888884</v>
      </c>
      <c r="AP451" t="str">
        <f t="shared" ref="AP451:AP514" si="76">IF(A451&lt;30,"Under 30",IF(A451&lt;40,"30-39",IF(A451&lt;50,"40-49","50+")))</f>
        <v>30-39</v>
      </c>
      <c r="AQ451" t="str">
        <f t="shared" ref="AQ451:AQ514" si="77">IF(S451&lt;=$AV$1,"Low",IF(S451&lt;=$AV$2,"Medium",IF(S451&lt;=$AV$3,"High","Very High")))</f>
        <v>Medium</v>
      </c>
      <c r="AR451" t="str">
        <f t="shared" ref="AR451:AR514" si="78">IF(F451&lt;=5,"Short",IF(F451&lt;=15,"Medium","Long"))</f>
        <v>Medium</v>
      </c>
      <c r="AS451">
        <f t="shared" ref="AS451:AS514" si="79">IF(C451="Travel_Frequently",1,0)</f>
        <v>1</v>
      </c>
    </row>
    <row r="452" spans="1:45" x14ac:dyDescent="0.3">
      <c r="A452">
        <v>31</v>
      </c>
      <c r="B452" t="s">
        <v>43</v>
      </c>
      <c r="C452" t="s">
        <v>36</v>
      </c>
      <c r="D452">
        <v>828</v>
      </c>
      <c r="E452" t="s">
        <v>45</v>
      </c>
      <c r="F452">
        <v>2</v>
      </c>
      <c r="G452">
        <v>1</v>
      </c>
      <c r="H452" t="s">
        <v>38</v>
      </c>
      <c r="I452">
        <v>1</v>
      </c>
      <c r="J452">
        <v>604</v>
      </c>
      <c r="K452">
        <v>2</v>
      </c>
      <c r="L452" t="s">
        <v>46</v>
      </c>
      <c r="M452">
        <v>77</v>
      </c>
      <c r="N452">
        <v>3</v>
      </c>
      <c r="O452">
        <v>2</v>
      </c>
      <c r="P452" t="s">
        <v>40</v>
      </c>
      <c r="Q452">
        <v>4</v>
      </c>
      <c r="R452" t="s">
        <v>41</v>
      </c>
      <c r="S452" s="20">
        <v>5343</v>
      </c>
      <c r="T452">
        <v>8346</v>
      </c>
      <c r="U452">
        <v>4</v>
      </c>
      <c r="V452" t="s">
        <v>42</v>
      </c>
      <c r="W452" t="s">
        <v>35</v>
      </c>
      <c r="X452" s="19">
        <v>13</v>
      </c>
      <c r="Y452">
        <v>3</v>
      </c>
      <c r="Z452">
        <v>3</v>
      </c>
      <c r="AA452">
        <v>80</v>
      </c>
      <c r="AB452">
        <v>0</v>
      </c>
      <c r="AC452">
        <v>10</v>
      </c>
      <c r="AD452">
        <v>2</v>
      </c>
      <c r="AE452">
        <v>4</v>
      </c>
      <c r="AF452">
        <v>6</v>
      </c>
      <c r="AG452">
        <v>5</v>
      </c>
      <c r="AH452">
        <v>0</v>
      </c>
      <c r="AI452">
        <v>5</v>
      </c>
      <c r="AJ452">
        <f t="shared" si="70"/>
        <v>0</v>
      </c>
      <c r="AK452">
        <f t="shared" si="71"/>
        <v>1</v>
      </c>
      <c r="AL452">
        <f t="shared" si="72"/>
        <v>1</v>
      </c>
      <c r="AM452">
        <f t="shared" si="73"/>
        <v>3.25</v>
      </c>
      <c r="AN452">
        <f t="shared" si="74"/>
        <v>9159.4285714285706</v>
      </c>
      <c r="AO452">
        <f t="shared" si="75"/>
        <v>0.54545454545454541</v>
      </c>
      <c r="AP452" t="str">
        <f t="shared" si="76"/>
        <v>30-39</v>
      </c>
      <c r="AQ452" t="str">
        <f t="shared" si="77"/>
        <v>High</v>
      </c>
      <c r="AR452" t="str">
        <f t="shared" si="78"/>
        <v>Short</v>
      </c>
      <c r="AS452">
        <f t="shared" si="79"/>
        <v>0</v>
      </c>
    </row>
    <row r="453" spans="1:4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s="20">
        <v>7406</v>
      </c>
      <c r="T453">
        <v>6950</v>
      </c>
      <c r="U453">
        <v>1</v>
      </c>
      <c r="V453" t="s">
        <v>42</v>
      </c>
      <c r="W453" t="s">
        <v>35</v>
      </c>
      <c r="X453" s="19">
        <v>21</v>
      </c>
      <c r="Y453">
        <v>4</v>
      </c>
      <c r="Z453">
        <v>4</v>
      </c>
      <c r="AA453">
        <v>80</v>
      </c>
      <c r="AB453">
        <v>1</v>
      </c>
      <c r="AC453">
        <v>10</v>
      </c>
      <c r="AD453">
        <v>5</v>
      </c>
      <c r="AE453">
        <v>2</v>
      </c>
      <c r="AF453">
        <v>10</v>
      </c>
      <c r="AG453">
        <v>9</v>
      </c>
      <c r="AH453">
        <v>5</v>
      </c>
      <c r="AI453">
        <v>8</v>
      </c>
      <c r="AJ453">
        <f t="shared" si="70"/>
        <v>0</v>
      </c>
      <c r="AK453">
        <f t="shared" si="71"/>
        <v>1</v>
      </c>
      <c r="AL453">
        <f t="shared" si="72"/>
        <v>1</v>
      </c>
      <c r="AM453">
        <f t="shared" si="73"/>
        <v>2.75</v>
      </c>
      <c r="AN453">
        <f t="shared" si="74"/>
        <v>8079.272727272727</v>
      </c>
      <c r="AO453">
        <f t="shared" si="75"/>
        <v>0.90909090909090906</v>
      </c>
      <c r="AP453" t="str">
        <f t="shared" si="76"/>
        <v>40-49</v>
      </c>
      <c r="AQ453" t="str">
        <f t="shared" si="77"/>
        <v>High</v>
      </c>
      <c r="AR453" t="str">
        <f t="shared" si="78"/>
        <v>Long</v>
      </c>
      <c r="AS453">
        <f t="shared" si="79"/>
        <v>0</v>
      </c>
    </row>
    <row r="454" spans="1:4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s="20">
        <v>4805</v>
      </c>
      <c r="T454">
        <v>16177</v>
      </c>
      <c r="U454">
        <v>0</v>
      </c>
      <c r="V454" t="s">
        <v>42</v>
      </c>
      <c r="W454" t="s">
        <v>43</v>
      </c>
      <c r="X454" s="19">
        <v>19</v>
      </c>
      <c r="Y454">
        <v>3</v>
      </c>
      <c r="Z454">
        <v>2</v>
      </c>
      <c r="AA454">
        <v>80</v>
      </c>
      <c r="AB454">
        <v>1</v>
      </c>
      <c r="AC454">
        <v>9</v>
      </c>
      <c r="AD454">
        <v>3</v>
      </c>
      <c r="AE454">
        <v>4</v>
      </c>
      <c r="AF454">
        <v>8</v>
      </c>
      <c r="AG454">
        <v>7</v>
      </c>
      <c r="AH454">
        <v>3</v>
      </c>
      <c r="AI454">
        <v>7</v>
      </c>
      <c r="AJ454">
        <f t="shared" si="70"/>
        <v>0</v>
      </c>
      <c r="AK454">
        <f t="shared" si="71"/>
        <v>0</v>
      </c>
      <c r="AL454">
        <f t="shared" si="72"/>
        <v>1</v>
      </c>
      <c r="AM454">
        <f t="shared" si="73"/>
        <v>3</v>
      </c>
      <c r="AN454">
        <f t="shared" si="74"/>
        <v>6406.666666666667</v>
      </c>
      <c r="AO454">
        <f t="shared" si="75"/>
        <v>0.8</v>
      </c>
      <c r="AP454" t="str">
        <f t="shared" si="76"/>
        <v>40-49</v>
      </c>
      <c r="AQ454" t="str">
        <f t="shared" si="77"/>
        <v>Medium</v>
      </c>
      <c r="AR454" t="str">
        <f t="shared" si="78"/>
        <v>Short</v>
      </c>
      <c r="AS454">
        <f t="shared" si="79"/>
        <v>0</v>
      </c>
    </row>
    <row r="455" spans="1:4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s="20">
        <v>2741</v>
      </c>
      <c r="T455">
        <v>22808</v>
      </c>
      <c r="U455">
        <v>0</v>
      </c>
      <c r="V455" t="s">
        <v>42</v>
      </c>
      <c r="W455" t="s">
        <v>35</v>
      </c>
      <c r="X455" s="19">
        <v>11</v>
      </c>
      <c r="Y455">
        <v>3</v>
      </c>
      <c r="Z455">
        <v>2</v>
      </c>
      <c r="AA455">
        <v>80</v>
      </c>
      <c r="AB455">
        <v>1</v>
      </c>
      <c r="AC455">
        <v>8</v>
      </c>
      <c r="AD455">
        <v>2</v>
      </c>
      <c r="AE455">
        <v>2</v>
      </c>
      <c r="AF455">
        <v>7</v>
      </c>
      <c r="AG455">
        <v>7</v>
      </c>
      <c r="AH455">
        <v>1</v>
      </c>
      <c r="AI455">
        <v>0</v>
      </c>
      <c r="AJ455">
        <f t="shared" si="70"/>
        <v>1</v>
      </c>
      <c r="AK455">
        <f t="shared" si="71"/>
        <v>1</v>
      </c>
      <c r="AL455">
        <f t="shared" si="72"/>
        <v>0</v>
      </c>
      <c r="AM455">
        <f t="shared" si="73"/>
        <v>2.25</v>
      </c>
      <c r="AN455">
        <f t="shared" si="74"/>
        <v>4111.5</v>
      </c>
      <c r="AO455">
        <f t="shared" si="75"/>
        <v>0.77777777777777779</v>
      </c>
      <c r="AP455" t="str">
        <f t="shared" si="76"/>
        <v>Under 30</v>
      </c>
      <c r="AQ455" t="str">
        <f t="shared" si="77"/>
        <v>Low</v>
      </c>
      <c r="AR455" t="str">
        <f t="shared" si="78"/>
        <v>Long</v>
      </c>
      <c r="AS455">
        <f t="shared" si="79"/>
        <v>1</v>
      </c>
    </row>
    <row r="456" spans="1:4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s="20">
        <v>4262</v>
      </c>
      <c r="T456">
        <v>22645</v>
      </c>
      <c r="U456">
        <v>4</v>
      </c>
      <c r="V456" t="s">
        <v>42</v>
      </c>
      <c r="W456" t="s">
        <v>43</v>
      </c>
      <c r="X456" s="19">
        <v>12</v>
      </c>
      <c r="Y456">
        <v>3</v>
      </c>
      <c r="Z456">
        <v>2</v>
      </c>
      <c r="AA456">
        <v>80</v>
      </c>
      <c r="AB456">
        <v>2</v>
      </c>
      <c r="AC456">
        <v>8</v>
      </c>
      <c r="AD456">
        <v>2</v>
      </c>
      <c r="AE456">
        <v>4</v>
      </c>
      <c r="AF456">
        <v>3</v>
      </c>
      <c r="AG456">
        <v>2</v>
      </c>
      <c r="AH456">
        <v>1</v>
      </c>
      <c r="AI456">
        <v>2</v>
      </c>
      <c r="AJ456">
        <f t="shared" si="70"/>
        <v>0</v>
      </c>
      <c r="AK456">
        <f t="shared" si="71"/>
        <v>0</v>
      </c>
      <c r="AL456">
        <f t="shared" si="72"/>
        <v>1</v>
      </c>
      <c r="AM456">
        <f t="shared" si="73"/>
        <v>3.5</v>
      </c>
      <c r="AN456">
        <f t="shared" si="74"/>
        <v>12786</v>
      </c>
      <c r="AO456">
        <f t="shared" si="75"/>
        <v>0.33333333333333331</v>
      </c>
      <c r="AP456" t="str">
        <f t="shared" si="76"/>
        <v>Under 30</v>
      </c>
      <c r="AQ456" t="str">
        <f t="shared" si="77"/>
        <v>Medium</v>
      </c>
      <c r="AR456" t="str">
        <f t="shared" si="78"/>
        <v>Long</v>
      </c>
      <c r="AS456">
        <f t="shared" si="79"/>
        <v>0</v>
      </c>
    </row>
    <row r="457" spans="1:45" x14ac:dyDescent="0.3">
      <c r="A457">
        <v>33</v>
      </c>
      <c r="B457" t="s">
        <v>43</v>
      </c>
      <c r="C457" t="s">
        <v>36</v>
      </c>
      <c r="D457">
        <v>922</v>
      </c>
      <c r="E457" t="s">
        <v>45</v>
      </c>
      <c r="F457">
        <v>1</v>
      </c>
      <c r="G457">
        <v>5</v>
      </c>
      <c r="H457" t="s">
        <v>51</v>
      </c>
      <c r="I457">
        <v>1</v>
      </c>
      <c r="J457">
        <v>612</v>
      </c>
      <c r="K457">
        <v>3</v>
      </c>
      <c r="L457" t="s">
        <v>39</v>
      </c>
      <c r="M457">
        <v>95</v>
      </c>
      <c r="N457">
        <v>4</v>
      </c>
      <c r="O457">
        <v>4</v>
      </c>
      <c r="P457" t="s">
        <v>58</v>
      </c>
      <c r="Q457">
        <v>3</v>
      </c>
      <c r="R457" t="s">
        <v>52</v>
      </c>
      <c r="S457" s="20">
        <v>16184</v>
      </c>
      <c r="T457">
        <v>22578</v>
      </c>
      <c r="U457">
        <v>4</v>
      </c>
      <c r="V457" t="s">
        <v>42</v>
      </c>
      <c r="W457" t="s">
        <v>43</v>
      </c>
      <c r="X457" s="19">
        <v>19</v>
      </c>
      <c r="Y457">
        <v>3</v>
      </c>
      <c r="Z457">
        <v>3</v>
      </c>
      <c r="AA457">
        <v>80</v>
      </c>
      <c r="AB457">
        <v>1</v>
      </c>
      <c r="AC457">
        <v>10</v>
      </c>
      <c r="AD457">
        <v>2</v>
      </c>
      <c r="AE457">
        <v>3</v>
      </c>
      <c r="AF457">
        <v>6</v>
      </c>
      <c r="AG457">
        <v>1</v>
      </c>
      <c r="AH457">
        <v>0</v>
      </c>
      <c r="AI457">
        <v>5</v>
      </c>
      <c r="AJ457">
        <f t="shared" si="70"/>
        <v>0</v>
      </c>
      <c r="AK457">
        <f t="shared" si="71"/>
        <v>0</v>
      </c>
      <c r="AL457">
        <f t="shared" si="72"/>
        <v>0</v>
      </c>
      <c r="AM457">
        <f t="shared" si="73"/>
        <v>3</v>
      </c>
      <c r="AN457">
        <f t="shared" si="74"/>
        <v>27744</v>
      </c>
      <c r="AO457">
        <f t="shared" si="75"/>
        <v>0.54545454545454541</v>
      </c>
      <c r="AP457" t="str">
        <f t="shared" si="76"/>
        <v>30-39</v>
      </c>
      <c r="AQ457" t="str">
        <f t="shared" si="77"/>
        <v>Very High</v>
      </c>
      <c r="AR457" t="str">
        <f t="shared" si="78"/>
        <v>Short</v>
      </c>
      <c r="AS457">
        <f t="shared" si="79"/>
        <v>0</v>
      </c>
    </row>
    <row r="458" spans="1:4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s="20">
        <v>11557</v>
      </c>
      <c r="T458">
        <v>25291</v>
      </c>
      <c r="U458">
        <v>9</v>
      </c>
      <c r="V458" t="s">
        <v>42</v>
      </c>
      <c r="W458" t="s">
        <v>43</v>
      </c>
      <c r="X458" s="19">
        <v>21</v>
      </c>
      <c r="Y458">
        <v>4</v>
      </c>
      <c r="Z458">
        <v>3</v>
      </c>
      <c r="AA458">
        <v>80</v>
      </c>
      <c r="AB458">
        <v>1</v>
      </c>
      <c r="AC458">
        <v>10</v>
      </c>
      <c r="AD458">
        <v>3</v>
      </c>
      <c r="AE458">
        <v>2</v>
      </c>
      <c r="AF458">
        <v>5</v>
      </c>
      <c r="AG458">
        <v>4</v>
      </c>
      <c r="AH458">
        <v>0</v>
      </c>
      <c r="AI458">
        <v>1</v>
      </c>
      <c r="AJ458">
        <f t="shared" si="70"/>
        <v>0</v>
      </c>
      <c r="AK458">
        <f t="shared" si="71"/>
        <v>0</v>
      </c>
      <c r="AL458">
        <f t="shared" si="72"/>
        <v>1</v>
      </c>
      <c r="AM458">
        <f t="shared" si="73"/>
        <v>3</v>
      </c>
      <c r="AN458">
        <f t="shared" si="74"/>
        <v>23114</v>
      </c>
      <c r="AO458">
        <f t="shared" si="75"/>
        <v>0.45454545454545453</v>
      </c>
      <c r="AP458" t="str">
        <f t="shared" si="76"/>
        <v>30-39</v>
      </c>
      <c r="AQ458" t="str">
        <f t="shared" si="77"/>
        <v>Very High</v>
      </c>
      <c r="AR458" t="str">
        <f t="shared" si="78"/>
        <v>Medium</v>
      </c>
      <c r="AS458">
        <f t="shared" si="79"/>
        <v>0</v>
      </c>
    </row>
    <row r="459" spans="1:4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s="20">
        <v>1878</v>
      </c>
      <c r="T459">
        <v>8059</v>
      </c>
      <c r="U459">
        <v>1</v>
      </c>
      <c r="V459" t="s">
        <v>42</v>
      </c>
      <c r="W459" t="s">
        <v>35</v>
      </c>
      <c r="X459" s="19">
        <v>14</v>
      </c>
      <c r="Y459">
        <v>3</v>
      </c>
      <c r="Z459">
        <v>4</v>
      </c>
      <c r="AA459">
        <v>80</v>
      </c>
      <c r="AB459">
        <v>0</v>
      </c>
      <c r="AC459">
        <v>0</v>
      </c>
      <c r="AD459">
        <v>3</v>
      </c>
      <c r="AE459">
        <v>3</v>
      </c>
      <c r="AF459">
        <v>0</v>
      </c>
      <c r="AG459">
        <v>0</v>
      </c>
      <c r="AH459">
        <v>0</v>
      </c>
      <c r="AI459">
        <v>0</v>
      </c>
      <c r="AJ459">
        <f t="shared" si="70"/>
        <v>1</v>
      </c>
      <c r="AK459">
        <f t="shared" si="71"/>
        <v>1</v>
      </c>
      <c r="AL459">
        <f t="shared" si="72"/>
        <v>1</v>
      </c>
      <c r="AM459">
        <f t="shared" si="73"/>
        <v>2.75</v>
      </c>
      <c r="AN459">
        <f t="shared" si="74"/>
        <v>22536</v>
      </c>
      <c r="AO459">
        <f t="shared" si="75"/>
        <v>0</v>
      </c>
      <c r="AP459" t="str">
        <f t="shared" si="76"/>
        <v>Under 30</v>
      </c>
      <c r="AQ459" t="str">
        <f t="shared" si="77"/>
        <v>Low</v>
      </c>
      <c r="AR459" t="str">
        <f t="shared" si="78"/>
        <v>Short</v>
      </c>
      <c r="AS459">
        <f t="shared" si="79"/>
        <v>1</v>
      </c>
    </row>
    <row r="460" spans="1:4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s="20">
        <v>10932</v>
      </c>
      <c r="T460">
        <v>11373</v>
      </c>
      <c r="U460">
        <v>3</v>
      </c>
      <c r="V460" t="s">
        <v>42</v>
      </c>
      <c r="W460" t="s">
        <v>43</v>
      </c>
      <c r="X460" s="19">
        <v>15</v>
      </c>
      <c r="Y460">
        <v>3</v>
      </c>
      <c r="Z460">
        <v>3</v>
      </c>
      <c r="AA460">
        <v>80</v>
      </c>
      <c r="AB460">
        <v>1</v>
      </c>
      <c r="AC460">
        <v>20</v>
      </c>
      <c r="AD460">
        <v>2</v>
      </c>
      <c r="AE460">
        <v>3</v>
      </c>
      <c r="AF460">
        <v>1</v>
      </c>
      <c r="AG460">
        <v>0</v>
      </c>
      <c r="AH460">
        <v>0</v>
      </c>
      <c r="AI460">
        <v>1</v>
      </c>
      <c r="AJ460">
        <f t="shared" si="70"/>
        <v>0</v>
      </c>
      <c r="AK460">
        <f t="shared" si="71"/>
        <v>0</v>
      </c>
      <c r="AL460">
        <f t="shared" si="72"/>
        <v>1</v>
      </c>
      <c r="AM460">
        <f t="shared" si="73"/>
        <v>2.5</v>
      </c>
      <c r="AN460">
        <f t="shared" si="74"/>
        <v>65592</v>
      </c>
      <c r="AO460">
        <f t="shared" si="75"/>
        <v>4.7619047619047616E-2</v>
      </c>
      <c r="AP460" t="str">
        <f t="shared" si="76"/>
        <v>40-49</v>
      </c>
      <c r="AQ460" t="str">
        <f t="shared" si="77"/>
        <v>Very High</v>
      </c>
      <c r="AR460" t="str">
        <f t="shared" si="78"/>
        <v>Long</v>
      </c>
      <c r="AS460">
        <f t="shared" si="79"/>
        <v>0</v>
      </c>
    </row>
    <row r="461" spans="1:4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s="20">
        <v>6811</v>
      </c>
      <c r="T461">
        <v>2112</v>
      </c>
      <c r="U461">
        <v>2</v>
      </c>
      <c r="V461" t="s">
        <v>42</v>
      </c>
      <c r="W461" t="s">
        <v>35</v>
      </c>
      <c r="X461" s="19">
        <v>17</v>
      </c>
      <c r="Y461">
        <v>3</v>
      </c>
      <c r="Z461">
        <v>1</v>
      </c>
      <c r="AA461">
        <v>80</v>
      </c>
      <c r="AB461">
        <v>0</v>
      </c>
      <c r="AC461">
        <v>10</v>
      </c>
      <c r="AD461">
        <v>3</v>
      </c>
      <c r="AE461">
        <v>3</v>
      </c>
      <c r="AF461">
        <v>8</v>
      </c>
      <c r="AG461">
        <v>7</v>
      </c>
      <c r="AH461">
        <v>0</v>
      </c>
      <c r="AI461">
        <v>7</v>
      </c>
      <c r="AJ461">
        <f t="shared" si="70"/>
        <v>0</v>
      </c>
      <c r="AK461">
        <f t="shared" si="71"/>
        <v>1</v>
      </c>
      <c r="AL461">
        <f t="shared" si="72"/>
        <v>0</v>
      </c>
      <c r="AM461">
        <f t="shared" si="73"/>
        <v>2</v>
      </c>
      <c r="AN461">
        <f t="shared" si="74"/>
        <v>9081.3333333333339</v>
      </c>
      <c r="AO461">
        <f t="shared" si="75"/>
        <v>0.72727272727272729</v>
      </c>
      <c r="AP461" t="str">
        <f t="shared" si="76"/>
        <v>40-49</v>
      </c>
      <c r="AQ461" t="str">
        <f t="shared" si="77"/>
        <v>High</v>
      </c>
      <c r="AR461" t="str">
        <f t="shared" si="78"/>
        <v>Short</v>
      </c>
      <c r="AS461">
        <f t="shared" si="79"/>
        <v>0</v>
      </c>
    </row>
    <row r="462" spans="1:4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s="20">
        <v>4306</v>
      </c>
      <c r="T462">
        <v>4267</v>
      </c>
      <c r="U462">
        <v>5</v>
      </c>
      <c r="V462" t="s">
        <v>42</v>
      </c>
      <c r="W462" t="s">
        <v>43</v>
      </c>
      <c r="X462" s="19">
        <v>12</v>
      </c>
      <c r="Y462">
        <v>3</v>
      </c>
      <c r="Z462">
        <v>1</v>
      </c>
      <c r="AA462">
        <v>80</v>
      </c>
      <c r="AB462">
        <v>2</v>
      </c>
      <c r="AC462">
        <v>10</v>
      </c>
      <c r="AD462">
        <v>5</v>
      </c>
      <c r="AE462">
        <v>3</v>
      </c>
      <c r="AF462">
        <v>0</v>
      </c>
      <c r="AG462">
        <v>0</v>
      </c>
      <c r="AH462">
        <v>0</v>
      </c>
      <c r="AI462">
        <v>0</v>
      </c>
      <c r="AJ462">
        <f t="shared" si="70"/>
        <v>0</v>
      </c>
      <c r="AK462">
        <f t="shared" si="71"/>
        <v>0</v>
      </c>
      <c r="AL462">
        <f t="shared" si="72"/>
        <v>1</v>
      </c>
      <c r="AM462">
        <f t="shared" si="73"/>
        <v>2</v>
      </c>
      <c r="AN462">
        <f t="shared" si="74"/>
        <v>51672</v>
      </c>
      <c r="AO462">
        <f t="shared" si="75"/>
        <v>0</v>
      </c>
      <c r="AP462" t="str">
        <f t="shared" si="76"/>
        <v>Under 30</v>
      </c>
      <c r="AQ462" t="str">
        <f t="shared" si="77"/>
        <v>Medium</v>
      </c>
      <c r="AR462" t="str">
        <f t="shared" si="78"/>
        <v>Long</v>
      </c>
      <c r="AS462">
        <f t="shared" si="79"/>
        <v>0</v>
      </c>
    </row>
    <row r="463" spans="1:4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s="20">
        <v>4859</v>
      </c>
      <c r="T463">
        <v>6698</v>
      </c>
      <c r="U463">
        <v>1</v>
      </c>
      <c r="V463" t="s">
        <v>42</v>
      </c>
      <c r="W463" t="s">
        <v>43</v>
      </c>
      <c r="X463" s="19">
        <v>16</v>
      </c>
      <c r="Y463">
        <v>3</v>
      </c>
      <c r="Z463">
        <v>4</v>
      </c>
      <c r="AA463">
        <v>80</v>
      </c>
      <c r="AB463">
        <v>0</v>
      </c>
      <c r="AC463">
        <v>5</v>
      </c>
      <c r="AD463">
        <v>3</v>
      </c>
      <c r="AE463">
        <v>3</v>
      </c>
      <c r="AF463">
        <v>5</v>
      </c>
      <c r="AG463">
        <v>4</v>
      </c>
      <c r="AH463">
        <v>0</v>
      </c>
      <c r="AI463">
        <v>3</v>
      </c>
      <c r="AJ463">
        <f t="shared" si="70"/>
        <v>0</v>
      </c>
      <c r="AK463">
        <f t="shared" si="71"/>
        <v>0</v>
      </c>
      <c r="AL463">
        <f t="shared" si="72"/>
        <v>0</v>
      </c>
      <c r="AM463">
        <f t="shared" si="73"/>
        <v>2.75</v>
      </c>
      <c r="AN463">
        <f t="shared" si="74"/>
        <v>9718</v>
      </c>
      <c r="AO463">
        <f t="shared" si="75"/>
        <v>0.83333333333333337</v>
      </c>
      <c r="AP463" t="str">
        <f t="shared" si="76"/>
        <v>30-39</v>
      </c>
      <c r="AQ463" t="str">
        <f t="shared" si="77"/>
        <v>Medium</v>
      </c>
      <c r="AR463" t="str">
        <f t="shared" si="78"/>
        <v>Short</v>
      </c>
      <c r="AS463">
        <f t="shared" si="79"/>
        <v>0</v>
      </c>
    </row>
    <row r="464" spans="1:4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s="20">
        <v>5337</v>
      </c>
      <c r="T464">
        <v>19921</v>
      </c>
      <c r="U464">
        <v>1</v>
      </c>
      <c r="V464" t="s">
        <v>42</v>
      </c>
      <c r="W464" t="s">
        <v>43</v>
      </c>
      <c r="X464" s="19">
        <v>12</v>
      </c>
      <c r="Y464">
        <v>3</v>
      </c>
      <c r="Z464">
        <v>4</v>
      </c>
      <c r="AA464">
        <v>80</v>
      </c>
      <c r="AB464">
        <v>0</v>
      </c>
      <c r="AC464">
        <v>10</v>
      </c>
      <c r="AD464">
        <v>3</v>
      </c>
      <c r="AE464">
        <v>3</v>
      </c>
      <c r="AF464">
        <v>10</v>
      </c>
      <c r="AG464">
        <v>7</v>
      </c>
      <c r="AH464">
        <v>5</v>
      </c>
      <c r="AI464">
        <v>7</v>
      </c>
      <c r="AJ464">
        <f t="shared" si="70"/>
        <v>0</v>
      </c>
      <c r="AK464">
        <f t="shared" si="71"/>
        <v>0</v>
      </c>
      <c r="AL464">
        <f t="shared" si="72"/>
        <v>1</v>
      </c>
      <c r="AM464">
        <f t="shared" si="73"/>
        <v>3.75</v>
      </c>
      <c r="AN464">
        <f t="shared" si="74"/>
        <v>5822.181818181818</v>
      </c>
      <c r="AO464">
        <f t="shared" si="75"/>
        <v>0.90909090909090906</v>
      </c>
      <c r="AP464" t="str">
        <f t="shared" si="76"/>
        <v>30-39</v>
      </c>
      <c r="AQ464" t="str">
        <f t="shared" si="77"/>
        <v>High</v>
      </c>
      <c r="AR464" t="str">
        <f t="shared" si="78"/>
        <v>Long</v>
      </c>
      <c r="AS464">
        <f t="shared" si="79"/>
        <v>0</v>
      </c>
    </row>
    <row r="465" spans="1:4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s="20">
        <v>2340</v>
      </c>
      <c r="T465">
        <v>23213</v>
      </c>
      <c r="U465">
        <v>1</v>
      </c>
      <c r="V465" t="s">
        <v>42</v>
      </c>
      <c r="W465" t="s">
        <v>35</v>
      </c>
      <c r="X465" s="19">
        <v>18</v>
      </c>
      <c r="Y465">
        <v>3</v>
      </c>
      <c r="Z465">
        <v>2</v>
      </c>
      <c r="AA465">
        <v>80</v>
      </c>
      <c r="AB465">
        <v>0</v>
      </c>
      <c r="AC465">
        <v>1</v>
      </c>
      <c r="AD465">
        <v>3</v>
      </c>
      <c r="AE465">
        <v>1</v>
      </c>
      <c r="AF465">
        <v>1</v>
      </c>
      <c r="AG465">
        <v>0</v>
      </c>
      <c r="AH465">
        <v>0</v>
      </c>
      <c r="AI465">
        <v>0</v>
      </c>
      <c r="AJ465">
        <f t="shared" si="70"/>
        <v>1</v>
      </c>
      <c r="AK465">
        <f t="shared" si="71"/>
        <v>1</v>
      </c>
      <c r="AL465">
        <f t="shared" si="72"/>
        <v>1</v>
      </c>
      <c r="AM465">
        <f t="shared" si="73"/>
        <v>2.5</v>
      </c>
      <c r="AN465">
        <f t="shared" si="74"/>
        <v>14040</v>
      </c>
      <c r="AO465">
        <f t="shared" si="75"/>
        <v>0.5</v>
      </c>
      <c r="AP465" t="str">
        <f t="shared" si="76"/>
        <v>Under 30</v>
      </c>
      <c r="AQ465" t="str">
        <f t="shared" si="77"/>
        <v>Low</v>
      </c>
      <c r="AR465" t="str">
        <f t="shared" si="78"/>
        <v>Long</v>
      </c>
      <c r="AS465">
        <f t="shared" si="79"/>
        <v>0</v>
      </c>
    </row>
    <row r="466" spans="1:4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s="20">
        <v>7491</v>
      </c>
      <c r="T466">
        <v>23848</v>
      </c>
      <c r="U466">
        <v>4</v>
      </c>
      <c r="V466" t="s">
        <v>42</v>
      </c>
      <c r="W466" t="s">
        <v>43</v>
      </c>
      <c r="X466" s="19">
        <v>17</v>
      </c>
      <c r="Y466">
        <v>3</v>
      </c>
      <c r="Z466">
        <v>4</v>
      </c>
      <c r="AA466">
        <v>80</v>
      </c>
      <c r="AB466">
        <v>0</v>
      </c>
      <c r="AC466">
        <v>12</v>
      </c>
      <c r="AD466">
        <v>3</v>
      </c>
      <c r="AE466">
        <v>4</v>
      </c>
      <c r="AF466">
        <v>6</v>
      </c>
      <c r="AG466">
        <v>5</v>
      </c>
      <c r="AH466">
        <v>1</v>
      </c>
      <c r="AI466">
        <v>2</v>
      </c>
      <c r="AJ466">
        <f t="shared" si="70"/>
        <v>0</v>
      </c>
      <c r="AK466">
        <f t="shared" si="71"/>
        <v>0</v>
      </c>
      <c r="AL466">
        <f t="shared" si="72"/>
        <v>0</v>
      </c>
      <c r="AM466">
        <f t="shared" si="73"/>
        <v>3.5</v>
      </c>
      <c r="AN466">
        <f t="shared" si="74"/>
        <v>12841.714285714286</v>
      </c>
      <c r="AO466">
        <f t="shared" si="75"/>
        <v>0.46153846153846156</v>
      </c>
      <c r="AP466" t="str">
        <f t="shared" si="76"/>
        <v>30-39</v>
      </c>
      <c r="AQ466" t="str">
        <f t="shared" si="77"/>
        <v>High</v>
      </c>
      <c r="AR466" t="str">
        <f t="shared" si="78"/>
        <v>Short</v>
      </c>
      <c r="AS466">
        <f t="shared" si="79"/>
        <v>0</v>
      </c>
    </row>
    <row r="467" spans="1:4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s="20">
        <v>10527</v>
      </c>
      <c r="T467">
        <v>8984</v>
      </c>
      <c r="U467">
        <v>5</v>
      </c>
      <c r="V467" t="s">
        <v>42</v>
      </c>
      <c r="W467" t="s">
        <v>43</v>
      </c>
      <c r="X467" s="19">
        <v>11</v>
      </c>
      <c r="Y467">
        <v>3</v>
      </c>
      <c r="Z467">
        <v>4</v>
      </c>
      <c r="AA467">
        <v>80</v>
      </c>
      <c r="AB467">
        <v>0</v>
      </c>
      <c r="AC467">
        <v>28</v>
      </c>
      <c r="AD467">
        <v>3</v>
      </c>
      <c r="AE467">
        <v>2</v>
      </c>
      <c r="AF467">
        <v>2</v>
      </c>
      <c r="AG467">
        <v>2</v>
      </c>
      <c r="AH467">
        <v>1</v>
      </c>
      <c r="AI467">
        <v>2</v>
      </c>
      <c r="AJ467">
        <f t="shared" si="70"/>
        <v>0</v>
      </c>
      <c r="AK467">
        <f t="shared" si="71"/>
        <v>0</v>
      </c>
      <c r="AL467">
        <f t="shared" si="72"/>
        <v>0</v>
      </c>
      <c r="AM467">
        <f t="shared" si="73"/>
        <v>2.5</v>
      </c>
      <c r="AN467">
        <f t="shared" si="74"/>
        <v>42108</v>
      </c>
      <c r="AO467">
        <f t="shared" si="75"/>
        <v>6.8965517241379309E-2</v>
      </c>
      <c r="AP467" t="str">
        <f t="shared" si="76"/>
        <v>40-49</v>
      </c>
      <c r="AQ467" t="str">
        <f t="shared" si="77"/>
        <v>Very High</v>
      </c>
      <c r="AR467" t="str">
        <f t="shared" si="78"/>
        <v>Long</v>
      </c>
      <c r="AS467">
        <f t="shared" si="79"/>
        <v>1</v>
      </c>
    </row>
    <row r="468" spans="1:4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s="20">
        <v>16595</v>
      </c>
      <c r="T468">
        <v>5626</v>
      </c>
      <c r="U468">
        <v>7</v>
      </c>
      <c r="V468" t="s">
        <v>42</v>
      </c>
      <c r="W468" t="s">
        <v>43</v>
      </c>
      <c r="X468" s="19">
        <v>16</v>
      </c>
      <c r="Y468">
        <v>3</v>
      </c>
      <c r="Z468">
        <v>2</v>
      </c>
      <c r="AA468">
        <v>80</v>
      </c>
      <c r="AB468">
        <v>1</v>
      </c>
      <c r="AC468">
        <v>22</v>
      </c>
      <c r="AD468">
        <v>2</v>
      </c>
      <c r="AE468">
        <v>3</v>
      </c>
      <c r="AF468">
        <v>18</v>
      </c>
      <c r="AG468">
        <v>16</v>
      </c>
      <c r="AH468">
        <v>11</v>
      </c>
      <c r="AI468">
        <v>8</v>
      </c>
      <c r="AJ468">
        <f t="shared" si="70"/>
        <v>0</v>
      </c>
      <c r="AK468">
        <f t="shared" si="71"/>
        <v>0</v>
      </c>
      <c r="AL468">
        <f t="shared" si="72"/>
        <v>0</v>
      </c>
      <c r="AM468">
        <f t="shared" si="73"/>
        <v>2</v>
      </c>
      <c r="AN468">
        <f t="shared" si="74"/>
        <v>10481.052631578947</v>
      </c>
      <c r="AO468">
        <f t="shared" si="75"/>
        <v>0.78260869565217395</v>
      </c>
      <c r="AP468" t="str">
        <f t="shared" si="76"/>
        <v>40-49</v>
      </c>
      <c r="AQ468" t="str">
        <f t="shared" si="77"/>
        <v>Very High</v>
      </c>
      <c r="AR468" t="str">
        <f t="shared" si="78"/>
        <v>Short</v>
      </c>
      <c r="AS468">
        <f t="shared" si="79"/>
        <v>0</v>
      </c>
    </row>
    <row r="469" spans="1:4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s="20">
        <v>8834</v>
      </c>
      <c r="T469">
        <v>24666</v>
      </c>
      <c r="U469">
        <v>1</v>
      </c>
      <c r="V469" t="s">
        <v>42</v>
      </c>
      <c r="W469" t="s">
        <v>43</v>
      </c>
      <c r="X469" s="19">
        <v>13</v>
      </c>
      <c r="Y469">
        <v>3</v>
      </c>
      <c r="Z469">
        <v>4</v>
      </c>
      <c r="AA469">
        <v>80</v>
      </c>
      <c r="AB469">
        <v>1</v>
      </c>
      <c r="AC469">
        <v>9</v>
      </c>
      <c r="AD469">
        <v>6</v>
      </c>
      <c r="AE469">
        <v>3</v>
      </c>
      <c r="AF469">
        <v>9</v>
      </c>
      <c r="AG469">
        <v>5</v>
      </c>
      <c r="AH469">
        <v>7</v>
      </c>
      <c r="AI469">
        <v>7</v>
      </c>
      <c r="AJ469">
        <f t="shared" si="70"/>
        <v>0</v>
      </c>
      <c r="AK469">
        <f t="shared" si="71"/>
        <v>0</v>
      </c>
      <c r="AL469">
        <f t="shared" si="72"/>
        <v>1</v>
      </c>
      <c r="AM469">
        <f t="shared" si="73"/>
        <v>2.5</v>
      </c>
      <c r="AN469">
        <f t="shared" si="74"/>
        <v>10600.8</v>
      </c>
      <c r="AO469">
        <f t="shared" si="75"/>
        <v>0.9</v>
      </c>
      <c r="AP469" t="str">
        <f t="shared" si="76"/>
        <v>30-39</v>
      </c>
      <c r="AQ469" t="str">
        <f t="shared" si="77"/>
        <v>Very High</v>
      </c>
      <c r="AR469" t="str">
        <f t="shared" si="78"/>
        <v>Medium</v>
      </c>
      <c r="AS469">
        <f t="shared" si="79"/>
        <v>0</v>
      </c>
    </row>
    <row r="470" spans="1:4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s="20">
        <v>5577</v>
      </c>
      <c r="T470">
        <v>22087</v>
      </c>
      <c r="U470">
        <v>3</v>
      </c>
      <c r="V470" t="s">
        <v>42</v>
      </c>
      <c r="W470" t="s">
        <v>35</v>
      </c>
      <c r="X470" s="19">
        <v>12</v>
      </c>
      <c r="Y470">
        <v>3</v>
      </c>
      <c r="Z470">
        <v>2</v>
      </c>
      <c r="AA470">
        <v>80</v>
      </c>
      <c r="AB470">
        <v>2</v>
      </c>
      <c r="AC470">
        <v>18</v>
      </c>
      <c r="AD470">
        <v>3</v>
      </c>
      <c r="AE470">
        <v>3</v>
      </c>
      <c r="AF470">
        <v>10</v>
      </c>
      <c r="AG470">
        <v>9</v>
      </c>
      <c r="AH470">
        <v>6</v>
      </c>
      <c r="AI470">
        <v>9</v>
      </c>
      <c r="AJ470">
        <f t="shared" si="70"/>
        <v>0</v>
      </c>
      <c r="AK470">
        <f t="shared" si="71"/>
        <v>1</v>
      </c>
      <c r="AL470">
        <f t="shared" si="72"/>
        <v>1</v>
      </c>
      <c r="AM470">
        <f t="shared" si="73"/>
        <v>2.5</v>
      </c>
      <c r="AN470">
        <f t="shared" si="74"/>
        <v>6084</v>
      </c>
      <c r="AO470">
        <f t="shared" si="75"/>
        <v>0.52631578947368418</v>
      </c>
      <c r="AP470" t="str">
        <f t="shared" si="76"/>
        <v>50+</v>
      </c>
      <c r="AQ470" t="str">
        <f t="shared" si="77"/>
        <v>High</v>
      </c>
      <c r="AR470" t="str">
        <f t="shared" si="78"/>
        <v>Medium</v>
      </c>
      <c r="AS470">
        <f t="shared" si="79"/>
        <v>0</v>
      </c>
    </row>
    <row r="471" spans="1:4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s="20">
        <v>4707</v>
      </c>
      <c r="T471">
        <v>23914</v>
      </c>
      <c r="U471">
        <v>8</v>
      </c>
      <c r="V471" t="s">
        <v>42</v>
      </c>
      <c r="W471" t="s">
        <v>43</v>
      </c>
      <c r="X471" s="19">
        <v>12</v>
      </c>
      <c r="Y471">
        <v>3</v>
      </c>
      <c r="Z471">
        <v>4</v>
      </c>
      <c r="AA471">
        <v>80</v>
      </c>
      <c r="AB471">
        <v>0</v>
      </c>
      <c r="AC471">
        <v>6</v>
      </c>
      <c r="AD471">
        <v>2</v>
      </c>
      <c r="AE471">
        <v>3</v>
      </c>
      <c r="AF471">
        <v>4</v>
      </c>
      <c r="AG471">
        <v>2</v>
      </c>
      <c r="AH471">
        <v>1</v>
      </c>
      <c r="AI471">
        <v>2</v>
      </c>
      <c r="AJ471">
        <f t="shared" si="70"/>
        <v>1</v>
      </c>
      <c r="AK471">
        <f t="shared" si="71"/>
        <v>0</v>
      </c>
      <c r="AL471">
        <f t="shared" si="72"/>
        <v>1</v>
      </c>
      <c r="AM471">
        <f t="shared" si="73"/>
        <v>3.5</v>
      </c>
      <c r="AN471">
        <f t="shared" si="74"/>
        <v>11296.8</v>
      </c>
      <c r="AO471">
        <f t="shared" si="75"/>
        <v>0.5714285714285714</v>
      </c>
      <c r="AP471" t="str">
        <f t="shared" si="76"/>
        <v>30-39</v>
      </c>
      <c r="AQ471" t="str">
        <f t="shared" si="77"/>
        <v>Medium</v>
      </c>
      <c r="AR471" t="str">
        <f t="shared" si="78"/>
        <v>Medium</v>
      </c>
      <c r="AS471">
        <f t="shared" si="79"/>
        <v>0</v>
      </c>
    </row>
    <row r="472" spans="1:45" x14ac:dyDescent="0.3">
      <c r="A472">
        <v>24</v>
      </c>
      <c r="B472" t="s">
        <v>43</v>
      </c>
      <c r="C472" t="s">
        <v>36</v>
      </c>
      <c r="D472">
        <v>535</v>
      </c>
      <c r="E472" t="s">
        <v>37</v>
      </c>
      <c r="F472">
        <v>24</v>
      </c>
      <c r="G472">
        <v>3</v>
      </c>
      <c r="H472" t="s">
        <v>51</v>
      </c>
      <c r="I472">
        <v>1</v>
      </c>
      <c r="J472">
        <v>632</v>
      </c>
      <c r="K472">
        <v>4</v>
      </c>
      <c r="L472" t="s">
        <v>46</v>
      </c>
      <c r="M472">
        <v>38</v>
      </c>
      <c r="N472">
        <v>3</v>
      </c>
      <c r="O472">
        <v>1</v>
      </c>
      <c r="P472" t="s">
        <v>57</v>
      </c>
      <c r="Q472">
        <v>4</v>
      </c>
      <c r="R472" t="s">
        <v>48</v>
      </c>
      <c r="S472" s="20">
        <v>2400</v>
      </c>
      <c r="T472">
        <v>5530</v>
      </c>
      <c r="U472">
        <v>0</v>
      </c>
      <c r="V472" t="s">
        <v>42</v>
      </c>
      <c r="W472" t="s">
        <v>43</v>
      </c>
      <c r="X472" s="19">
        <v>13</v>
      </c>
      <c r="Y472">
        <v>3</v>
      </c>
      <c r="Z472">
        <v>3</v>
      </c>
      <c r="AA472">
        <v>80</v>
      </c>
      <c r="AB472">
        <v>2</v>
      </c>
      <c r="AC472">
        <v>3</v>
      </c>
      <c r="AD472">
        <v>3</v>
      </c>
      <c r="AE472">
        <v>3</v>
      </c>
      <c r="AF472">
        <v>2</v>
      </c>
      <c r="AG472">
        <v>2</v>
      </c>
      <c r="AH472">
        <v>2</v>
      </c>
      <c r="AI472">
        <v>1</v>
      </c>
      <c r="AJ472">
        <f t="shared" si="70"/>
        <v>0</v>
      </c>
      <c r="AK472">
        <f t="shared" si="71"/>
        <v>0</v>
      </c>
      <c r="AL472">
        <f t="shared" si="72"/>
        <v>1</v>
      </c>
      <c r="AM472">
        <f t="shared" si="73"/>
        <v>3.5</v>
      </c>
      <c r="AN472">
        <f t="shared" si="74"/>
        <v>9600</v>
      </c>
      <c r="AO472">
        <f t="shared" si="75"/>
        <v>0.5</v>
      </c>
      <c r="AP472" t="str">
        <f t="shared" si="76"/>
        <v>Under 30</v>
      </c>
      <c r="AQ472" t="str">
        <f t="shared" si="77"/>
        <v>Low</v>
      </c>
      <c r="AR472" t="str">
        <f t="shared" si="78"/>
        <v>Long</v>
      </c>
      <c r="AS472">
        <f t="shared" si="79"/>
        <v>0</v>
      </c>
    </row>
    <row r="473" spans="1:4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s="20">
        <v>9824</v>
      </c>
      <c r="T473">
        <v>22174</v>
      </c>
      <c r="U473">
        <v>3</v>
      </c>
      <c r="V473" t="s">
        <v>42</v>
      </c>
      <c r="W473" t="s">
        <v>43</v>
      </c>
      <c r="X473" s="19">
        <v>19</v>
      </c>
      <c r="Y473">
        <v>3</v>
      </c>
      <c r="Z473">
        <v>3</v>
      </c>
      <c r="AA473">
        <v>80</v>
      </c>
      <c r="AB473">
        <v>1</v>
      </c>
      <c r="AC473">
        <v>18</v>
      </c>
      <c r="AD473">
        <v>4</v>
      </c>
      <c r="AE473">
        <v>3</v>
      </c>
      <c r="AF473">
        <v>1</v>
      </c>
      <c r="AG473">
        <v>0</v>
      </c>
      <c r="AH473">
        <v>0</v>
      </c>
      <c r="AI473">
        <v>0</v>
      </c>
      <c r="AJ473">
        <f t="shared" si="70"/>
        <v>0</v>
      </c>
      <c r="AK473">
        <f t="shared" si="71"/>
        <v>0</v>
      </c>
      <c r="AL473">
        <f t="shared" si="72"/>
        <v>0</v>
      </c>
      <c r="AM473">
        <f t="shared" si="73"/>
        <v>3</v>
      </c>
      <c r="AN473">
        <f t="shared" si="74"/>
        <v>58944</v>
      </c>
      <c r="AO473">
        <f t="shared" si="75"/>
        <v>5.2631578947368418E-2</v>
      </c>
      <c r="AP473" t="str">
        <f t="shared" si="76"/>
        <v>30-39</v>
      </c>
      <c r="AQ473" t="str">
        <f t="shared" si="77"/>
        <v>Very High</v>
      </c>
      <c r="AR473" t="str">
        <f t="shared" si="78"/>
        <v>Medium</v>
      </c>
      <c r="AS473">
        <f t="shared" si="79"/>
        <v>0</v>
      </c>
    </row>
    <row r="474" spans="1:4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s="20">
        <v>6447</v>
      </c>
      <c r="T474">
        <v>15701</v>
      </c>
      <c r="U474">
        <v>6</v>
      </c>
      <c r="V474" t="s">
        <v>42</v>
      </c>
      <c r="W474" t="s">
        <v>43</v>
      </c>
      <c r="X474" s="19">
        <v>12</v>
      </c>
      <c r="Y474">
        <v>3</v>
      </c>
      <c r="Z474">
        <v>2</v>
      </c>
      <c r="AA474">
        <v>80</v>
      </c>
      <c r="AB474">
        <v>1</v>
      </c>
      <c r="AC474">
        <v>8</v>
      </c>
      <c r="AD474">
        <v>2</v>
      </c>
      <c r="AE474">
        <v>2</v>
      </c>
      <c r="AF474">
        <v>6</v>
      </c>
      <c r="AG474">
        <v>5</v>
      </c>
      <c r="AH474">
        <v>4</v>
      </c>
      <c r="AI474">
        <v>3</v>
      </c>
      <c r="AJ474">
        <f t="shared" si="70"/>
        <v>0</v>
      </c>
      <c r="AK474">
        <f t="shared" si="71"/>
        <v>0</v>
      </c>
      <c r="AL474">
        <f t="shared" si="72"/>
        <v>0</v>
      </c>
      <c r="AM474">
        <f t="shared" si="73"/>
        <v>2</v>
      </c>
      <c r="AN474">
        <f t="shared" si="74"/>
        <v>11052</v>
      </c>
      <c r="AO474">
        <f t="shared" si="75"/>
        <v>0.66666666666666663</v>
      </c>
      <c r="AP474" t="str">
        <f t="shared" si="76"/>
        <v>30-39</v>
      </c>
      <c r="AQ474" t="str">
        <f t="shared" si="77"/>
        <v>High</v>
      </c>
      <c r="AR474" t="str">
        <f t="shared" si="78"/>
        <v>Short</v>
      </c>
      <c r="AS474">
        <f t="shared" si="79"/>
        <v>0</v>
      </c>
    </row>
    <row r="475" spans="1:4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s="20">
        <v>19502</v>
      </c>
      <c r="T475">
        <v>2125</v>
      </c>
      <c r="U475">
        <v>1</v>
      </c>
      <c r="V475" t="s">
        <v>42</v>
      </c>
      <c r="W475" t="s">
        <v>35</v>
      </c>
      <c r="X475" s="19">
        <v>17</v>
      </c>
      <c r="Y475">
        <v>3</v>
      </c>
      <c r="Z475">
        <v>3</v>
      </c>
      <c r="AA475">
        <v>80</v>
      </c>
      <c r="AB475">
        <v>1</v>
      </c>
      <c r="AC475">
        <v>31</v>
      </c>
      <c r="AD475">
        <v>5</v>
      </c>
      <c r="AE475">
        <v>3</v>
      </c>
      <c r="AF475">
        <v>31</v>
      </c>
      <c r="AG475">
        <v>9</v>
      </c>
      <c r="AH475">
        <v>0</v>
      </c>
      <c r="AI475">
        <v>9</v>
      </c>
      <c r="AJ475">
        <f t="shared" si="70"/>
        <v>0</v>
      </c>
      <c r="AK475">
        <f t="shared" si="71"/>
        <v>1</v>
      </c>
      <c r="AL475">
        <f t="shared" si="72"/>
        <v>1</v>
      </c>
      <c r="AM475">
        <f t="shared" si="73"/>
        <v>3.25</v>
      </c>
      <c r="AN475">
        <f t="shared" si="74"/>
        <v>7313.25</v>
      </c>
      <c r="AO475">
        <f t="shared" si="75"/>
        <v>0.96875</v>
      </c>
      <c r="AP475" t="str">
        <f t="shared" si="76"/>
        <v>40-49</v>
      </c>
      <c r="AQ475" t="str">
        <f t="shared" si="77"/>
        <v>Very High</v>
      </c>
      <c r="AR475" t="str">
        <f t="shared" si="78"/>
        <v>Long</v>
      </c>
      <c r="AS475">
        <f t="shared" si="79"/>
        <v>0</v>
      </c>
    </row>
    <row r="476" spans="1:4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s="20">
        <v>2725</v>
      </c>
      <c r="T476">
        <v>21630</v>
      </c>
      <c r="U476">
        <v>1</v>
      </c>
      <c r="V476" t="s">
        <v>42</v>
      </c>
      <c r="W476" t="s">
        <v>35</v>
      </c>
      <c r="X476" s="19">
        <v>11</v>
      </c>
      <c r="Y476">
        <v>3</v>
      </c>
      <c r="Z476">
        <v>2</v>
      </c>
      <c r="AA476">
        <v>80</v>
      </c>
      <c r="AB476">
        <v>2</v>
      </c>
      <c r="AC476">
        <v>6</v>
      </c>
      <c r="AD476">
        <v>3</v>
      </c>
      <c r="AE476">
        <v>3</v>
      </c>
      <c r="AF476">
        <v>6</v>
      </c>
      <c r="AG476">
        <v>5</v>
      </c>
      <c r="AH476">
        <v>1</v>
      </c>
      <c r="AI476">
        <v>4</v>
      </c>
      <c r="AJ476">
        <f t="shared" si="70"/>
        <v>0</v>
      </c>
      <c r="AK476">
        <f t="shared" si="71"/>
        <v>1</v>
      </c>
      <c r="AL476">
        <f t="shared" si="72"/>
        <v>1</v>
      </c>
      <c r="AM476">
        <f t="shared" si="73"/>
        <v>2.75</v>
      </c>
      <c r="AN476">
        <f t="shared" si="74"/>
        <v>4671.4285714285716</v>
      </c>
      <c r="AO476">
        <f t="shared" si="75"/>
        <v>0.8571428571428571</v>
      </c>
      <c r="AP476" t="str">
        <f t="shared" si="76"/>
        <v>Under 30</v>
      </c>
      <c r="AQ476" t="str">
        <f t="shared" si="77"/>
        <v>Low</v>
      </c>
      <c r="AR476" t="str">
        <f t="shared" si="78"/>
        <v>Long</v>
      </c>
      <c r="AS476">
        <f t="shared" si="79"/>
        <v>0</v>
      </c>
    </row>
    <row r="477" spans="1:4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s="20">
        <v>6272</v>
      </c>
      <c r="T477">
        <v>7428</v>
      </c>
      <c r="U477">
        <v>1</v>
      </c>
      <c r="V477" t="s">
        <v>42</v>
      </c>
      <c r="W477" t="s">
        <v>43</v>
      </c>
      <c r="X477" s="19">
        <v>20</v>
      </c>
      <c r="Y477">
        <v>4</v>
      </c>
      <c r="Z477">
        <v>4</v>
      </c>
      <c r="AA477">
        <v>80</v>
      </c>
      <c r="AB477">
        <v>2</v>
      </c>
      <c r="AC477">
        <v>6</v>
      </c>
      <c r="AD477">
        <v>5</v>
      </c>
      <c r="AE477">
        <v>4</v>
      </c>
      <c r="AF477">
        <v>5</v>
      </c>
      <c r="AG477">
        <v>3</v>
      </c>
      <c r="AH477">
        <v>1</v>
      </c>
      <c r="AI477">
        <v>4</v>
      </c>
      <c r="AJ477">
        <f t="shared" si="70"/>
        <v>0</v>
      </c>
      <c r="AK477">
        <f t="shared" si="71"/>
        <v>0</v>
      </c>
      <c r="AL477">
        <f t="shared" si="72"/>
        <v>1</v>
      </c>
      <c r="AM477">
        <f t="shared" si="73"/>
        <v>2.75</v>
      </c>
      <c r="AN477">
        <f t="shared" si="74"/>
        <v>12544</v>
      </c>
      <c r="AO477">
        <f t="shared" si="75"/>
        <v>0.7142857142857143</v>
      </c>
      <c r="AP477" t="str">
        <f t="shared" si="76"/>
        <v>Under 30</v>
      </c>
      <c r="AQ477" t="str">
        <f t="shared" si="77"/>
        <v>High</v>
      </c>
      <c r="AR477" t="str">
        <f t="shared" si="78"/>
        <v>Long</v>
      </c>
      <c r="AS477">
        <f t="shared" si="79"/>
        <v>0</v>
      </c>
    </row>
    <row r="478" spans="1:4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s="20">
        <v>2127</v>
      </c>
      <c r="T478">
        <v>9100</v>
      </c>
      <c r="U478">
        <v>1</v>
      </c>
      <c r="V478" t="s">
        <v>42</v>
      </c>
      <c r="W478" t="s">
        <v>43</v>
      </c>
      <c r="X478" s="19">
        <v>21</v>
      </c>
      <c r="Y478">
        <v>4</v>
      </c>
      <c r="Z478">
        <v>4</v>
      </c>
      <c r="AA478">
        <v>80</v>
      </c>
      <c r="AB478">
        <v>1</v>
      </c>
      <c r="AC478">
        <v>1</v>
      </c>
      <c r="AD478">
        <v>2</v>
      </c>
      <c r="AE478">
        <v>3</v>
      </c>
      <c r="AF478">
        <v>1</v>
      </c>
      <c r="AG478">
        <v>0</v>
      </c>
      <c r="AH478">
        <v>0</v>
      </c>
      <c r="AI478">
        <v>0</v>
      </c>
      <c r="AJ478">
        <f t="shared" si="70"/>
        <v>0</v>
      </c>
      <c r="AK478">
        <f t="shared" si="71"/>
        <v>0</v>
      </c>
      <c r="AL478">
        <f t="shared" si="72"/>
        <v>1</v>
      </c>
      <c r="AM478">
        <f t="shared" si="73"/>
        <v>3.25</v>
      </c>
      <c r="AN478">
        <f t="shared" si="74"/>
        <v>12762</v>
      </c>
      <c r="AO478">
        <f t="shared" si="75"/>
        <v>0.5</v>
      </c>
      <c r="AP478" t="str">
        <f t="shared" si="76"/>
        <v>Under 30</v>
      </c>
      <c r="AQ478" t="str">
        <f t="shared" si="77"/>
        <v>Low</v>
      </c>
      <c r="AR478" t="str">
        <f t="shared" si="78"/>
        <v>Long</v>
      </c>
      <c r="AS478">
        <f t="shared" si="79"/>
        <v>0</v>
      </c>
    </row>
    <row r="479" spans="1:4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s="20">
        <v>18200</v>
      </c>
      <c r="T479">
        <v>7999</v>
      </c>
      <c r="U479">
        <v>1</v>
      </c>
      <c r="V479" t="s">
        <v>42</v>
      </c>
      <c r="W479" t="s">
        <v>43</v>
      </c>
      <c r="X479" s="19">
        <v>11</v>
      </c>
      <c r="Y479">
        <v>3</v>
      </c>
      <c r="Z479">
        <v>3</v>
      </c>
      <c r="AA479">
        <v>80</v>
      </c>
      <c r="AB479">
        <v>1</v>
      </c>
      <c r="AC479">
        <v>32</v>
      </c>
      <c r="AD479">
        <v>2</v>
      </c>
      <c r="AE479">
        <v>3</v>
      </c>
      <c r="AF479">
        <v>32</v>
      </c>
      <c r="AG479">
        <v>5</v>
      </c>
      <c r="AH479">
        <v>10</v>
      </c>
      <c r="AI479">
        <v>7</v>
      </c>
      <c r="AJ479">
        <f t="shared" si="70"/>
        <v>0</v>
      </c>
      <c r="AK479">
        <f t="shared" si="71"/>
        <v>0</v>
      </c>
      <c r="AL479">
        <f t="shared" si="72"/>
        <v>1</v>
      </c>
      <c r="AM479">
        <f t="shared" si="73"/>
        <v>2.25</v>
      </c>
      <c r="AN479">
        <f t="shared" si="74"/>
        <v>6618.181818181818</v>
      </c>
      <c r="AO479">
        <f t="shared" si="75"/>
        <v>0.96969696969696972</v>
      </c>
      <c r="AP479" t="str">
        <f t="shared" si="76"/>
        <v>50+</v>
      </c>
      <c r="AQ479" t="str">
        <f t="shared" si="77"/>
        <v>Very High</v>
      </c>
      <c r="AR479" t="str">
        <f t="shared" si="78"/>
        <v>Short</v>
      </c>
      <c r="AS479">
        <f t="shared" si="79"/>
        <v>1</v>
      </c>
    </row>
    <row r="480" spans="1:4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s="20">
        <v>2096</v>
      </c>
      <c r="T480">
        <v>26376</v>
      </c>
      <c r="U480">
        <v>1</v>
      </c>
      <c r="V480" t="s">
        <v>42</v>
      </c>
      <c r="W480" t="s">
        <v>43</v>
      </c>
      <c r="X480" s="19">
        <v>11</v>
      </c>
      <c r="Y480">
        <v>3</v>
      </c>
      <c r="Z480">
        <v>3</v>
      </c>
      <c r="AA480">
        <v>80</v>
      </c>
      <c r="AB480">
        <v>0</v>
      </c>
      <c r="AC480">
        <v>7</v>
      </c>
      <c r="AD480">
        <v>1</v>
      </c>
      <c r="AE480">
        <v>3</v>
      </c>
      <c r="AF480">
        <v>7</v>
      </c>
      <c r="AG480">
        <v>4</v>
      </c>
      <c r="AH480">
        <v>0</v>
      </c>
      <c r="AI480">
        <v>6</v>
      </c>
      <c r="AJ480">
        <f t="shared" si="70"/>
        <v>0</v>
      </c>
      <c r="AK480">
        <f t="shared" si="71"/>
        <v>0</v>
      </c>
      <c r="AL480">
        <f t="shared" si="72"/>
        <v>1</v>
      </c>
      <c r="AM480">
        <f t="shared" si="73"/>
        <v>2.75</v>
      </c>
      <c r="AN480">
        <f t="shared" si="74"/>
        <v>3144</v>
      </c>
      <c r="AO480">
        <f t="shared" si="75"/>
        <v>0.875</v>
      </c>
      <c r="AP480" t="str">
        <f t="shared" si="76"/>
        <v>Under 30</v>
      </c>
      <c r="AQ480" t="str">
        <f t="shared" si="77"/>
        <v>Low</v>
      </c>
      <c r="AR480" t="str">
        <f t="shared" si="78"/>
        <v>Medium</v>
      </c>
      <c r="AS480">
        <f t="shared" si="79"/>
        <v>0</v>
      </c>
    </row>
    <row r="481" spans="1:4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s="20">
        <v>2886</v>
      </c>
      <c r="T481">
        <v>14168</v>
      </c>
      <c r="U481">
        <v>1</v>
      </c>
      <c r="V481" t="s">
        <v>42</v>
      </c>
      <c r="W481" t="s">
        <v>35</v>
      </c>
      <c r="X481" s="19">
        <v>16</v>
      </c>
      <c r="Y481">
        <v>3</v>
      </c>
      <c r="Z481">
        <v>4</v>
      </c>
      <c r="AA481">
        <v>80</v>
      </c>
      <c r="AB481">
        <v>1</v>
      </c>
      <c r="AC481">
        <v>6</v>
      </c>
      <c r="AD481">
        <v>4</v>
      </c>
      <c r="AE481">
        <v>3</v>
      </c>
      <c r="AF481">
        <v>6</v>
      </c>
      <c r="AG481">
        <v>3</v>
      </c>
      <c r="AH481">
        <v>1</v>
      </c>
      <c r="AI481">
        <v>2</v>
      </c>
      <c r="AJ481">
        <f t="shared" si="70"/>
        <v>1</v>
      </c>
      <c r="AK481">
        <f t="shared" si="71"/>
        <v>1</v>
      </c>
      <c r="AL481">
        <f t="shared" si="72"/>
        <v>0</v>
      </c>
      <c r="AM481">
        <f t="shared" si="73"/>
        <v>2.75</v>
      </c>
      <c r="AN481">
        <f t="shared" si="74"/>
        <v>4947.4285714285716</v>
      </c>
      <c r="AO481">
        <f t="shared" si="75"/>
        <v>0.8571428571428571</v>
      </c>
      <c r="AP481" t="str">
        <f t="shared" si="76"/>
        <v>Under 30</v>
      </c>
      <c r="AQ481" t="str">
        <f t="shared" si="77"/>
        <v>Low</v>
      </c>
      <c r="AR481" t="str">
        <f t="shared" si="78"/>
        <v>Medium</v>
      </c>
      <c r="AS481">
        <f t="shared" si="79"/>
        <v>1</v>
      </c>
    </row>
    <row r="482" spans="1:4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s="20">
        <v>2033</v>
      </c>
      <c r="T482">
        <v>14470</v>
      </c>
      <c r="U482">
        <v>1</v>
      </c>
      <c r="V482" t="s">
        <v>42</v>
      </c>
      <c r="W482" t="s">
        <v>43</v>
      </c>
      <c r="X482" s="19">
        <v>18</v>
      </c>
      <c r="Y482">
        <v>3</v>
      </c>
      <c r="Z482">
        <v>3</v>
      </c>
      <c r="AA482">
        <v>80</v>
      </c>
      <c r="AB482">
        <v>1</v>
      </c>
      <c r="AC482">
        <v>1</v>
      </c>
      <c r="AD482">
        <v>2</v>
      </c>
      <c r="AE482">
        <v>4</v>
      </c>
      <c r="AF482">
        <v>1</v>
      </c>
      <c r="AG482">
        <v>0</v>
      </c>
      <c r="AH482">
        <v>0</v>
      </c>
      <c r="AI482">
        <v>0</v>
      </c>
      <c r="AJ482">
        <f t="shared" si="70"/>
        <v>1</v>
      </c>
      <c r="AK482">
        <f t="shared" si="71"/>
        <v>0</v>
      </c>
      <c r="AL482">
        <f t="shared" si="72"/>
        <v>1</v>
      </c>
      <c r="AM482">
        <f t="shared" si="73"/>
        <v>2.5</v>
      </c>
      <c r="AN482">
        <f t="shared" si="74"/>
        <v>12198</v>
      </c>
      <c r="AO482">
        <f t="shared" si="75"/>
        <v>0.5</v>
      </c>
      <c r="AP482" t="str">
        <f t="shared" si="76"/>
        <v>30-39</v>
      </c>
      <c r="AQ482" t="str">
        <f t="shared" si="77"/>
        <v>Low</v>
      </c>
      <c r="AR482" t="str">
        <f t="shared" si="78"/>
        <v>Medium</v>
      </c>
      <c r="AS482">
        <f t="shared" si="79"/>
        <v>1</v>
      </c>
    </row>
    <row r="483" spans="1:4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s="20">
        <v>3622</v>
      </c>
      <c r="T483">
        <v>22794</v>
      </c>
      <c r="U483">
        <v>1</v>
      </c>
      <c r="V483" t="s">
        <v>42</v>
      </c>
      <c r="W483" t="s">
        <v>35</v>
      </c>
      <c r="X483" s="19">
        <v>13</v>
      </c>
      <c r="Y483">
        <v>3</v>
      </c>
      <c r="Z483">
        <v>4</v>
      </c>
      <c r="AA483">
        <v>80</v>
      </c>
      <c r="AB483">
        <v>1</v>
      </c>
      <c r="AC483">
        <v>6</v>
      </c>
      <c r="AD483">
        <v>3</v>
      </c>
      <c r="AE483">
        <v>3</v>
      </c>
      <c r="AF483">
        <v>6</v>
      </c>
      <c r="AG483">
        <v>5</v>
      </c>
      <c r="AH483">
        <v>1</v>
      </c>
      <c r="AI483">
        <v>3</v>
      </c>
      <c r="AJ483">
        <f t="shared" si="70"/>
        <v>0</v>
      </c>
      <c r="AK483">
        <f t="shared" si="71"/>
        <v>1</v>
      </c>
      <c r="AL483">
        <f t="shared" si="72"/>
        <v>1</v>
      </c>
      <c r="AM483">
        <f t="shared" si="73"/>
        <v>3.25</v>
      </c>
      <c r="AN483">
        <f t="shared" si="74"/>
        <v>6209.1428571428569</v>
      </c>
      <c r="AO483">
        <f t="shared" si="75"/>
        <v>0.8571428571428571</v>
      </c>
      <c r="AP483" t="str">
        <f t="shared" si="76"/>
        <v>30-39</v>
      </c>
      <c r="AQ483" t="str">
        <f t="shared" si="77"/>
        <v>Medium</v>
      </c>
      <c r="AR483" t="str">
        <f t="shared" si="78"/>
        <v>Short</v>
      </c>
      <c r="AS483">
        <f t="shared" si="79"/>
        <v>0</v>
      </c>
    </row>
    <row r="484" spans="1:4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s="20">
        <v>4233</v>
      </c>
      <c r="T484">
        <v>11512</v>
      </c>
      <c r="U484">
        <v>2</v>
      </c>
      <c r="V484" t="s">
        <v>42</v>
      </c>
      <c r="W484" t="s">
        <v>43</v>
      </c>
      <c r="X484" s="19">
        <v>17</v>
      </c>
      <c r="Y484">
        <v>3</v>
      </c>
      <c r="Z484">
        <v>3</v>
      </c>
      <c r="AA484">
        <v>80</v>
      </c>
      <c r="AB484">
        <v>0</v>
      </c>
      <c r="AC484">
        <v>9</v>
      </c>
      <c r="AD484">
        <v>2</v>
      </c>
      <c r="AE484">
        <v>1</v>
      </c>
      <c r="AF484">
        <v>3</v>
      </c>
      <c r="AG484">
        <v>1</v>
      </c>
      <c r="AH484">
        <v>1</v>
      </c>
      <c r="AI484">
        <v>2</v>
      </c>
      <c r="AJ484">
        <f t="shared" si="70"/>
        <v>1</v>
      </c>
      <c r="AK484">
        <f t="shared" si="71"/>
        <v>0</v>
      </c>
      <c r="AL484">
        <f t="shared" si="72"/>
        <v>1</v>
      </c>
      <c r="AM484">
        <f t="shared" si="73"/>
        <v>1.75</v>
      </c>
      <c r="AN484">
        <f t="shared" si="74"/>
        <v>12699</v>
      </c>
      <c r="AO484">
        <f t="shared" si="75"/>
        <v>0.3</v>
      </c>
      <c r="AP484" t="str">
        <f t="shared" si="76"/>
        <v>30-39</v>
      </c>
      <c r="AQ484" t="str">
        <f t="shared" si="77"/>
        <v>Medium</v>
      </c>
      <c r="AR484" t="str">
        <f t="shared" si="78"/>
        <v>Medium</v>
      </c>
      <c r="AS484">
        <f t="shared" si="79"/>
        <v>0</v>
      </c>
    </row>
    <row r="485" spans="1:4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s="20">
        <v>3681</v>
      </c>
      <c r="T485">
        <v>14004</v>
      </c>
      <c r="U485">
        <v>4</v>
      </c>
      <c r="V485" t="s">
        <v>42</v>
      </c>
      <c r="W485" t="s">
        <v>43</v>
      </c>
      <c r="X485" s="19">
        <v>14</v>
      </c>
      <c r="Y485">
        <v>3</v>
      </c>
      <c r="Z485">
        <v>4</v>
      </c>
      <c r="AA485">
        <v>80</v>
      </c>
      <c r="AB485">
        <v>0</v>
      </c>
      <c r="AC485">
        <v>9</v>
      </c>
      <c r="AD485">
        <v>3</v>
      </c>
      <c r="AE485">
        <v>3</v>
      </c>
      <c r="AF485">
        <v>3</v>
      </c>
      <c r="AG485">
        <v>2</v>
      </c>
      <c r="AH485">
        <v>0</v>
      </c>
      <c r="AI485">
        <v>2</v>
      </c>
      <c r="AJ485">
        <f t="shared" si="70"/>
        <v>0</v>
      </c>
      <c r="AK485">
        <f t="shared" si="71"/>
        <v>0</v>
      </c>
      <c r="AL485">
        <f t="shared" si="72"/>
        <v>1</v>
      </c>
      <c r="AM485">
        <f t="shared" si="73"/>
        <v>3</v>
      </c>
      <c r="AN485">
        <f t="shared" si="74"/>
        <v>11043</v>
      </c>
      <c r="AO485">
        <f t="shared" si="75"/>
        <v>0.3</v>
      </c>
      <c r="AP485" t="str">
        <f t="shared" si="76"/>
        <v>30-39</v>
      </c>
      <c r="AQ485" t="str">
        <f t="shared" si="77"/>
        <v>Medium</v>
      </c>
      <c r="AR485" t="str">
        <f t="shared" si="78"/>
        <v>Long</v>
      </c>
      <c r="AS485">
        <f t="shared" si="79"/>
        <v>0</v>
      </c>
    </row>
    <row r="486" spans="1:4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s="20">
        <v>5460</v>
      </c>
      <c r="T486">
        <v>6219</v>
      </c>
      <c r="U486">
        <v>4</v>
      </c>
      <c r="V486" t="s">
        <v>42</v>
      </c>
      <c r="W486" t="s">
        <v>43</v>
      </c>
      <c r="X486" s="19">
        <v>22</v>
      </c>
      <c r="Y486">
        <v>4</v>
      </c>
      <c r="Z486">
        <v>4</v>
      </c>
      <c r="AA486">
        <v>80</v>
      </c>
      <c r="AB486">
        <v>2</v>
      </c>
      <c r="AC486">
        <v>13</v>
      </c>
      <c r="AD486">
        <v>4</v>
      </c>
      <c r="AE486">
        <v>4</v>
      </c>
      <c r="AF486">
        <v>7</v>
      </c>
      <c r="AG486">
        <v>7</v>
      </c>
      <c r="AH486">
        <v>5</v>
      </c>
      <c r="AI486">
        <v>7</v>
      </c>
      <c r="AJ486">
        <f t="shared" si="70"/>
        <v>0</v>
      </c>
      <c r="AK486">
        <f t="shared" si="71"/>
        <v>0</v>
      </c>
      <c r="AL486">
        <f t="shared" si="72"/>
        <v>1</v>
      </c>
      <c r="AM486">
        <f t="shared" si="73"/>
        <v>3.25</v>
      </c>
      <c r="AN486">
        <f t="shared" si="74"/>
        <v>8190</v>
      </c>
      <c r="AO486">
        <f t="shared" si="75"/>
        <v>0.5</v>
      </c>
      <c r="AP486" t="str">
        <f t="shared" si="76"/>
        <v>30-39</v>
      </c>
      <c r="AQ486" t="str">
        <f t="shared" si="77"/>
        <v>High</v>
      </c>
      <c r="AR486" t="str">
        <f t="shared" si="78"/>
        <v>Medium</v>
      </c>
      <c r="AS486">
        <f t="shared" si="79"/>
        <v>0</v>
      </c>
    </row>
    <row r="487" spans="1:4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s="20">
        <v>2187</v>
      </c>
      <c r="T487">
        <v>5013</v>
      </c>
      <c r="U487">
        <v>0</v>
      </c>
      <c r="V487" t="s">
        <v>42</v>
      </c>
      <c r="W487" t="s">
        <v>43</v>
      </c>
      <c r="X487" s="19">
        <v>12</v>
      </c>
      <c r="Y487">
        <v>3</v>
      </c>
      <c r="Z487">
        <v>3</v>
      </c>
      <c r="AA487">
        <v>80</v>
      </c>
      <c r="AB487">
        <v>2</v>
      </c>
      <c r="AC487">
        <v>6</v>
      </c>
      <c r="AD487">
        <v>5</v>
      </c>
      <c r="AE487">
        <v>2</v>
      </c>
      <c r="AF487">
        <v>5</v>
      </c>
      <c r="AG487">
        <v>3</v>
      </c>
      <c r="AH487">
        <v>0</v>
      </c>
      <c r="AI487">
        <v>3</v>
      </c>
      <c r="AJ487">
        <f t="shared" si="70"/>
        <v>0</v>
      </c>
      <c r="AK487">
        <f t="shared" si="71"/>
        <v>0</v>
      </c>
      <c r="AL487">
        <f t="shared" si="72"/>
        <v>0</v>
      </c>
      <c r="AM487">
        <f t="shared" si="73"/>
        <v>2.25</v>
      </c>
      <c r="AN487">
        <f t="shared" si="74"/>
        <v>4374</v>
      </c>
      <c r="AO487">
        <f t="shared" si="75"/>
        <v>0.7142857142857143</v>
      </c>
      <c r="AP487" t="str">
        <f t="shared" si="76"/>
        <v>Under 30</v>
      </c>
      <c r="AQ487" t="str">
        <f t="shared" si="77"/>
        <v>Low</v>
      </c>
      <c r="AR487" t="str">
        <f t="shared" si="78"/>
        <v>Medium</v>
      </c>
      <c r="AS487">
        <f t="shared" si="79"/>
        <v>0</v>
      </c>
    </row>
    <row r="488" spans="1:4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s="20">
        <v>9602</v>
      </c>
      <c r="T488">
        <v>3010</v>
      </c>
      <c r="U488">
        <v>4</v>
      </c>
      <c r="V488" t="s">
        <v>42</v>
      </c>
      <c r="W488" t="s">
        <v>35</v>
      </c>
      <c r="X488" s="19">
        <v>11</v>
      </c>
      <c r="Y488">
        <v>3</v>
      </c>
      <c r="Z488">
        <v>3</v>
      </c>
      <c r="AA488">
        <v>80</v>
      </c>
      <c r="AB488">
        <v>1</v>
      </c>
      <c r="AC488">
        <v>17</v>
      </c>
      <c r="AD488">
        <v>3</v>
      </c>
      <c r="AE488">
        <v>2</v>
      </c>
      <c r="AF488">
        <v>3</v>
      </c>
      <c r="AG488">
        <v>0</v>
      </c>
      <c r="AH488">
        <v>1</v>
      </c>
      <c r="AI488">
        <v>0</v>
      </c>
      <c r="AJ488">
        <f t="shared" si="70"/>
        <v>0</v>
      </c>
      <c r="AK488">
        <f t="shared" si="71"/>
        <v>1</v>
      </c>
      <c r="AL488">
        <f t="shared" si="72"/>
        <v>1</v>
      </c>
      <c r="AM488">
        <f t="shared" si="73"/>
        <v>3</v>
      </c>
      <c r="AN488">
        <f t="shared" si="74"/>
        <v>28806</v>
      </c>
      <c r="AO488">
        <f t="shared" si="75"/>
        <v>0.16666666666666666</v>
      </c>
      <c r="AP488" t="str">
        <f t="shared" si="76"/>
        <v>30-39</v>
      </c>
      <c r="AQ488" t="str">
        <f t="shared" si="77"/>
        <v>Very High</v>
      </c>
      <c r="AR488" t="str">
        <f t="shared" si="78"/>
        <v>Short</v>
      </c>
      <c r="AS488">
        <f t="shared" si="79"/>
        <v>0</v>
      </c>
    </row>
    <row r="489" spans="1:4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s="20">
        <v>2836</v>
      </c>
      <c r="T489">
        <v>11757</v>
      </c>
      <c r="U489">
        <v>1</v>
      </c>
      <c r="V489" t="s">
        <v>42</v>
      </c>
      <c r="W489" t="s">
        <v>43</v>
      </c>
      <c r="X489" s="19">
        <v>13</v>
      </c>
      <c r="Y489">
        <v>3</v>
      </c>
      <c r="Z489">
        <v>4</v>
      </c>
      <c r="AA489">
        <v>80</v>
      </c>
      <c r="AB489">
        <v>0</v>
      </c>
      <c r="AC489">
        <v>1</v>
      </c>
      <c r="AD489">
        <v>0</v>
      </c>
      <c r="AE489">
        <v>4</v>
      </c>
      <c r="AF489">
        <v>1</v>
      </c>
      <c r="AG489">
        <v>0</v>
      </c>
      <c r="AH489">
        <v>0</v>
      </c>
      <c r="AI489">
        <v>0</v>
      </c>
      <c r="AJ489">
        <f t="shared" si="70"/>
        <v>0</v>
      </c>
      <c r="AK489">
        <f t="shared" si="71"/>
        <v>0</v>
      </c>
      <c r="AL489">
        <f t="shared" si="72"/>
        <v>0</v>
      </c>
      <c r="AM489">
        <f t="shared" si="73"/>
        <v>3.5</v>
      </c>
      <c r="AN489">
        <f t="shared" si="74"/>
        <v>17016</v>
      </c>
      <c r="AO489">
        <f t="shared" si="75"/>
        <v>0.5</v>
      </c>
      <c r="AP489" t="str">
        <f t="shared" si="76"/>
        <v>Under 30</v>
      </c>
      <c r="AQ489" t="str">
        <f t="shared" si="77"/>
        <v>Low</v>
      </c>
      <c r="AR489" t="str">
        <f t="shared" si="78"/>
        <v>Short</v>
      </c>
      <c r="AS489">
        <f t="shared" si="79"/>
        <v>0</v>
      </c>
    </row>
    <row r="490" spans="1:4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s="20">
        <v>4089</v>
      </c>
      <c r="T490">
        <v>5718</v>
      </c>
      <c r="U490">
        <v>1</v>
      </c>
      <c r="V490" t="s">
        <v>42</v>
      </c>
      <c r="W490" t="s">
        <v>43</v>
      </c>
      <c r="X490" s="19">
        <v>13</v>
      </c>
      <c r="Y490">
        <v>3</v>
      </c>
      <c r="Z490">
        <v>2</v>
      </c>
      <c r="AA490">
        <v>80</v>
      </c>
      <c r="AB490">
        <v>2</v>
      </c>
      <c r="AC490">
        <v>10</v>
      </c>
      <c r="AD490">
        <v>4</v>
      </c>
      <c r="AE490">
        <v>3</v>
      </c>
      <c r="AF490">
        <v>10</v>
      </c>
      <c r="AG490">
        <v>2</v>
      </c>
      <c r="AH490">
        <v>2</v>
      </c>
      <c r="AI490">
        <v>2</v>
      </c>
      <c r="AJ490">
        <f t="shared" si="70"/>
        <v>0</v>
      </c>
      <c r="AK490">
        <f t="shared" si="71"/>
        <v>0</v>
      </c>
      <c r="AL490">
        <f t="shared" si="72"/>
        <v>0</v>
      </c>
      <c r="AM490">
        <f t="shared" si="73"/>
        <v>3</v>
      </c>
      <c r="AN490">
        <f t="shared" si="74"/>
        <v>4460.727272727273</v>
      </c>
      <c r="AO490">
        <f t="shared" si="75"/>
        <v>0.90909090909090906</v>
      </c>
      <c r="AP490" t="str">
        <f t="shared" si="76"/>
        <v>40-49</v>
      </c>
      <c r="AQ490" t="str">
        <f t="shared" si="77"/>
        <v>Medium</v>
      </c>
      <c r="AR490" t="str">
        <f t="shared" si="78"/>
        <v>Short</v>
      </c>
      <c r="AS490">
        <f t="shared" si="79"/>
        <v>0</v>
      </c>
    </row>
    <row r="491" spans="1:4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s="20">
        <v>16627</v>
      </c>
      <c r="T491">
        <v>2671</v>
      </c>
      <c r="U491">
        <v>4</v>
      </c>
      <c r="V491" t="s">
        <v>42</v>
      </c>
      <c r="W491" t="s">
        <v>35</v>
      </c>
      <c r="X491" s="19">
        <v>14</v>
      </c>
      <c r="Y491">
        <v>3</v>
      </c>
      <c r="Z491">
        <v>3</v>
      </c>
      <c r="AA491">
        <v>80</v>
      </c>
      <c r="AB491">
        <v>1</v>
      </c>
      <c r="AC491">
        <v>21</v>
      </c>
      <c r="AD491">
        <v>3</v>
      </c>
      <c r="AE491">
        <v>2</v>
      </c>
      <c r="AF491">
        <v>1</v>
      </c>
      <c r="AG491">
        <v>0</v>
      </c>
      <c r="AH491">
        <v>0</v>
      </c>
      <c r="AI491">
        <v>0</v>
      </c>
      <c r="AJ491">
        <f t="shared" si="70"/>
        <v>0</v>
      </c>
      <c r="AK491">
        <f t="shared" si="71"/>
        <v>1</v>
      </c>
      <c r="AL491">
        <f t="shared" si="72"/>
        <v>1</v>
      </c>
      <c r="AM491">
        <f t="shared" si="73"/>
        <v>2.75</v>
      </c>
      <c r="AN491">
        <f t="shared" si="74"/>
        <v>99762</v>
      </c>
      <c r="AO491">
        <f t="shared" si="75"/>
        <v>4.5454545454545456E-2</v>
      </c>
      <c r="AP491" t="str">
        <f t="shared" si="76"/>
        <v>40-49</v>
      </c>
      <c r="AQ491" t="str">
        <f t="shared" si="77"/>
        <v>Very High</v>
      </c>
      <c r="AR491" t="str">
        <f t="shared" si="78"/>
        <v>Medium</v>
      </c>
      <c r="AS491">
        <f t="shared" si="79"/>
        <v>0</v>
      </c>
    </row>
    <row r="492" spans="1:4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s="20">
        <v>2619</v>
      </c>
      <c r="T492">
        <v>14561</v>
      </c>
      <c r="U492">
        <v>3</v>
      </c>
      <c r="V492" t="s">
        <v>42</v>
      </c>
      <c r="W492" t="s">
        <v>43</v>
      </c>
      <c r="X492" s="19">
        <v>17</v>
      </c>
      <c r="Y492">
        <v>3</v>
      </c>
      <c r="Z492">
        <v>4</v>
      </c>
      <c r="AA492">
        <v>80</v>
      </c>
      <c r="AB492">
        <v>0</v>
      </c>
      <c r="AC492">
        <v>8</v>
      </c>
      <c r="AD492">
        <v>3</v>
      </c>
      <c r="AE492">
        <v>2</v>
      </c>
      <c r="AF492">
        <v>0</v>
      </c>
      <c r="AG492">
        <v>0</v>
      </c>
      <c r="AH492">
        <v>0</v>
      </c>
      <c r="AI492">
        <v>0</v>
      </c>
      <c r="AJ492">
        <f t="shared" si="70"/>
        <v>0</v>
      </c>
      <c r="AK492">
        <f t="shared" si="71"/>
        <v>0</v>
      </c>
      <c r="AL492">
        <f t="shared" si="72"/>
        <v>0</v>
      </c>
      <c r="AM492">
        <f t="shared" si="73"/>
        <v>2.5</v>
      </c>
      <c r="AN492">
        <f t="shared" si="74"/>
        <v>31428</v>
      </c>
      <c r="AO492">
        <f t="shared" si="75"/>
        <v>0</v>
      </c>
      <c r="AP492" t="str">
        <f t="shared" si="76"/>
        <v>30-39</v>
      </c>
      <c r="AQ492" t="str">
        <f t="shared" si="77"/>
        <v>Low</v>
      </c>
      <c r="AR492" t="str">
        <f t="shared" si="78"/>
        <v>Short</v>
      </c>
      <c r="AS492">
        <f t="shared" si="79"/>
        <v>0</v>
      </c>
    </row>
    <row r="493" spans="1:4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s="20">
        <v>5679</v>
      </c>
      <c r="T493">
        <v>19627</v>
      </c>
      <c r="U493">
        <v>3</v>
      </c>
      <c r="V493" t="s">
        <v>42</v>
      </c>
      <c r="W493" t="s">
        <v>35</v>
      </c>
      <c r="X493" s="19">
        <v>13</v>
      </c>
      <c r="Y493">
        <v>3</v>
      </c>
      <c r="Z493">
        <v>2</v>
      </c>
      <c r="AA493">
        <v>80</v>
      </c>
      <c r="AB493">
        <v>1</v>
      </c>
      <c r="AC493">
        <v>10</v>
      </c>
      <c r="AD493">
        <v>3</v>
      </c>
      <c r="AE493">
        <v>3</v>
      </c>
      <c r="AF493">
        <v>8</v>
      </c>
      <c r="AG493">
        <v>7</v>
      </c>
      <c r="AH493">
        <v>4</v>
      </c>
      <c r="AI493">
        <v>7</v>
      </c>
      <c r="AJ493">
        <f t="shared" si="70"/>
        <v>0</v>
      </c>
      <c r="AK493">
        <f t="shared" si="71"/>
        <v>1</v>
      </c>
      <c r="AL493">
        <f t="shared" si="72"/>
        <v>1</v>
      </c>
      <c r="AM493">
        <f t="shared" si="73"/>
        <v>3</v>
      </c>
      <c r="AN493">
        <f t="shared" si="74"/>
        <v>7572</v>
      </c>
      <c r="AO493">
        <f t="shared" si="75"/>
        <v>0.72727272727272729</v>
      </c>
      <c r="AP493" t="str">
        <f t="shared" si="76"/>
        <v>40-49</v>
      </c>
      <c r="AQ493" t="str">
        <f t="shared" si="77"/>
        <v>High</v>
      </c>
      <c r="AR493" t="str">
        <f t="shared" si="78"/>
        <v>Medium</v>
      </c>
      <c r="AS493">
        <f t="shared" si="79"/>
        <v>1</v>
      </c>
    </row>
    <row r="494" spans="1:4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s="20">
        <v>15402</v>
      </c>
      <c r="T494">
        <v>17997</v>
      </c>
      <c r="U494">
        <v>7</v>
      </c>
      <c r="V494" t="s">
        <v>42</v>
      </c>
      <c r="W494" t="s">
        <v>43</v>
      </c>
      <c r="X494" s="19">
        <v>11</v>
      </c>
      <c r="Y494">
        <v>3</v>
      </c>
      <c r="Z494">
        <v>1</v>
      </c>
      <c r="AA494">
        <v>80</v>
      </c>
      <c r="AB494">
        <v>1</v>
      </c>
      <c r="AC494">
        <v>21</v>
      </c>
      <c r="AD494">
        <v>3</v>
      </c>
      <c r="AE494">
        <v>1</v>
      </c>
      <c r="AF494">
        <v>3</v>
      </c>
      <c r="AG494">
        <v>2</v>
      </c>
      <c r="AH494">
        <v>0</v>
      </c>
      <c r="AI494">
        <v>2</v>
      </c>
      <c r="AJ494">
        <f t="shared" si="70"/>
        <v>0</v>
      </c>
      <c r="AK494">
        <f t="shared" si="71"/>
        <v>0</v>
      </c>
      <c r="AL494">
        <f t="shared" si="72"/>
        <v>0</v>
      </c>
      <c r="AM494">
        <f t="shared" si="73"/>
        <v>1.75</v>
      </c>
      <c r="AN494">
        <f t="shared" si="74"/>
        <v>46206</v>
      </c>
      <c r="AO494">
        <f t="shared" si="75"/>
        <v>0.13636363636363635</v>
      </c>
      <c r="AP494" t="str">
        <f t="shared" si="76"/>
        <v>40-49</v>
      </c>
      <c r="AQ494" t="str">
        <f t="shared" si="77"/>
        <v>Very High</v>
      </c>
      <c r="AR494" t="str">
        <f t="shared" si="78"/>
        <v>Short</v>
      </c>
      <c r="AS494">
        <f t="shared" si="79"/>
        <v>0</v>
      </c>
    </row>
    <row r="495" spans="1:4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s="20">
        <v>5985</v>
      </c>
      <c r="T495">
        <v>26894</v>
      </c>
      <c r="U495">
        <v>4</v>
      </c>
      <c r="V495" t="s">
        <v>42</v>
      </c>
      <c r="W495" t="s">
        <v>43</v>
      </c>
      <c r="X495" s="19">
        <v>11</v>
      </c>
      <c r="Y495">
        <v>3</v>
      </c>
      <c r="Z495">
        <v>2</v>
      </c>
      <c r="AA495">
        <v>80</v>
      </c>
      <c r="AB495">
        <v>0</v>
      </c>
      <c r="AC495">
        <v>10</v>
      </c>
      <c r="AD495">
        <v>1</v>
      </c>
      <c r="AE495">
        <v>4</v>
      </c>
      <c r="AF495">
        <v>2</v>
      </c>
      <c r="AG495">
        <v>2</v>
      </c>
      <c r="AH495">
        <v>0</v>
      </c>
      <c r="AI495">
        <v>2</v>
      </c>
      <c r="AJ495">
        <f t="shared" si="70"/>
        <v>0</v>
      </c>
      <c r="AK495">
        <f t="shared" si="71"/>
        <v>0</v>
      </c>
      <c r="AL495">
        <f t="shared" si="72"/>
        <v>0</v>
      </c>
      <c r="AM495">
        <f t="shared" si="73"/>
        <v>2.5</v>
      </c>
      <c r="AN495">
        <f t="shared" si="74"/>
        <v>23940</v>
      </c>
      <c r="AO495">
        <f t="shared" si="75"/>
        <v>0.18181818181818182</v>
      </c>
      <c r="AP495" t="str">
        <f t="shared" si="76"/>
        <v>40-49</v>
      </c>
      <c r="AQ495" t="str">
        <f t="shared" si="77"/>
        <v>High</v>
      </c>
      <c r="AR495" t="str">
        <f t="shared" si="78"/>
        <v>Short</v>
      </c>
      <c r="AS495">
        <f t="shared" si="79"/>
        <v>0</v>
      </c>
    </row>
    <row r="496" spans="1:4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s="20">
        <v>2579</v>
      </c>
      <c r="T496">
        <v>2912</v>
      </c>
      <c r="U496">
        <v>1</v>
      </c>
      <c r="V496" t="s">
        <v>42</v>
      </c>
      <c r="W496" t="s">
        <v>35</v>
      </c>
      <c r="X496" s="19">
        <v>18</v>
      </c>
      <c r="Y496">
        <v>3</v>
      </c>
      <c r="Z496">
        <v>4</v>
      </c>
      <c r="AA496">
        <v>80</v>
      </c>
      <c r="AB496">
        <v>2</v>
      </c>
      <c r="AC496">
        <v>8</v>
      </c>
      <c r="AD496">
        <v>3</v>
      </c>
      <c r="AE496">
        <v>3</v>
      </c>
      <c r="AF496">
        <v>8</v>
      </c>
      <c r="AG496">
        <v>2</v>
      </c>
      <c r="AH496">
        <v>0</v>
      </c>
      <c r="AI496">
        <v>6</v>
      </c>
      <c r="AJ496">
        <f t="shared" si="70"/>
        <v>0</v>
      </c>
      <c r="AK496">
        <f t="shared" si="71"/>
        <v>1</v>
      </c>
      <c r="AL496">
        <f t="shared" si="72"/>
        <v>0</v>
      </c>
      <c r="AM496">
        <f t="shared" si="73"/>
        <v>3.25</v>
      </c>
      <c r="AN496">
        <f t="shared" si="74"/>
        <v>3438.6666666666665</v>
      </c>
      <c r="AO496">
        <f t="shared" si="75"/>
        <v>0.88888888888888884</v>
      </c>
      <c r="AP496" t="str">
        <f t="shared" si="76"/>
        <v>30-39</v>
      </c>
      <c r="AQ496" t="str">
        <f t="shared" si="77"/>
        <v>Low</v>
      </c>
      <c r="AR496" t="str">
        <f t="shared" si="78"/>
        <v>Medium</v>
      </c>
      <c r="AS496">
        <f t="shared" si="79"/>
        <v>0</v>
      </c>
    </row>
    <row r="497" spans="1:4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s="20">
        <v>3041</v>
      </c>
      <c r="T497">
        <v>16346</v>
      </c>
      <c r="U497">
        <v>0</v>
      </c>
      <c r="V497" t="s">
        <v>42</v>
      </c>
      <c r="W497" t="s">
        <v>43</v>
      </c>
      <c r="X497" s="19">
        <v>11</v>
      </c>
      <c r="Y497">
        <v>3</v>
      </c>
      <c r="Z497">
        <v>2</v>
      </c>
      <c r="AA497">
        <v>80</v>
      </c>
      <c r="AB497">
        <v>1</v>
      </c>
      <c r="AC497">
        <v>5</v>
      </c>
      <c r="AD497">
        <v>3</v>
      </c>
      <c r="AE497">
        <v>3</v>
      </c>
      <c r="AF497">
        <v>4</v>
      </c>
      <c r="AG497">
        <v>3</v>
      </c>
      <c r="AH497">
        <v>0</v>
      </c>
      <c r="AI497">
        <v>2</v>
      </c>
      <c r="AJ497">
        <f t="shared" si="70"/>
        <v>1</v>
      </c>
      <c r="AK497">
        <f t="shared" si="71"/>
        <v>0</v>
      </c>
      <c r="AL497">
        <f t="shared" si="72"/>
        <v>1</v>
      </c>
      <c r="AM497">
        <f t="shared" si="73"/>
        <v>2.25</v>
      </c>
      <c r="AN497">
        <f t="shared" si="74"/>
        <v>7298.4</v>
      </c>
      <c r="AO497">
        <f t="shared" si="75"/>
        <v>0.66666666666666663</v>
      </c>
      <c r="AP497" t="str">
        <f t="shared" si="76"/>
        <v>Under 30</v>
      </c>
      <c r="AQ497" t="str">
        <f t="shared" si="77"/>
        <v>Medium</v>
      </c>
      <c r="AR497" t="str">
        <f t="shared" si="78"/>
        <v>Short</v>
      </c>
      <c r="AS497">
        <f t="shared" si="79"/>
        <v>0</v>
      </c>
    </row>
    <row r="498" spans="1:4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s="20">
        <v>3447</v>
      </c>
      <c r="T498">
        <v>24444</v>
      </c>
      <c r="U498">
        <v>1</v>
      </c>
      <c r="V498" t="s">
        <v>42</v>
      </c>
      <c r="W498" t="s">
        <v>43</v>
      </c>
      <c r="X498" s="19">
        <v>11</v>
      </c>
      <c r="Y498">
        <v>3</v>
      </c>
      <c r="Z498">
        <v>3</v>
      </c>
      <c r="AA498">
        <v>80</v>
      </c>
      <c r="AB498">
        <v>0</v>
      </c>
      <c r="AC498">
        <v>3</v>
      </c>
      <c r="AD498">
        <v>2</v>
      </c>
      <c r="AE498">
        <v>3</v>
      </c>
      <c r="AF498">
        <v>3</v>
      </c>
      <c r="AG498">
        <v>2</v>
      </c>
      <c r="AH498">
        <v>1</v>
      </c>
      <c r="AI498">
        <v>2</v>
      </c>
      <c r="AJ498">
        <f t="shared" si="70"/>
        <v>0</v>
      </c>
      <c r="AK498">
        <f t="shared" si="71"/>
        <v>0</v>
      </c>
      <c r="AL498">
        <f t="shared" si="72"/>
        <v>1</v>
      </c>
      <c r="AM498">
        <f t="shared" si="73"/>
        <v>3</v>
      </c>
      <c r="AN498">
        <f t="shared" si="74"/>
        <v>10341</v>
      </c>
      <c r="AO498">
        <f t="shared" si="75"/>
        <v>0.75</v>
      </c>
      <c r="AP498" t="str">
        <f t="shared" si="76"/>
        <v>Under 30</v>
      </c>
      <c r="AQ498" t="str">
        <f t="shared" si="77"/>
        <v>Medium</v>
      </c>
      <c r="AR498" t="str">
        <f t="shared" si="78"/>
        <v>Long</v>
      </c>
      <c r="AS498">
        <f t="shared" si="79"/>
        <v>0</v>
      </c>
    </row>
    <row r="499" spans="1:4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s="20">
        <v>19513</v>
      </c>
      <c r="T499">
        <v>9358</v>
      </c>
      <c r="U499">
        <v>4</v>
      </c>
      <c r="V499" t="s">
        <v>42</v>
      </c>
      <c r="W499" t="s">
        <v>35</v>
      </c>
      <c r="X499" s="19">
        <v>12</v>
      </c>
      <c r="Y499">
        <v>3</v>
      </c>
      <c r="Z499">
        <v>1</v>
      </c>
      <c r="AA499">
        <v>80</v>
      </c>
      <c r="AB499">
        <v>1</v>
      </c>
      <c r="AC499">
        <v>26</v>
      </c>
      <c r="AD499">
        <v>2</v>
      </c>
      <c r="AE499">
        <v>4</v>
      </c>
      <c r="AF499">
        <v>2</v>
      </c>
      <c r="AG499">
        <v>2</v>
      </c>
      <c r="AH499">
        <v>0</v>
      </c>
      <c r="AI499">
        <v>1</v>
      </c>
      <c r="AJ499">
        <f t="shared" si="70"/>
        <v>0</v>
      </c>
      <c r="AK499">
        <f t="shared" si="71"/>
        <v>1</v>
      </c>
      <c r="AL499">
        <f t="shared" si="72"/>
        <v>1</v>
      </c>
      <c r="AM499">
        <f t="shared" si="73"/>
        <v>3.25</v>
      </c>
      <c r="AN499">
        <f t="shared" si="74"/>
        <v>78052</v>
      </c>
      <c r="AO499">
        <f t="shared" si="75"/>
        <v>7.407407407407407E-2</v>
      </c>
      <c r="AP499" t="str">
        <f t="shared" si="76"/>
        <v>40-49</v>
      </c>
      <c r="AQ499" t="str">
        <f t="shared" si="77"/>
        <v>Very High</v>
      </c>
      <c r="AR499" t="str">
        <f t="shared" si="78"/>
        <v>Short</v>
      </c>
      <c r="AS499">
        <f t="shared" si="79"/>
        <v>0</v>
      </c>
    </row>
    <row r="500" spans="1:4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s="20">
        <v>2773</v>
      </c>
      <c r="T500">
        <v>12145</v>
      </c>
      <c r="U500">
        <v>0</v>
      </c>
      <c r="V500" t="s">
        <v>42</v>
      </c>
      <c r="W500" t="s">
        <v>43</v>
      </c>
      <c r="X500" s="19">
        <v>20</v>
      </c>
      <c r="Y500">
        <v>4</v>
      </c>
      <c r="Z500">
        <v>4</v>
      </c>
      <c r="AA500">
        <v>80</v>
      </c>
      <c r="AB500">
        <v>0</v>
      </c>
      <c r="AC500">
        <v>3</v>
      </c>
      <c r="AD500">
        <v>3</v>
      </c>
      <c r="AE500">
        <v>3</v>
      </c>
      <c r="AF500">
        <v>2</v>
      </c>
      <c r="AG500">
        <v>2</v>
      </c>
      <c r="AH500">
        <v>2</v>
      </c>
      <c r="AI500">
        <v>2</v>
      </c>
      <c r="AJ500">
        <f t="shared" si="70"/>
        <v>0</v>
      </c>
      <c r="AK500">
        <f t="shared" si="71"/>
        <v>0</v>
      </c>
      <c r="AL500">
        <f t="shared" si="72"/>
        <v>1</v>
      </c>
      <c r="AM500">
        <f t="shared" si="73"/>
        <v>2.75</v>
      </c>
      <c r="AN500">
        <f t="shared" si="74"/>
        <v>11092</v>
      </c>
      <c r="AO500">
        <f t="shared" si="75"/>
        <v>0.5</v>
      </c>
      <c r="AP500" t="str">
        <f t="shared" si="76"/>
        <v>Under 30</v>
      </c>
      <c r="AQ500" t="str">
        <f t="shared" si="77"/>
        <v>Low</v>
      </c>
      <c r="AR500" t="str">
        <f t="shared" si="78"/>
        <v>Medium</v>
      </c>
      <c r="AS500">
        <f t="shared" si="79"/>
        <v>0</v>
      </c>
    </row>
    <row r="501" spans="1:4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s="20">
        <v>7104</v>
      </c>
      <c r="T501">
        <v>20431</v>
      </c>
      <c r="U501">
        <v>0</v>
      </c>
      <c r="V501" t="s">
        <v>42</v>
      </c>
      <c r="W501" t="s">
        <v>43</v>
      </c>
      <c r="X501" s="19">
        <v>12</v>
      </c>
      <c r="Y501">
        <v>3</v>
      </c>
      <c r="Z501">
        <v>4</v>
      </c>
      <c r="AA501">
        <v>80</v>
      </c>
      <c r="AB501">
        <v>0</v>
      </c>
      <c r="AC501">
        <v>6</v>
      </c>
      <c r="AD501">
        <v>3</v>
      </c>
      <c r="AE501">
        <v>3</v>
      </c>
      <c r="AF501">
        <v>5</v>
      </c>
      <c r="AG501">
        <v>0</v>
      </c>
      <c r="AH501">
        <v>1</v>
      </c>
      <c r="AI501">
        <v>2</v>
      </c>
      <c r="AJ501">
        <f t="shared" si="70"/>
        <v>0</v>
      </c>
      <c r="AK501">
        <f t="shared" si="71"/>
        <v>0</v>
      </c>
      <c r="AL501">
        <f t="shared" si="72"/>
        <v>1</v>
      </c>
      <c r="AM501">
        <f t="shared" si="73"/>
        <v>3.25</v>
      </c>
      <c r="AN501">
        <f t="shared" si="74"/>
        <v>14208</v>
      </c>
      <c r="AO501">
        <f t="shared" si="75"/>
        <v>0.7142857142857143</v>
      </c>
      <c r="AP501" t="str">
        <f t="shared" si="76"/>
        <v>30-39</v>
      </c>
      <c r="AQ501" t="str">
        <f t="shared" si="77"/>
        <v>High</v>
      </c>
      <c r="AR501" t="str">
        <f t="shared" si="78"/>
        <v>Medium</v>
      </c>
      <c r="AS501">
        <f t="shared" si="79"/>
        <v>0</v>
      </c>
    </row>
    <row r="502" spans="1:45" x14ac:dyDescent="0.3">
      <c r="A502">
        <v>36</v>
      </c>
      <c r="B502" t="s">
        <v>43</v>
      </c>
      <c r="C502" t="s">
        <v>36</v>
      </c>
      <c r="D502">
        <v>646</v>
      </c>
      <c r="E502" t="s">
        <v>61</v>
      </c>
      <c r="F502">
        <v>9</v>
      </c>
      <c r="G502">
        <v>4</v>
      </c>
      <c r="H502" t="s">
        <v>38</v>
      </c>
      <c r="I502">
        <v>1</v>
      </c>
      <c r="J502">
        <v>679</v>
      </c>
      <c r="K502">
        <v>1</v>
      </c>
      <c r="L502" t="s">
        <v>39</v>
      </c>
      <c r="M502">
        <v>92</v>
      </c>
      <c r="N502">
        <v>3</v>
      </c>
      <c r="O502">
        <v>2</v>
      </c>
      <c r="P502" t="s">
        <v>47</v>
      </c>
      <c r="Q502">
        <v>4</v>
      </c>
      <c r="R502" t="s">
        <v>48</v>
      </c>
      <c r="S502" s="20">
        <v>6322</v>
      </c>
      <c r="T502">
        <v>18089</v>
      </c>
      <c r="U502">
        <v>1</v>
      </c>
      <c r="V502" t="s">
        <v>42</v>
      </c>
      <c r="W502" t="s">
        <v>35</v>
      </c>
      <c r="X502" s="19">
        <v>12</v>
      </c>
      <c r="Y502">
        <v>3</v>
      </c>
      <c r="Z502">
        <v>4</v>
      </c>
      <c r="AA502">
        <v>80</v>
      </c>
      <c r="AB502">
        <v>1</v>
      </c>
      <c r="AC502">
        <v>6</v>
      </c>
      <c r="AD502">
        <v>2</v>
      </c>
      <c r="AE502">
        <v>2</v>
      </c>
      <c r="AF502">
        <v>6</v>
      </c>
      <c r="AG502">
        <v>4</v>
      </c>
      <c r="AH502">
        <v>0</v>
      </c>
      <c r="AI502">
        <v>5</v>
      </c>
      <c r="AJ502">
        <f t="shared" si="70"/>
        <v>0</v>
      </c>
      <c r="AK502">
        <f t="shared" si="71"/>
        <v>1</v>
      </c>
      <c r="AL502">
        <f t="shared" si="72"/>
        <v>0</v>
      </c>
      <c r="AM502">
        <f t="shared" si="73"/>
        <v>2.75</v>
      </c>
      <c r="AN502">
        <f t="shared" si="74"/>
        <v>10837.714285714286</v>
      </c>
      <c r="AO502">
        <f t="shared" si="75"/>
        <v>0.8571428571428571</v>
      </c>
      <c r="AP502" t="str">
        <f t="shared" si="76"/>
        <v>30-39</v>
      </c>
      <c r="AQ502" t="str">
        <f t="shared" si="77"/>
        <v>High</v>
      </c>
      <c r="AR502" t="str">
        <f t="shared" si="78"/>
        <v>Medium</v>
      </c>
      <c r="AS502">
        <f t="shared" si="79"/>
        <v>0</v>
      </c>
    </row>
    <row r="503" spans="1:4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s="20">
        <v>2083</v>
      </c>
      <c r="T503">
        <v>22653</v>
      </c>
      <c r="U503">
        <v>1</v>
      </c>
      <c r="V503" t="s">
        <v>42</v>
      </c>
      <c r="W503" t="s">
        <v>43</v>
      </c>
      <c r="X503" s="19">
        <v>20</v>
      </c>
      <c r="Y503">
        <v>4</v>
      </c>
      <c r="Z503">
        <v>3</v>
      </c>
      <c r="AA503">
        <v>80</v>
      </c>
      <c r="AB503">
        <v>1</v>
      </c>
      <c r="AC503">
        <v>1</v>
      </c>
      <c r="AD503">
        <v>2</v>
      </c>
      <c r="AE503">
        <v>3</v>
      </c>
      <c r="AF503">
        <v>1</v>
      </c>
      <c r="AG503">
        <v>0</v>
      </c>
      <c r="AH503">
        <v>0</v>
      </c>
      <c r="AI503">
        <v>0</v>
      </c>
      <c r="AJ503">
        <f t="shared" si="70"/>
        <v>0</v>
      </c>
      <c r="AK503">
        <f t="shared" si="71"/>
        <v>0</v>
      </c>
      <c r="AL503">
        <f t="shared" si="72"/>
        <v>0</v>
      </c>
      <c r="AM503">
        <f t="shared" si="73"/>
        <v>3</v>
      </c>
      <c r="AN503">
        <f t="shared" si="74"/>
        <v>12498</v>
      </c>
      <c r="AO503">
        <f t="shared" si="75"/>
        <v>0.5</v>
      </c>
      <c r="AP503" t="str">
        <f t="shared" si="76"/>
        <v>30-39</v>
      </c>
      <c r="AQ503" t="str">
        <f t="shared" si="77"/>
        <v>Low</v>
      </c>
      <c r="AR503" t="str">
        <f t="shared" si="78"/>
        <v>Short</v>
      </c>
      <c r="AS503">
        <f t="shared" si="79"/>
        <v>1</v>
      </c>
    </row>
    <row r="504" spans="1:4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s="20">
        <v>8381</v>
      </c>
      <c r="T504">
        <v>7507</v>
      </c>
      <c r="U504">
        <v>7</v>
      </c>
      <c r="V504" t="s">
        <v>42</v>
      </c>
      <c r="W504" t="s">
        <v>43</v>
      </c>
      <c r="X504" s="19">
        <v>20</v>
      </c>
      <c r="Y504">
        <v>4</v>
      </c>
      <c r="Z504">
        <v>4</v>
      </c>
      <c r="AA504">
        <v>80</v>
      </c>
      <c r="AB504">
        <v>0</v>
      </c>
      <c r="AC504">
        <v>18</v>
      </c>
      <c r="AD504">
        <v>2</v>
      </c>
      <c r="AE504">
        <v>4</v>
      </c>
      <c r="AF504">
        <v>14</v>
      </c>
      <c r="AG504">
        <v>7</v>
      </c>
      <c r="AH504">
        <v>8</v>
      </c>
      <c r="AI504">
        <v>10</v>
      </c>
      <c r="AJ504">
        <f t="shared" si="70"/>
        <v>0</v>
      </c>
      <c r="AK504">
        <f t="shared" si="71"/>
        <v>0</v>
      </c>
      <c r="AL504">
        <f t="shared" si="72"/>
        <v>0</v>
      </c>
      <c r="AM504">
        <f t="shared" si="73"/>
        <v>3.25</v>
      </c>
      <c r="AN504">
        <f t="shared" si="74"/>
        <v>6704.8</v>
      </c>
      <c r="AO504">
        <f t="shared" si="75"/>
        <v>0.73684210526315785</v>
      </c>
      <c r="AP504" t="str">
        <f t="shared" si="76"/>
        <v>50+</v>
      </c>
      <c r="AQ504" t="str">
        <f t="shared" si="77"/>
        <v>Very High</v>
      </c>
      <c r="AR504" t="str">
        <f t="shared" si="78"/>
        <v>Short</v>
      </c>
      <c r="AS504">
        <f t="shared" si="79"/>
        <v>0</v>
      </c>
    </row>
    <row r="505" spans="1:4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s="20">
        <v>2691</v>
      </c>
      <c r="T505">
        <v>7660</v>
      </c>
      <c r="U505">
        <v>1</v>
      </c>
      <c r="V505" t="s">
        <v>42</v>
      </c>
      <c r="W505" t="s">
        <v>43</v>
      </c>
      <c r="X505" s="19">
        <v>12</v>
      </c>
      <c r="Y505">
        <v>3</v>
      </c>
      <c r="Z505">
        <v>4</v>
      </c>
      <c r="AA505">
        <v>80</v>
      </c>
      <c r="AB505">
        <v>1</v>
      </c>
      <c r="AC505">
        <v>10</v>
      </c>
      <c r="AD505">
        <v>4</v>
      </c>
      <c r="AE505">
        <v>2</v>
      </c>
      <c r="AF505">
        <v>10</v>
      </c>
      <c r="AG505">
        <v>9</v>
      </c>
      <c r="AH505">
        <v>8</v>
      </c>
      <c r="AI505">
        <v>8</v>
      </c>
      <c r="AJ505">
        <f t="shared" si="70"/>
        <v>0</v>
      </c>
      <c r="AK505">
        <f t="shared" si="71"/>
        <v>0</v>
      </c>
      <c r="AL505">
        <f t="shared" si="72"/>
        <v>1</v>
      </c>
      <c r="AM505">
        <f t="shared" si="73"/>
        <v>3</v>
      </c>
      <c r="AN505">
        <f t="shared" si="74"/>
        <v>2935.6363636363635</v>
      </c>
      <c r="AO505">
        <f t="shared" si="75"/>
        <v>0.90909090909090906</v>
      </c>
      <c r="AP505" t="str">
        <f t="shared" si="76"/>
        <v>30-39</v>
      </c>
      <c r="AQ505" t="str">
        <f t="shared" si="77"/>
        <v>Low</v>
      </c>
      <c r="AR505" t="str">
        <f t="shared" si="78"/>
        <v>Short</v>
      </c>
      <c r="AS505">
        <f t="shared" si="79"/>
        <v>0</v>
      </c>
    </row>
    <row r="506" spans="1:4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s="20">
        <v>4286</v>
      </c>
      <c r="T506">
        <v>5630</v>
      </c>
      <c r="U506">
        <v>2</v>
      </c>
      <c r="V506" t="s">
        <v>42</v>
      </c>
      <c r="W506" t="s">
        <v>43</v>
      </c>
      <c r="X506" s="19">
        <v>14</v>
      </c>
      <c r="Y506">
        <v>3</v>
      </c>
      <c r="Z506">
        <v>4</v>
      </c>
      <c r="AA506">
        <v>80</v>
      </c>
      <c r="AB506">
        <v>2</v>
      </c>
      <c r="AC506">
        <v>5</v>
      </c>
      <c r="AD506">
        <v>4</v>
      </c>
      <c r="AE506">
        <v>3</v>
      </c>
      <c r="AF506">
        <v>1</v>
      </c>
      <c r="AG506">
        <v>1</v>
      </c>
      <c r="AH506">
        <v>0</v>
      </c>
      <c r="AI506">
        <v>0</v>
      </c>
      <c r="AJ506">
        <f t="shared" si="70"/>
        <v>1</v>
      </c>
      <c r="AK506">
        <f t="shared" si="71"/>
        <v>0</v>
      </c>
      <c r="AL506">
        <f t="shared" si="72"/>
        <v>0</v>
      </c>
      <c r="AM506">
        <f t="shared" si="73"/>
        <v>2.25</v>
      </c>
      <c r="AN506">
        <f t="shared" si="74"/>
        <v>25716</v>
      </c>
      <c r="AO506">
        <f t="shared" si="75"/>
        <v>0.16666666666666666</v>
      </c>
      <c r="AP506" t="str">
        <f t="shared" si="76"/>
        <v>40-49</v>
      </c>
      <c r="AQ506" t="str">
        <f t="shared" si="77"/>
        <v>Medium</v>
      </c>
      <c r="AR506" t="str">
        <f t="shared" si="78"/>
        <v>Long</v>
      </c>
      <c r="AS506">
        <f t="shared" si="79"/>
        <v>1</v>
      </c>
    </row>
    <row r="507" spans="1:4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s="20">
        <v>2659</v>
      </c>
      <c r="T507">
        <v>17759</v>
      </c>
      <c r="U507">
        <v>1</v>
      </c>
      <c r="V507" t="s">
        <v>42</v>
      </c>
      <c r="W507" t="s">
        <v>35</v>
      </c>
      <c r="X507" s="19">
        <v>13</v>
      </c>
      <c r="Y507">
        <v>3</v>
      </c>
      <c r="Z507">
        <v>3</v>
      </c>
      <c r="AA507">
        <v>80</v>
      </c>
      <c r="AB507">
        <v>1</v>
      </c>
      <c r="AC507">
        <v>3</v>
      </c>
      <c r="AD507">
        <v>2</v>
      </c>
      <c r="AE507">
        <v>3</v>
      </c>
      <c r="AF507">
        <v>3</v>
      </c>
      <c r="AG507">
        <v>2</v>
      </c>
      <c r="AH507">
        <v>0</v>
      </c>
      <c r="AI507">
        <v>2</v>
      </c>
      <c r="AJ507">
        <f t="shared" si="70"/>
        <v>0</v>
      </c>
      <c r="AK507">
        <f t="shared" si="71"/>
        <v>1</v>
      </c>
      <c r="AL507">
        <f t="shared" si="72"/>
        <v>0</v>
      </c>
      <c r="AM507">
        <f t="shared" si="73"/>
        <v>3.25</v>
      </c>
      <c r="AN507">
        <f t="shared" si="74"/>
        <v>7977</v>
      </c>
      <c r="AO507">
        <f t="shared" si="75"/>
        <v>0.75</v>
      </c>
      <c r="AP507" t="str">
        <f t="shared" si="76"/>
        <v>Under 30</v>
      </c>
      <c r="AQ507" t="str">
        <f t="shared" si="77"/>
        <v>Low</v>
      </c>
      <c r="AR507" t="str">
        <f t="shared" si="78"/>
        <v>Medium</v>
      </c>
      <c r="AS507">
        <f t="shared" si="79"/>
        <v>0</v>
      </c>
    </row>
    <row r="508" spans="1:4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s="20">
        <v>9434</v>
      </c>
      <c r="T508">
        <v>9606</v>
      </c>
      <c r="U508">
        <v>1</v>
      </c>
      <c r="V508" t="s">
        <v>42</v>
      </c>
      <c r="W508" t="s">
        <v>43</v>
      </c>
      <c r="X508" s="19">
        <v>15</v>
      </c>
      <c r="Y508">
        <v>3</v>
      </c>
      <c r="Z508">
        <v>3</v>
      </c>
      <c r="AA508">
        <v>80</v>
      </c>
      <c r="AB508">
        <v>1</v>
      </c>
      <c r="AC508">
        <v>10</v>
      </c>
      <c r="AD508">
        <v>2</v>
      </c>
      <c r="AE508">
        <v>3</v>
      </c>
      <c r="AF508">
        <v>10</v>
      </c>
      <c r="AG508">
        <v>7</v>
      </c>
      <c r="AH508">
        <v>7</v>
      </c>
      <c r="AI508">
        <v>8</v>
      </c>
      <c r="AJ508">
        <f t="shared" si="70"/>
        <v>0</v>
      </c>
      <c r="AK508">
        <f t="shared" si="71"/>
        <v>0</v>
      </c>
      <c r="AL508">
        <f t="shared" si="72"/>
        <v>1</v>
      </c>
      <c r="AM508">
        <f t="shared" si="73"/>
        <v>3</v>
      </c>
      <c r="AN508">
        <f t="shared" si="74"/>
        <v>10291.636363636364</v>
      </c>
      <c r="AO508">
        <f t="shared" si="75"/>
        <v>0.90909090909090906</v>
      </c>
      <c r="AP508" t="str">
        <f t="shared" si="76"/>
        <v>30-39</v>
      </c>
      <c r="AQ508" t="str">
        <f t="shared" si="77"/>
        <v>Very High</v>
      </c>
      <c r="AR508" t="str">
        <f t="shared" si="78"/>
        <v>Short</v>
      </c>
      <c r="AS508">
        <f t="shared" si="79"/>
        <v>0</v>
      </c>
    </row>
    <row r="509" spans="1:4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s="20">
        <v>5561</v>
      </c>
      <c r="T509">
        <v>3487</v>
      </c>
      <c r="U509">
        <v>1</v>
      </c>
      <c r="V509" t="s">
        <v>42</v>
      </c>
      <c r="W509" t="s">
        <v>43</v>
      </c>
      <c r="X509" s="19">
        <v>14</v>
      </c>
      <c r="Y509">
        <v>3</v>
      </c>
      <c r="Z509">
        <v>1</v>
      </c>
      <c r="AA509">
        <v>80</v>
      </c>
      <c r="AB509">
        <v>1</v>
      </c>
      <c r="AC509">
        <v>6</v>
      </c>
      <c r="AD509">
        <v>5</v>
      </c>
      <c r="AE509">
        <v>2</v>
      </c>
      <c r="AF509">
        <v>6</v>
      </c>
      <c r="AG509">
        <v>0</v>
      </c>
      <c r="AH509">
        <v>1</v>
      </c>
      <c r="AI509">
        <v>2</v>
      </c>
      <c r="AJ509">
        <f t="shared" si="70"/>
        <v>0</v>
      </c>
      <c r="AK509">
        <f t="shared" si="71"/>
        <v>0</v>
      </c>
      <c r="AL509">
        <f t="shared" si="72"/>
        <v>0</v>
      </c>
      <c r="AM509">
        <f t="shared" si="73"/>
        <v>2</v>
      </c>
      <c r="AN509">
        <f t="shared" si="74"/>
        <v>9533.1428571428569</v>
      </c>
      <c r="AO509">
        <f t="shared" si="75"/>
        <v>0.8571428571428571</v>
      </c>
      <c r="AP509" t="str">
        <f t="shared" si="76"/>
        <v>Under 30</v>
      </c>
      <c r="AQ509" t="str">
        <f t="shared" si="77"/>
        <v>High</v>
      </c>
      <c r="AR509" t="str">
        <f t="shared" si="78"/>
        <v>Short</v>
      </c>
      <c r="AS509">
        <f t="shared" si="79"/>
        <v>0</v>
      </c>
    </row>
    <row r="510" spans="1:4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s="20">
        <v>6646</v>
      </c>
      <c r="T510">
        <v>19368</v>
      </c>
      <c r="U510">
        <v>1</v>
      </c>
      <c r="V510" t="s">
        <v>42</v>
      </c>
      <c r="W510" t="s">
        <v>43</v>
      </c>
      <c r="X510" s="19">
        <v>13</v>
      </c>
      <c r="Y510">
        <v>3</v>
      </c>
      <c r="Z510">
        <v>2</v>
      </c>
      <c r="AA510">
        <v>80</v>
      </c>
      <c r="AB510">
        <v>0</v>
      </c>
      <c r="AC510">
        <v>17</v>
      </c>
      <c r="AD510">
        <v>3</v>
      </c>
      <c r="AE510">
        <v>3</v>
      </c>
      <c r="AF510">
        <v>17</v>
      </c>
      <c r="AG510">
        <v>11</v>
      </c>
      <c r="AH510">
        <v>11</v>
      </c>
      <c r="AI510">
        <v>8</v>
      </c>
      <c r="AJ510">
        <f t="shared" si="70"/>
        <v>0</v>
      </c>
      <c r="AK510">
        <f t="shared" si="71"/>
        <v>0</v>
      </c>
      <c r="AL510">
        <f t="shared" si="72"/>
        <v>1</v>
      </c>
      <c r="AM510">
        <f t="shared" si="73"/>
        <v>2.75</v>
      </c>
      <c r="AN510">
        <f t="shared" si="74"/>
        <v>4430.666666666667</v>
      </c>
      <c r="AO510">
        <f t="shared" si="75"/>
        <v>0.94444444444444442</v>
      </c>
      <c r="AP510" t="str">
        <f t="shared" si="76"/>
        <v>30-39</v>
      </c>
      <c r="AQ510" t="str">
        <f t="shared" si="77"/>
        <v>High</v>
      </c>
      <c r="AR510" t="str">
        <f t="shared" si="78"/>
        <v>Medium</v>
      </c>
      <c r="AS510">
        <f t="shared" si="79"/>
        <v>0</v>
      </c>
    </row>
    <row r="511" spans="1:4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s="20">
        <v>7725</v>
      </c>
      <c r="T511">
        <v>5335</v>
      </c>
      <c r="U511">
        <v>3</v>
      </c>
      <c r="V511" t="s">
        <v>42</v>
      </c>
      <c r="W511" t="s">
        <v>43</v>
      </c>
      <c r="X511" s="19">
        <v>23</v>
      </c>
      <c r="Y511">
        <v>4</v>
      </c>
      <c r="Z511">
        <v>3</v>
      </c>
      <c r="AA511">
        <v>80</v>
      </c>
      <c r="AB511">
        <v>1</v>
      </c>
      <c r="AC511">
        <v>15</v>
      </c>
      <c r="AD511">
        <v>2</v>
      </c>
      <c r="AE511">
        <v>1</v>
      </c>
      <c r="AF511">
        <v>13</v>
      </c>
      <c r="AG511">
        <v>11</v>
      </c>
      <c r="AH511">
        <v>4</v>
      </c>
      <c r="AI511">
        <v>7</v>
      </c>
      <c r="AJ511">
        <f t="shared" si="70"/>
        <v>0</v>
      </c>
      <c r="AK511">
        <f t="shared" si="71"/>
        <v>0</v>
      </c>
      <c r="AL511">
        <f t="shared" si="72"/>
        <v>1</v>
      </c>
      <c r="AM511">
        <f t="shared" si="73"/>
        <v>2.75</v>
      </c>
      <c r="AN511">
        <f t="shared" si="74"/>
        <v>6621.4285714285716</v>
      </c>
      <c r="AO511">
        <f t="shared" si="75"/>
        <v>0.8125</v>
      </c>
      <c r="AP511" t="str">
        <f t="shared" si="76"/>
        <v>30-39</v>
      </c>
      <c r="AQ511" t="str">
        <f t="shared" si="77"/>
        <v>High</v>
      </c>
      <c r="AR511" t="str">
        <f t="shared" si="78"/>
        <v>Medium</v>
      </c>
      <c r="AS511">
        <f t="shared" si="79"/>
        <v>1</v>
      </c>
    </row>
    <row r="512" spans="1:4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s="20">
        <v>10725</v>
      </c>
      <c r="T512">
        <v>6729</v>
      </c>
      <c r="U512">
        <v>2</v>
      </c>
      <c r="V512" t="s">
        <v>42</v>
      </c>
      <c r="W512" t="s">
        <v>43</v>
      </c>
      <c r="X512" s="19">
        <v>15</v>
      </c>
      <c r="Y512">
        <v>3</v>
      </c>
      <c r="Z512">
        <v>3</v>
      </c>
      <c r="AA512">
        <v>80</v>
      </c>
      <c r="AB512">
        <v>1</v>
      </c>
      <c r="AC512">
        <v>16</v>
      </c>
      <c r="AD512">
        <v>1</v>
      </c>
      <c r="AE512">
        <v>4</v>
      </c>
      <c r="AF512">
        <v>9</v>
      </c>
      <c r="AG512">
        <v>7</v>
      </c>
      <c r="AH512">
        <v>7</v>
      </c>
      <c r="AI512">
        <v>1</v>
      </c>
      <c r="AJ512">
        <f t="shared" si="70"/>
        <v>0</v>
      </c>
      <c r="AK512">
        <f t="shared" si="71"/>
        <v>0</v>
      </c>
      <c r="AL512">
        <f t="shared" si="72"/>
        <v>1</v>
      </c>
      <c r="AM512">
        <f t="shared" si="73"/>
        <v>3</v>
      </c>
      <c r="AN512">
        <f t="shared" si="74"/>
        <v>12870</v>
      </c>
      <c r="AO512">
        <f t="shared" si="75"/>
        <v>0.52941176470588236</v>
      </c>
      <c r="AP512" t="str">
        <f t="shared" si="76"/>
        <v>50+</v>
      </c>
      <c r="AQ512" t="str">
        <f t="shared" si="77"/>
        <v>Very High</v>
      </c>
      <c r="AR512" t="str">
        <f t="shared" si="78"/>
        <v>Long</v>
      </c>
      <c r="AS512">
        <f t="shared" si="79"/>
        <v>0</v>
      </c>
    </row>
    <row r="513" spans="1:4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s="20">
        <v>8847</v>
      </c>
      <c r="T513">
        <v>13934</v>
      </c>
      <c r="U513">
        <v>2</v>
      </c>
      <c r="V513" t="s">
        <v>42</v>
      </c>
      <c r="W513" t="s">
        <v>35</v>
      </c>
      <c r="X513" s="19">
        <v>11</v>
      </c>
      <c r="Y513">
        <v>3</v>
      </c>
      <c r="Z513">
        <v>3</v>
      </c>
      <c r="AA513">
        <v>80</v>
      </c>
      <c r="AB513">
        <v>1</v>
      </c>
      <c r="AC513">
        <v>13</v>
      </c>
      <c r="AD513">
        <v>2</v>
      </c>
      <c r="AE513">
        <v>3</v>
      </c>
      <c r="AF513">
        <v>3</v>
      </c>
      <c r="AG513">
        <v>2</v>
      </c>
      <c r="AH513">
        <v>0</v>
      </c>
      <c r="AI513">
        <v>2</v>
      </c>
      <c r="AJ513">
        <f t="shared" si="70"/>
        <v>0</v>
      </c>
      <c r="AK513">
        <f t="shared" si="71"/>
        <v>1</v>
      </c>
      <c r="AL513">
        <f t="shared" si="72"/>
        <v>1</v>
      </c>
      <c r="AM513">
        <f t="shared" si="73"/>
        <v>2.5</v>
      </c>
      <c r="AN513">
        <f t="shared" si="74"/>
        <v>26541</v>
      </c>
      <c r="AO513">
        <f t="shared" si="75"/>
        <v>0.21428571428571427</v>
      </c>
      <c r="AP513" t="str">
        <f t="shared" si="76"/>
        <v>30-39</v>
      </c>
      <c r="AQ513" t="str">
        <f t="shared" si="77"/>
        <v>Very High</v>
      </c>
      <c r="AR513" t="str">
        <f t="shared" si="78"/>
        <v>Medium</v>
      </c>
      <c r="AS513">
        <f t="shared" si="79"/>
        <v>0</v>
      </c>
    </row>
    <row r="514" spans="1:4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s="20">
        <v>2045</v>
      </c>
      <c r="T514">
        <v>15174</v>
      </c>
      <c r="U514">
        <v>0</v>
      </c>
      <c r="V514" t="s">
        <v>42</v>
      </c>
      <c r="W514" t="s">
        <v>43</v>
      </c>
      <c r="X514" s="19">
        <v>13</v>
      </c>
      <c r="Y514">
        <v>3</v>
      </c>
      <c r="Z514">
        <v>4</v>
      </c>
      <c r="AA514">
        <v>80</v>
      </c>
      <c r="AB514">
        <v>0</v>
      </c>
      <c r="AC514">
        <v>5</v>
      </c>
      <c r="AD514">
        <v>0</v>
      </c>
      <c r="AE514">
        <v>3</v>
      </c>
      <c r="AF514">
        <v>4</v>
      </c>
      <c r="AG514">
        <v>2</v>
      </c>
      <c r="AH514">
        <v>1</v>
      </c>
      <c r="AI514">
        <v>1</v>
      </c>
      <c r="AJ514">
        <f t="shared" si="70"/>
        <v>0</v>
      </c>
      <c r="AK514">
        <f t="shared" si="71"/>
        <v>0</v>
      </c>
      <c r="AL514">
        <f t="shared" si="72"/>
        <v>1</v>
      </c>
      <c r="AM514">
        <f t="shared" si="73"/>
        <v>3</v>
      </c>
      <c r="AN514">
        <f t="shared" si="74"/>
        <v>4908</v>
      </c>
      <c r="AO514">
        <f t="shared" si="75"/>
        <v>0.66666666666666663</v>
      </c>
      <c r="AP514" t="str">
        <f t="shared" si="76"/>
        <v>Under 30</v>
      </c>
      <c r="AQ514" t="str">
        <f t="shared" si="77"/>
        <v>Low</v>
      </c>
      <c r="AR514" t="str">
        <f t="shared" si="78"/>
        <v>Short</v>
      </c>
      <c r="AS514">
        <f t="shared" si="79"/>
        <v>0</v>
      </c>
    </row>
    <row r="515" spans="1:4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s="20">
        <v>1009</v>
      </c>
      <c r="T515">
        <v>26999</v>
      </c>
      <c r="U515">
        <v>1</v>
      </c>
      <c r="V515" t="s">
        <v>42</v>
      </c>
      <c r="W515" t="s">
        <v>35</v>
      </c>
      <c r="X515" s="19">
        <v>11</v>
      </c>
      <c r="Y515">
        <v>3</v>
      </c>
      <c r="Z515">
        <v>4</v>
      </c>
      <c r="AA515">
        <v>80</v>
      </c>
      <c r="AB515">
        <v>0</v>
      </c>
      <c r="AC515">
        <v>1</v>
      </c>
      <c r="AD515">
        <v>5</v>
      </c>
      <c r="AE515">
        <v>3</v>
      </c>
      <c r="AF515">
        <v>1</v>
      </c>
      <c r="AG515">
        <v>0</v>
      </c>
      <c r="AH515">
        <v>1</v>
      </c>
      <c r="AI515">
        <v>1</v>
      </c>
      <c r="AJ515">
        <f t="shared" ref="AJ515:AJ578" si="80">IF(B515="Yes",1,0)</f>
        <v>1</v>
      </c>
      <c r="AK515">
        <f t="shared" ref="AK515:AK578" si="81">IF(W515="Yes",1,0)</f>
        <v>1</v>
      </c>
      <c r="AL515">
        <f t="shared" ref="AL515:AL578" si="82">IF(L515="Male",1,0)</f>
        <v>1</v>
      </c>
      <c r="AM515">
        <f t="shared" ref="AM515:AM578" si="83">AVERAGE(K515,Q515,Z515,AE515)</f>
        <v>3.5</v>
      </c>
      <c r="AN515">
        <f t="shared" ref="AN515:AN578" si="84">(S515*12)/(AF515+1)</f>
        <v>6054</v>
      </c>
      <c r="AO515">
        <f t="shared" ref="AO515:AO578" si="85">AF515/(AC515+1)</f>
        <v>0.5</v>
      </c>
      <c r="AP515" t="str">
        <f t="shared" ref="AP515:AP578" si="86">IF(A515&lt;30,"Under 30",IF(A515&lt;40,"30-39",IF(A515&lt;50,"40-49","50+")))</f>
        <v>Under 30</v>
      </c>
      <c r="AQ515" t="str">
        <f t="shared" ref="AQ515:AQ578" si="87">IF(S515&lt;=$AV$1,"Low",IF(S515&lt;=$AV$2,"Medium",IF(S515&lt;=$AV$3,"High","Very High")))</f>
        <v>Low</v>
      </c>
      <c r="AR515" t="str">
        <f t="shared" ref="AR515:AR578" si="88">IF(F515&lt;=5,"Short",IF(F515&lt;=15,"Medium","Long"))</f>
        <v>Medium</v>
      </c>
      <c r="AS515">
        <f t="shared" ref="AS515:AS578" si="89">IF(C515="Travel_Frequently",1,0)</f>
        <v>0</v>
      </c>
    </row>
    <row r="516" spans="1:4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s="20">
        <v>3348</v>
      </c>
      <c r="T516">
        <v>3164</v>
      </c>
      <c r="U516">
        <v>1</v>
      </c>
      <c r="V516" t="s">
        <v>42</v>
      </c>
      <c r="W516" t="s">
        <v>35</v>
      </c>
      <c r="X516" s="19">
        <v>11</v>
      </c>
      <c r="Y516">
        <v>3</v>
      </c>
      <c r="Z516">
        <v>1</v>
      </c>
      <c r="AA516">
        <v>80</v>
      </c>
      <c r="AB516">
        <v>0</v>
      </c>
      <c r="AC516">
        <v>10</v>
      </c>
      <c r="AD516">
        <v>3</v>
      </c>
      <c r="AE516">
        <v>3</v>
      </c>
      <c r="AF516">
        <v>10</v>
      </c>
      <c r="AG516">
        <v>8</v>
      </c>
      <c r="AH516">
        <v>9</v>
      </c>
      <c r="AI516">
        <v>7</v>
      </c>
      <c r="AJ516">
        <f t="shared" si="80"/>
        <v>1</v>
      </c>
      <c r="AK516">
        <f t="shared" si="81"/>
        <v>1</v>
      </c>
      <c r="AL516">
        <f t="shared" si="82"/>
        <v>1</v>
      </c>
      <c r="AM516">
        <f t="shared" si="83"/>
        <v>1.5</v>
      </c>
      <c r="AN516">
        <f t="shared" si="84"/>
        <v>3652.3636363636365</v>
      </c>
      <c r="AO516">
        <f t="shared" si="85"/>
        <v>0.90909090909090906</v>
      </c>
      <c r="AP516" t="str">
        <f t="shared" si="86"/>
        <v>30-39</v>
      </c>
      <c r="AQ516" t="str">
        <f t="shared" si="87"/>
        <v>Medium</v>
      </c>
      <c r="AR516" t="str">
        <f t="shared" si="88"/>
        <v>Short</v>
      </c>
      <c r="AS516">
        <f t="shared" si="89"/>
        <v>1</v>
      </c>
    </row>
    <row r="517" spans="1:4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s="20">
        <v>1281</v>
      </c>
      <c r="T517">
        <v>16900</v>
      </c>
      <c r="U517">
        <v>1</v>
      </c>
      <c r="V517" t="s">
        <v>42</v>
      </c>
      <c r="W517" t="s">
        <v>43</v>
      </c>
      <c r="X517" s="19">
        <v>18</v>
      </c>
      <c r="Y517">
        <v>3</v>
      </c>
      <c r="Z517">
        <v>3</v>
      </c>
      <c r="AA517">
        <v>80</v>
      </c>
      <c r="AB517">
        <v>2</v>
      </c>
      <c r="AC517">
        <v>1</v>
      </c>
      <c r="AD517">
        <v>3</v>
      </c>
      <c r="AE517">
        <v>3</v>
      </c>
      <c r="AF517">
        <v>1</v>
      </c>
      <c r="AG517">
        <v>0</v>
      </c>
      <c r="AH517">
        <v>0</v>
      </c>
      <c r="AI517">
        <v>0</v>
      </c>
      <c r="AJ517">
        <f t="shared" si="80"/>
        <v>0</v>
      </c>
      <c r="AK517">
        <f t="shared" si="81"/>
        <v>0</v>
      </c>
      <c r="AL517">
        <f t="shared" si="82"/>
        <v>1</v>
      </c>
      <c r="AM517">
        <f t="shared" si="83"/>
        <v>3</v>
      </c>
      <c r="AN517">
        <f t="shared" si="84"/>
        <v>7686</v>
      </c>
      <c r="AO517">
        <f t="shared" si="85"/>
        <v>0.5</v>
      </c>
      <c r="AP517" t="str">
        <f t="shared" si="86"/>
        <v>30-39</v>
      </c>
      <c r="AQ517" t="str">
        <f t="shared" si="87"/>
        <v>Low</v>
      </c>
      <c r="AR517" t="str">
        <f t="shared" si="88"/>
        <v>Short</v>
      </c>
      <c r="AS517">
        <f t="shared" si="89"/>
        <v>0</v>
      </c>
    </row>
    <row r="518" spans="1:4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s="20">
        <v>2819</v>
      </c>
      <c r="T518">
        <v>8544</v>
      </c>
      <c r="U518">
        <v>2</v>
      </c>
      <c r="V518" t="s">
        <v>42</v>
      </c>
      <c r="W518" t="s">
        <v>43</v>
      </c>
      <c r="X518" s="19">
        <v>16</v>
      </c>
      <c r="Y518">
        <v>3</v>
      </c>
      <c r="Z518">
        <v>1</v>
      </c>
      <c r="AA518">
        <v>80</v>
      </c>
      <c r="AB518">
        <v>1</v>
      </c>
      <c r="AC518">
        <v>5</v>
      </c>
      <c r="AD518">
        <v>3</v>
      </c>
      <c r="AE518">
        <v>4</v>
      </c>
      <c r="AF518">
        <v>3</v>
      </c>
      <c r="AG518">
        <v>2</v>
      </c>
      <c r="AH518">
        <v>0</v>
      </c>
      <c r="AI518">
        <v>2</v>
      </c>
      <c r="AJ518">
        <f t="shared" si="80"/>
        <v>0</v>
      </c>
      <c r="AK518">
        <f t="shared" si="81"/>
        <v>0</v>
      </c>
      <c r="AL518">
        <f t="shared" si="82"/>
        <v>1</v>
      </c>
      <c r="AM518">
        <f t="shared" si="83"/>
        <v>1.75</v>
      </c>
      <c r="AN518">
        <f t="shared" si="84"/>
        <v>8457</v>
      </c>
      <c r="AO518">
        <f t="shared" si="85"/>
        <v>0.5</v>
      </c>
      <c r="AP518" t="str">
        <f t="shared" si="86"/>
        <v>Under 30</v>
      </c>
      <c r="AQ518" t="str">
        <f t="shared" si="87"/>
        <v>Low</v>
      </c>
      <c r="AR518" t="str">
        <f t="shared" si="88"/>
        <v>Short</v>
      </c>
      <c r="AS518">
        <f t="shared" si="89"/>
        <v>0</v>
      </c>
    </row>
    <row r="519" spans="1:4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s="20">
        <v>4851</v>
      </c>
      <c r="T519">
        <v>15678</v>
      </c>
      <c r="U519">
        <v>0</v>
      </c>
      <c r="V519" t="s">
        <v>42</v>
      </c>
      <c r="W519" t="s">
        <v>43</v>
      </c>
      <c r="X519" s="19">
        <v>22</v>
      </c>
      <c r="Y519">
        <v>4</v>
      </c>
      <c r="Z519">
        <v>3</v>
      </c>
      <c r="AA519">
        <v>80</v>
      </c>
      <c r="AB519">
        <v>1</v>
      </c>
      <c r="AC519">
        <v>4</v>
      </c>
      <c r="AD519">
        <v>4</v>
      </c>
      <c r="AE519">
        <v>3</v>
      </c>
      <c r="AF519">
        <v>3</v>
      </c>
      <c r="AG519">
        <v>2</v>
      </c>
      <c r="AH519">
        <v>1</v>
      </c>
      <c r="AI519">
        <v>2</v>
      </c>
      <c r="AJ519">
        <f t="shared" si="80"/>
        <v>0</v>
      </c>
      <c r="AK519">
        <f t="shared" si="81"/>
        <v>0</v>
      </c>
      <c r="AL519">
        <f t="shared" si="82"/>
        <v>1</v>
      </c>
      <c r="AM519">
        <f t="shared" si="83"/>
        <v>3</v>
      </c>
      <c r="AN519">
        <f t="shared" si="84"/>
        <v>14553</v>
      </c>
      <c r="AO519">
        <f t="shared" si="85"/>
        <v>0.6</v>
      </c>
      <c r="AP519" t="str">
        <f t="shared" si="86"/>
        <v>Under 30</v>
      </c>
      <c r="AQ519" t="str">
        <f t="shared" si="87"/>
        <v>Medium</v>
      </c>
      <c r="AR519" t="str">
        <f t="shared" si="88"/>
        <v>Medium</v>
      </c>
      <c r="AS519">
        <f t="shared" si="89"/>
        <v>0</v>
      </c>
    </row>
    <row r="520" spans="1:4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s="20">
        <v>4028</v>
      </c>
      <c r="T520">
        <v>7791</v>
      </c>
      <c r="U520">
        <v>0</v>
      </c>
      <c r="V520" t="s">
        <v>42</v>
      </c>
      <c r="W520" t="s">
        <v>43</v>
      </c>
      <c r="X520" s="19">
        <v>20</v>
      </c>
      <c r="Y520">
        <v>4</v>
      </c>
      <c r="Z520">
        <v>1</v>
      </c>
      <c r="AA520">
        <v>80</v>
      </c>
      <c r="AB520">
        <v>0</v>
      </c>
      <c r="AC520">
        <v>8</v>
      </c>
      <c r="AD520">
        <v>2</v>
      </c>
      <c r="AE520">
        <v>3</v>
      </c>
      <c r="AF520">
        <v>7</v>
      </c>
      <c r="AG520">
        <v>7</v>
      </c>
      <c r="AH520">
        <v>0</v>
      </c>
      <c r="AI520">
        <v>5</v>
      </c>
      <c r="AJ520">
        <f t="shared" si="80"/>
        <v>0</v>
      </c>
      <c r="AK520">
        <f t="shared" si="81"/>
        <v>0</v>
      </c>
      <c r="AL520">
        <f t="shared" si="82"/>
        <v>0</v>
      </c>
      <c r="AM520">
        <f t="shared" si="83"/>
        <v>3</v>
      </c>
      <c r="AN520">
        <f t="shared" si="84"/>
        <v>6042</v>
      </c>
      <c r="AO520">
        <f t="shared" si="85"/>
        <v>0.77777777777777779</v>
      </c>
      <c r="AP520" t="str">
        <f t="shared" si="86"/>
        <v>30-39</v>
      </c>
      <c r="AQ520" t="str">
        <f t="shared" si="87"/>
        <v>Medium</v>
      </c>
      <c r="AR520" t="str">
        <f t="shared" si="88"/>
        <v>Medium</v>
      </c>
      <c r="AS520">
        <f t="shared" si="89"/>
        <v>0</v>
      </c>
    </row>
    <row r="521" spans="1:4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s="20">
        <v>2720</v>
      </c>
      <c r="T521">
        <v>18959</v>
      </c>
      <c r="U521">
        <v>1</v>
      </c>
      <c r="V521" t="s">
        <v>42</v>
      </c>
      <c r="W521" t="s">
        <v>43</v>
      </c>
      <c r="X521" s="19">
        <v>18</v>
      </c>
      <c r="Y521">
        <v>3</v>
      </c>
      <c r="Z521">
        <v>4</v>
      </c>
      <c r="AA521">
        <v>80</v>
      </c>
      <c r="AB521">
        <v>1</v>
      </c>
      <c r="AC521">
        <v>10</v>
      </c>
      <c r="AD521">
        <v>5</v>
      </c>
      <c r="AE521">
        <v>3</v>
      </c>
      <c r="AF521">
        <v>10</v>
      </c>
      <c r="AG521">
        <v>7</v>
      </c>
      <c r="AH521">
        <v>2</v>
      </c>
      <c r="AI521">
        <v>8</v>
      </c>
      <c r="AJ521">
        <f t="shared" si="80"/>
        <v>0</v>
      </c>
      <c r="AK521">
        <f t="shared" si="81"/>
        <v>0</v>
      </c>
      <c r="AL521">
        <f t="shared" si="82"/>
        <v>1</v>
      </c>
      <c r="AM521">
        <f t="shared" si="83"/>
        <v>3.25</v>
      </c>
      <c r="AN521">
        <f t="shared" si="84"/>
        <v>2967.2727272727275</v>
      </c>
      <c r="AO521">
        <f t="shared" si="85"/>
        <v>0.90909090909090906</v>
      </c>
      <c r="AP521" t="str">
        <f t="shared" si="86"/>
        <v>Under 30</v>
      </c>
      <c r="AQ521" t="str">
        <f t="shared" si="87"/>
        <v>Low</v>
      </c>
      <c r="AR521" t="str">
        <f t="shared" si="88"/>
        <v>Short</v>
      </c>
      <c r="AS521">
        <f t="shared" si="89"/>
        <v>1</v>
      </c>
    </row>
    <row r="522" spans="1:4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s="20">
        <v>8120</v>
      </c>
      <c r="T522">
        <v>18597</v>
      </c>
      <c r="U522">
        <v>3</v>
      </c>
      <c r="V522" t="s">
        <v>42</v>
      </c>
      <c r="W522" t="s">
        <v>43</v>
      </c>
      <c r="X522" s="19">
        <v>12</v>
      </c>
      <c r="Y522">
        <v>3</v>
      </c>
      <c r="Z522">
        <v>4</v>
      </c>
      <c r="AA522">
        <v>80</v>
      </c>
      <c r="AB522">
        <v>0</v>
      </c>
      <c r="AC522">
        <v>12</v>
      </c>
      <c r="AD522">
        <v>3</v>
      </c>
      <c r="AE522">
        <v>3</v>
      </c>
      <c r="AF522">
        <v>2</v>
      </c>
      <c r="AG522">
        <v>2</v>
      </c>
      <c r="AH522">
        <v>2</v>
      </c>
      <c r="AI522">
        <v>2</v>
      </c>
      <c r="AJ522">
        <f t="shared" si="80"/>
        <v>0</v>
      </c>
      <c r="AK522">
        <f t="shared" si="81"/>
        <v>0</v>
      </c>
      <c r="AL522">
        <f t="shared" si="82"/>
        <v>1</v>
      </c>
      <c r="AM522">
        <f t="shared" si="83"/>
        <v>2.75</v>
      </c>
      <c r="AN522">
        <f t="shared" si="84"/>
        <v>32480</v>
      </c>
      <c r="AO522">
        <f t="shared" si="85"/>
        <v>0.15384615384615385</v>
      </c>
      <c r="AP522" t="str">
        <f t="shared" si="86"/>
        <v>40-49</v>
      </c>
      <c r="AQ522" t="str">
        <f t="shared" si="87"/>
        <v>High</v>
      </c>
      <c r="AR522" t="str">
        <f t="shared" si="88"/>
        <v>Short</v>
      </c>
      <c r="AS522">
        <f t="shared" si="89"/>
        <v>0</v>
      </c>
    </row>
    <row r="523" spans="1:4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s="20">
        <v>4647</v>
      </c>
      <c r="T523">
        <v>16673</v>
      </c>
      <c r="U523">
        <v>1</v>
      </c>
      <c r="V523" t="s">
        <v>42</v>
      </c>
      <c r="W523" t="s">
        <v>35</v>
      </c>
      <c r="X523" s="19">
        <v>20</v>
      </c>
      <c r="Y523">
        <v>4</v>
      </c>
      <c r="Z523">
        <v>2</v>
      </c>
      <c r="AA523">
        <v>80</v>
      </c>
      <c r="AB523">
        <v>2</v>
      </c>
      <c r="AC523">
        <v>6</v>
      </c>
      <c r="AD523">
        <v>3</v>
      </c>
      <c r="AE523">
        <v>3</v>
      </c>
      <c r="AF523">
        <v>6</v>
      </c>
      <c r="AG523">
        <v>5</v>
      </c>
      <c r="AH523">
        <v>0</v>
      </c>
      <c r="AI523">
        <v>4</v>
      </c>
      <c r="AJ523">
        <f t="shared" si="80"/>
        <v>0</v>
      </c>
      <c r="AK523">
        <f t="shared" si="81"/>
        <v>1</v>
      </c>
      <c r="AL523">
        <f t="shared" si="82"/>
        <v>0</v>
      </c>
      <c r="AM523">
        <f t="shared" si="83"/>
        <v>3.25</v>
      </c>
      <c r="AN523">
        <f t="shared" si="84"/>
        <v>7966.2857142857147</v>
      </c>
      <c r="AO523">
        <f t="shared" si="85"/>
        <v>0.8571428571428571</v>
      </c>
      <c r="AP523" t="str">
        <f t="shared" si="86"/>
        <v>Under 30</v>
      </c>
      <c r="AQ523" t="str">
        <f t="shared" si="87"/>
        <v>Medium</v>
      </c>
      <c r="AR523" t="str">
        <f t="shared" si="88"/>
        <v>Short</v>
      </c>
      <c r="AS523">
        <f t="shared" si="89"/>
        <v>1</v>
      </c>
    </row>
    <row r="524" spans="1:4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s="20">
        <v>4680</v>
      </c>
      <c r="T524">
        <v>15232</v>
      </c>
      <c r="U524">
        <v>3</v>
      </c>
      <c r="V524" t="s">
        <v>42</v>
      </c>
      <c r="W524" t="s">
        <v>43</v>
      </c>
      <c r="X524" s="19">
        <v>17</v>
      </c>
      <c r="Y524">
        <v>3</v>
      </c>
      <c r="Z524">
        <v>1</v>
      </c>
      <c r="AA524">
        <v>80</v>
      </c>
      <c r="AB524">
        <v>0</v>
      </c>
      <c r="AC524">
        <v>4</v>
      </c>
      <c r="AD524">
        <v>2</v>
      </c>
      <c r="AE524">
        <v>3</v>
      </c>
      <c r="AF524">
        <v>1</v>
      </c>
      <c r="AG524">
        <v>0</v>
      </c>
      <c r="AH524">
        <v>0</v>
      </c>
      <c r="AI524">
        <v>0</v>
      </c>
      <c r="AJ524">
        <f t="shared" si="80"/>
        <v>0</v>
      </c>
      <c r="AK524">
        <f t="shared" si="81"/>
        <v>0</v>
      </c>
      <c r="AL524">
        <f t="shared" si="82"/>
        <v>1</v>
      </c>
      <c r="AM524">
        <f t="shared" si="83"/>
        <v>3</v>
      </c>
      <c r="AN524">
        <f t="shared" si="84"/>
        <v>28080</v>
      </c>
      <c r="AO524">
        <f t="shared" si="85"/>
        <v>0.2</v>
      </c>
      <c r="AP524" t="str">
        <f t="shared" si="86"/>
        <v>30-39</v>
      </c>
      <c r="AQ524" t="str">
        <f t="shared" si="87"/>
        <v>Medium</v>
      </c>
      <c r="AR524" t="str">
        <f t="shared" si="88"/>
        <v>Medium</v>
      </c>
      <c r="AS524">
        <f t="shared" si="89"/>
        <v>0</v>
      </c>
    </row>
    <row r="525" spans="1:4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s="20">
        <v>3221</v>
      </c>
      <c r="T525">
        <v>3297</v>
      </c>
      <c r="U525">
        <v>1</v>
      </c>
      <c r="V525" t="s">
        <v>42</v>
      </c>
      <c r="W525" t="s">
        <v>35</v>
      </c>
      <c r="X525" s="19">
        <v>11</v>
      </c>
      <c r="Y525">
        <v>3</v>
      </c>
      <c r="Z525">
        <v>3</v>
      </c>
      <c r="AA525">
        <v>80</v>
      </c>
      <c r="AB525">
        <v>3</v>
      </c>
      <c r="AC525">
        <v>20</v>
      </c>
      <c r="AD525">
        <v>3</v>
      </c>
      <c r="AE525">
        <v>3</v>
      </c>
      <c r="AF525">
        <v>20</v>
      </c>
      <c r="AG525">
        <v>8</v>
      </c>
      <c r="AH525">
        <v>3</v>
      </c>
      <c r="AI525">
        <v>8</v>
      </c>
      <c r="AJ525">
        <f t="shared" si="80"/>
        <v>0</v>
      </c>
      <c r="AK525">
        <f t="shared" si="81"/>
        <v>1</v>
      </c>
      <c r="AL525">
        <f t="shared" si="82"/>
        <v>1</v>
      </c>
      <c r="AM525">
        <f t="shared" si="83"/>
        <v>3.25</v>
      </c>
      <c r="AN525">
        <f t="shared" si="84"/>
        <v>1840.5714285714287</v>
      </c>
      <c r="AO525">
        <f t="shared" si="85"/>
        <v>0.95238095238095233</v>
      </c>
      <c r="AP525" t="str">
        <f t="shared" si="86"/>
        <v>50+</v>
      </c>
      <c r="AQ525" t="str">
        <f t="shared" si="87"/>
        <v>Medium</v>
      </c>
      <c r="AR525" t="str">
        <f t="shared" si="88"/>
        <v>Long</v>
      </c>
      <c r="AS525">
        <f t="shared" si="89"/>
        <v>0</v>
      </c>
    </row>
    <row r="526" spans="1:4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s="20">
        <v>8621</v>
      </c>
      <c r="T526">
        <v>17654</v>
      </c>
      <c r="U526">
        <v>1</v>
      </c>
      <c r="V526" t="s">
        <v>42</v>
      </c>
      <c r="W526" t="s">
        <v>43</v>
      </c>
      <c r="X526" s="19">
        <v>14</v>
      </c>
      <c r="Y526">
        <v>3</v>
      </c>
      <c r="Z526">
        <v>2</v>
      </c>
      <c r="AA526">
        <v>80</v>
      </c>
      <c r="AB526">
        <v>0</v>
      </c>
      <c r="AC526">
        <v>9</v>
      </c>
      <c r="AD526">
        <v>3</v>
      </c>
      <c r="AE526">
        <v>4</v>
      </c>
      <c r="AF526">
        <v>8</v>
      </c>
      <c r="AG526">
        <v>7</v>
      </c>
      <c r="AH526">
        <v>7</v>
      </c>
      <c r="AI526">
        <v>7</v>
      </c>
      <c r="AJ526">
        <f t="shared" si="80"/>
        <v>0</v>
      </c>
      <c r="AK526">
        <f t="shared" si="81"/>
        <v>0</v>
      </c>
      <c r="AL526">
        <f t="shared" si="82"/>
        <v>0</v>
      </c>
      <c r="AM526">
        <f t="shared" si="83"/>
        <v>3</v>
      </c>
      <c r="AN526">
        <f t="shared" si="84"/>
        <v>11494.666666666666</v>
      </c>
      <c r="AO526">
        <f t="shared" si="85"/>
        <v>0.8</v>
      </c>
      <c r="AP526" t="str">
        <f t="shared" si="86"/>
        <v>30-39</v>
      </c>
      <c r="AQ526" t="str">
        <f t="shared" si="87"/>
        <v>Very High</v>
      </c>
      <c r="AR526" t="str">
        <f t="shared" si="88"/>
        <v>Medium</v>
      </c>
      <c r="AS526">
        <f t="shared" si="89"/>
        <v>0</v>
      </c>
    </row>
    <row r="527" spans="1:4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s="20">
        <v>4577</v>
      </c>
      <c r="T527">
        <v>24785</v>
      </c>
      <c r="U527">
        <v>9</v>
      </c>
      <c r="V527" t="s">
        <v>42</v>
      </c>
      <c r="W527" t="s">
        <v>43</v>
      </c>
      <c r="X527" s="19">
        <v>14</v>
      </c>
      <c r="Y527">
        <v>3</v>
      </c>
      <c r="Z527">
        <v>1</v>
      </c>
      <c r="AA527">
        <v>80</v>
      </c>
      <c r="AB527">
        <v>0</v>
      </c>
      <c r="AC527">
        <v>4</v>
      </c>
      <c r="AD527">
        <v>3</v>
      </c>
      <c r="AE527">
        <v>3</v>
      </c>
      <c r="AF527">
        <v>2</v>
      </c>
      <c r="AG527">
        <v>2</v>
      </c>
      <c r="AH527">
        <v>2</v>
      </c>
      <c r="AI527">
        <v>0</v>
      </c>
      <c r="AJ527">
        <f t="shared" si="80"/>
        <v>1</v>
      </c>
      <c r="AK527">
        <f t="shared" si="81"/>
        <v>0</v>
      </c>
      <c r="AL527">
        <f t="shared" si="82"/>
        <v>0</v>
      </c>
      <c r="AM527">
        <f t="shared" si="83"/>
        <v>2</v>
      </c>
      <c r="AN527">
        <f t="shared" si="84"/>
        <v>18308</v>
      </c>
      <c r="AO527">
        <f t="shared" si="85"/>
        <v>0.4</v>
      </c>
      <c r="AP527" t="str">
        <f t="shared" si="86"/>
        <v>Under 30</v>
      </c>
      <c r="AQ527" t="str">
        <f t="shared" si="87"/>
        <v>Medium</v>
      </c>
      <c r="AR527" t="str">
        <f t="shared" si="88"/>
        <v>Short</v>
      </c>
      <c r="AS527">
        <f t="shared" si="89"/>
        <v>0</v>
      </c>
    </row>
    <row r="528" spans="1:4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s="20">
        <v>4553</v>
      </c>
      <c r="T528">
        <v>20978</v>
      </c>
      <c r="U528">
        <v>1</v>
      </c>
      <c r="V528" t="s">
        <v>42</v>
      </c>
      <c r="W528" t="s">
        <v>43</v>
      </c>
      <c r="X528" s="19">
        <v>11</v>
      </c>
      <c r="Y528">
        <v>3</v>
      </c>
      <c r="Z528">
        <v>1</v>
      </c>
      <c r="AA528">
        <v>80</v>
      </c>
      <c r="AB528">
        <v>0</v>
      </c>
      <c r="AC528">
        <v>20</v>
      </c>
      <c r="AD528">
        <v>4</v>
      </c>
      <c r="AE528">
        <v>3</v>
      </c>
      <c r="AF528">
        <v>20</v>
      </c>
      <c r="AG528">
        <v>7</v>
      </c>
      <c r="AH528">
        <v>11</v>
      </c>
      <c r="AI528">
        <v>10</v>
      </c>
      <c r="AJ528">
        <f t="shared" si="80"/>
        <v>0</v>
      </c>
      <c r="AK528">
        <f t="shared" si="81"/>
        <v>0</v>
      </c>
      <c r="AL528">
        <f t="shared" si="82"/>
        <v>0</v>
      </c>
      <c r="AM528">
        <f t="shared" si="83"/>
        <v>2.75</v>
      </c>
      <c r="AN528">
        <f t="shared" si="84"/>
        <v>2601.7142857142858</v>
      </c>
      <c r="AO528">
        <f t="shared" si="85"/>
        <v>0.95238095238095233</v>
      </c>
      <c r="AP528" t="str">
        <f t="shared" si="86"/>
        <v>30-39</v>
      </c>
      <c r="AQ528" t="str">
        <f t="shared" si="87"/>
        <v>Medium</v>
      </c>
      <c r="AR528" t="str">
        <f t="shared" si="88"/>
        <v>Short</v>
      </c>
      <c r="AS528">
        <f t="shared" si="89"/>
        <v>0</v>
      </c>
    </row>
    <row r="529" spans="1:4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s="20">
        <v>5396</v>
      </c>
      <c r="T529">
        <v>21703</v>
      </c>
      <c r="U529">
        <v>1</v>
      </c>
      <c r="V529" t="s">
        <v>42</v>
      </c>
      <c r="W529" t="s">
        <v>43</v>
      </c>
      <c r="X529" s="19">
        <v>12</v>
      </c>
      <c r="Y529">
        <v>3</v>
      </c>
      <c r="Z529">
        <v>4</v>
      </c>
      <c r="AA529">
        <v>80</v>
      </c>
      <c r="AB529">
        <v>0</v>
      </c>
      <c r="AC529">
        <v>10</v>
      </c>
      <c r="AD529">
        <v>2</v>
      </c>
      <c r="AE529">
        <v>2</v>
      </c>
      <c r="AF529">
        <v>10</v>
      </c>
      <c r="AG529">
        <v>7</v>
      </c>
      <c r="AH529">
        <v>0</v>
      </c>
      <c r="AI529">
        <v>8</v>
      </c>
      <c r="AJ529">
        <f t="shared" si="80"/>
        <v>0</v>
      </c>
      <c r="AK529">
        <f t="shared" si="81"/>
        <v>0</v>
      </c>
      <c r="AL529">
        <f t="shared" si="82"/>
        <v>1</v>
      </c>
      <c r="AM529">
        <f t="shared" si="83"/>
        <v>3.5</v>
      </c>
      <c r="AN529">
        <f t="shared" si="84"/>
        <v>5886.545454545455</v>
      </c>
      <c r="AO529">
        <f t="shared" si="85"/>
        <v>0.90909090909090906</v>
      </c>
      <c r="AP529" t="str">
        <f t="shared" si="86"/>
        <v>30-39</v>
      </c>
      <c r="AQ529" t="str">
        <f t="shared" si="87"/>
        <v>High</v>
      </c>
      <c r="AR529" t="str">
        <f t="shared" si="88"/>
        <v>Medium</v>
      </c>
      <c r="AS529">
        <f t="shared" si="89"/>
        <v>0</v>
      </c>
    </row>
    <row r="530" spans="1:4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s="20">
        <v>6796</v>
      </c>
      <c r="T530">
        <v>23452</v>
      </c>
      <c r="U530">
        <v>3</v>
      </c>
      <c r="V530" t="s">
        <v>42</v>
      </c>
      <c r="W530" t="s">
        <v>35</v>
      </c>
      <c r="X530" s="19">
        <v>14</v>
      </c>
      <c r="Y530">
        <v>3</v>
      </c>
      <c r="Z530">
        <v>1</v>
      </c>
      <c r="AA530">
        <v>80</v>
      </c>
      <c r="AB530">
        <v>1</v>
      </c>
      <c r="AC530">
        <v>18</v>
      </c>
      <c r="AD530">
        <v>4</v>
      </c>
      <c r="AE530">
        <v>3</v>
      </c>
      <c r="AF530">
        <v>4</v>
      </c>
      <c r="AG530">
        <v>3</v>
      </c>
      <c r="AH530">
        <v>1</v>
      </c>
      <c r="AI530">
        <v>3</v>
      </c>
      <c r="AJ530">
        <f t="shared" si="80"/>
        <v>1</v>
      </c>
      <c r="AK530">
        <f t="shared" si="81"/>
        <v>1</v>
      </c>
      <c r="AL530">
        <f t="shared" si="82"/>
        <v>1</v>
      </c>
      <c r="AM530">
        <f t="shared" si="83"/>
        <v>2.25</v>
      </c>
      <c r="AN530">
        <f t="shared" si="84"/>
        <v>16310.4</v>
      </c>
      <c r="AO530">
        <f t="shared" si="85"/>
        <v>0.21052631578947367</v>
      </c>
      <c r="AP530" t="str">
        <f t="shared" si="86"/>
        <v>50+</v>
      </c>
      <c r="AQ530" t="str">
        <f t="shared" si="87"/>
        <v>High</v>
      </c>
      <c r="AR530" t="str">
        <f t="shared" si="88"/>
        <v>Medium</v>
      </c>
      <c r="AS530">
        <f t="shared" si="89"/>
        <v>1</v>
      </c>
    </row>
    <row r="531" spans="1:4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s="20">
        <v>7625</v>
      </c>
      <c r="T531">
        <v>19383</v>
      </c>
      <c r="U531">
        <v>0</v>
      </c>
      <c r="V531" t="s">
        <v>42</v>
      </c>
      <c r="W531" t="s">
        <v>43</v>
      </c>
      <c r="X531" s="19">
        <v>13</v>
      </c>
      <c r="Y531">
        <v>3</v>
      </c>
      <c r="Z531">
        <v>3</v>
      </c>
      <c r="AA531">
        <v>80</v>
      </c>
      <c r="AB531">
        <v>0</v>
      </c>
      <c r="AC531">
        <v>10</v>
      </c>
      <c r="AD531">
        <v>4</v>
      </c>
      <c r="AE531">
        <v>2</v>
      </c>
      <c r="AF531">
        <v>9</v>
      </c>
      <c r="AG531">
        <v>7</v>
      </c>
      <c r="AH531">
        <v>1</v>
      </c>
      <c r="AI531">
        <v>8</v>
      </c>
      <c r="AJ531">
        <f t="shared" si="80"/>
        <v>0</v>
      </c>
      <c r="AK531">
        <f t="shared" si="81"/>
        <v>0</v>
      </c>
      <c r="AL531">
        <f t="shared" si="82"/>
        <v>0</v>
      </c>
      <c r="AM531">
        <f t="shared" si="83"/>
        <v>2.75</v>
      </c>
      <c r="AN531">
        <f t="shared" si="84"/>
        <v>9150</v>
      </c>
      <c r="AO531">
        <f t="shared" si="85"/>
        <v>0.81818181818181823</v>
      </c>
      <c r="AP531" t="str">
        <f t="shared" si="86"/>
        <v>30-39</v>
      </c>
      <c r="AQ531" t="str">
        <f t="shared" si="87"/>
        <v>High</v>
      </c>
      <c r="AR531" t="str">
        <f t="shared" si="88"/>
        <v>Short</v>
      </c>
      <c r="AS531">
        <f t="shared" si="89"/>
        <v>0</v>
      </c>
    </row>
    <row r="532" spans="1:4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s="20">
        <v>7412</v>
      </c>
      <c r="T532">
        <v>6009</v>
      </c>
      <c r="U532">
        <v>1</v>
      </c>
      <c r="V532" t="s">
        <v>42</v>
      </c>
      <c r="W532" t="s">
        <v>43</v>
      </c>
      <c r="X532" s="19">
        <v>11</v>
      </c>
      <c r="Y532">
        <v>3</v>
      </c>
      <c r="Z532">
        <v>4</v>
      </c>
      <c r="AA532">
        <v>80</v>
      </c>
      <c r="AB532">
        <v>0</v>
      </c>
      <c r="AC532">
        <v>9</v>
      </c>
      <c r="AD532">
        <v>3</v>
      </c>
      <c r="AE532">
        <v>3</v>
      </c>
      <c r="AF532">
        <v>9</v>
      </c>
      <c r="AG532">
        <v>7</v>
      </c>
      <c r="AH532">
        <v>0</v>
      </c>
      <c r="AI532">
        <v>7</v>
      </c>
      <c r="AJ532">
        <f t="shared" si="80"/>
        <v>0</v>
      </c>
      <c r="AK532">
        <f t="shared" si="81"/>
        <v>0</v>
      </c>
      <c r="AL532">
        <f t="shared" si="82"/>
        <v>0</v>
      </c>
      <c r="AM532">
        <f t="shared" si="83"/>
        <v>2.75</v>
      </c>
      <c r="AN532">
        <f t="shared" si="84"/>
        <v>8894.4</v>
      </c>
      <c r="AO532">
        <f t="shared" si="85"/>
        <v>0.9</v>
      </c>
      <c r="AP532" t="str">
        <f t="shared" si="86"/>
        <v>Under 30</v>
      </c>
      <c r="AQ532" t="str">
        <f t="shared" si="87"/>
        <v>High</v>
      </c>
      <c r="AR532" t="str">
        <f t="shared" si="88"/>
        <v>Short</v>
      </c>
      <c r="AS532">
        <f t="shared" si="89"/>
        <v>0</v>
      </c>
    </row>
    <row r="533" spans="1:4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s="20">
        <v>11159</v>
      </c>
      <c r="T533">
        <v>19373</v>
      </c>
      <c r="U533">
        <v>3</v>
      </c>
      <c r="V533" t="s">
        <v>42</v>
      </c>
      <c r="W533" t="s">
        <v>43</v>
      </c>
      <c r="X533" s="19">
        <v>15</v>
      </c>
      <c r="Y533">
        <v>3</v>
      </c>
      <c r="Z533">
        <v>4</v>
      </c>
      <c r="AA533">
        <v>80</v>
      </c>
      <c r="AB533">
        <v>0</v>
      </c>
      <c r="AC533">
        <v>10</v>
      </c>
      <c r="AD533">
        <v>6</v>
      </c>
      <c r="AE533">
        <v>3</v>
      </c>
      <c r="AF533">
        <v>7</v>
      </c>
      <c r="AG533">
        <v>7</v>
      </c>
      <c r="AH533">
        <v>7</v>
      </c>
      <c r="AI533">
        <v>7</v>
      </c>
      <c r="AJ533">
        <f t="shared" si="80"/>
        <v>0</v>
      </c>
      <c r="AK533">
        <f t="shared" si="81"/>
        <v>0</v>
      </c>
      <c r="AL533">
        <f t="shared" si="82"/>
        <v>0</v>
      </c>
      <c r="AM533">
        <f t="shared" si="83"/>
        <v>3.5</v>
      </c>
      <c r="AN533">
        <f t="shared" si="84"/>
        <v>16738.5</v>
      </c>
      <c r="AO533">
        <f t="shared" si="85"/>
        <v>0.63636363636363635</v>
      </c>
      <c r="AP533" t="str">
        <f t="shared" si="86"/>
        <v>30-39</v>
      </c>
      <c r="AQ533" t="str">
        <f t="shared" si="87"/>
        <v>Very High</v>
      </c>
      <c r="AR533" t="str">
        <f t="shared" si="88"/>
        <v>Short</v>
      </c>
      <c r="AS533">
        <f t="shared" si="89"/>
        <v>0</v>
      </c>
    </row>
    <row r="534" spans="1:4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s="20">
        <v>4960</v>
      </c>
      <c r="T534">
        <v>11825</v>
      </c>
      <c r="U534">
        <v>2</v>
      </c>
      <c r="V534" t="s">
        <v>42</v>
      </c>
      <c r="W534" t="s">
        <v>43</v>
      </c>
      <c r="X534" s="19">
        <v>12</v>
      </c>
      <c r="Y534">
        <v>3</v>
      </c>
      <c r="Z534">
        <v>4</v>
      </c>
      <c r="AA534">
        <v>80</v>
      </c>
      <c r="AB534">
        <v>0</v>
      </c>
      <c r="AC534">
        <v>20</v>
      </c>
      <c r="AD534">
        <v>2</v>
      </c>
      <c r="AE534">
        <v>3</v>
      </c>
      <c r="AF534">
        <v>7</v>
      </c>
      <c r="AG534">
        <v>7</v>
      </c>
      <c r="AH534">
        <v>1</v>
      </c>
      <c r="AI534">
        <v>7</v>
      </c>
      <c r="AJ534">
        <f t="shared" si="80"/>
        <v>0</v>
      </c>
      <c r="AK534">
        <f t="shared" si="81"/>
        <v>0</v>
      </c>
      <c r="AL534">
        <f t="shared" si="82"/>
        <v>1</v>
      </c>
      <c r="AM534">
        <f t="shared" si="83"/>
        <v>3</v>
      </c>
      <c r="AN534">
        <f t="shared" si="84"/>
        <v>7440</v>
      </c>
      <c r="AO534">
        <f t="shared" si="85"/>
        <v>0.33333333333333331</v>
      </c>
      <c r="AP534" t="str">
        <f t="shared" si="86"/>
        <v>40-49</v>
      </c>
      <c r="AQ534" t="str">
        <f t="shared" si="87"/>
        <v>High</v>
      </c>
      <c r="AR534" t="str">
        <f t="shared" si="88"/>
        <v>Medium</v>
      </c>
      <c r="AS534">
        <f t="shared" si="89"/>
        <v>0</v>
      </c>
    </row>
    <row r="535" spans="1:4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s="20">
        <v>10475</v>
      </c>
      <c r="T535">
        <v>23772</v>
      </c>
      <c r="U535">
        <v>5</v>
      </c>
      <c r="V535" t="s">
        <v>42</v>
      </c>
      <c r="W535" t="s">
        <v>35</v>
      </c>
      <c r="X535" s="19">
        <v>21</v>
      </c>
      <c r="Y535">
        <v>4</v>
      </c>
      <c r="Z535">
        <v>3</v>
      </c>
      <c r="AA535">
        <v>80</v>
      </c>
      <c r="AB535">
        <v>1</v>
      </c>
      <c r="AC535">
        <v>20</v>
      </c>
      <c r="AD535">
        <v>2</v>
      </c>
      <c r="AE535">
        <v>3</v>
      </c>
      <c r="AF535">
        <v>18</v>
      </c>
      <c r="AG535">
        <v>13</v>
      </c>
      <c r="AH535">
        <v>1</v>
      </c>
      <c r="AI535">
        <v>12</v>
      </c>
      <c r="AJ535">
        <f t="shared" si="80"/>
        <v>0</v>
      </c>
      <c r="AK535">
        <f t="shared" si="81"/>
        <v>1</v>
      </c>
      <c r="AL535">
        <f t="shared" si="82"/>
        <v>1</v>
      </c>
      <c r="AM535">
        <f t="shared" si="83"/>
        <v>2.75</v>
      </c>
      <c r="AN535">
        <f t="shared" si="84"/>
        <v>6615.7894736842109</v>
      </c>
      <c r="AO535">
        <f t="shared" si="85"/>
        <v>0.8571428571428571</v>
      </c>
      <c r="AP535" t="str">
        <f t="shared" si="86"/>
        <v>40-49</v>
      </c>
      <c r="AQ535" t="str">
        <f t="shared" si="87"/>
        <v>Very High</v>
      </c>
      <c r="AR535" t="str">
        <f t="shared" si="88"/>
        <v>Short</v>
      </c>
      <c r="AS535">
        <f t="shared" si="89"/>
        <v>1</v>
      </c>
    </row>
    <row r="536" spans="1:4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s="20">
        <v>14814</v>
      </c>
      <c r="T536">
        <v>13514</v>
      </c>
      <c r="U536">
        <v>3</v>
      </c>
      <c r="V536" t="s">
        <v>42</v>
      </c>
      <c r="W536" t="s">
        <v>43</v>
      </c>
      <c r="X536" s="19">
        <v>19</v>
      </c>
      <c r="Y536">
        <v>3</v>
      </c>
      <c r="Z536">
        <v>3</v>
      </c>
      <c r="AA536">
        <v>80</v>
      </c>
      <c r="AB536">
        <v>0</v>
      </c>
      <c r="AC536">
        <v>32</v>
      </c>
      <c r="AD536">
        <v>3</v>
      </c>
      <c r="AE536">
        <v>3</v>
      </c>
      <c r="AF536">
        <v>5</v>
      </c>
      <c r="AG536">
        <v>1</v>
      </c>
      <c r="AH536">
        <v>1</v>
      </c>
      <c r="AI536">
        <v>3</v>
      </c>
      <c r="AJ536">
        <f t="shared" si="80"/>
        <v>0</v>
      </c>
      <c r="AK536">
        <f t="shared" si="81"/>
        <v>0</v>
      </c>
      <c r="AL536">
        <f t="shared" si="82"/>
        <v>1</v>
      </c>
      <c r="AM536">
        <f t="shared" si="83"/>
        <v>3</v>
      </c>
      <c r="AN536">
        <f t="shared" si="84"/>
        <v>29628</v>
      </c>
      <c r="AO536">
        <f t="shared" si="85"/>
        <v>0.15151515151515152</v>
      </c>
      <c r="AP536" t="str">
        <f t="shared" si="86"/>
        <v>50+</v>
      </c>
      <c r="AQ536" t="str">
        <f t="shared" si="87"/>
        <v>Very High</v>
      </c>
      <c r="AR536" t="str">
        <f t="shared" si="88"/>
        <v>Medium</v>
      </c>
      <c r="AS536">
        <f t="shared" si="89"/>
        <v>0</v>
      </c>
    </row>
    <row r="537" spans="1:4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s="20">
        <v>19141</v>
      </c>
      <c r="T537">
        <v>8861</v>
      </c>
      <c r="U537">
        <v>3</v>
      </c>
      <c r="V537" t="s">
        <v>42</v>
      </c>
      <c r="W537" t="s">
        <v>43</v>
      </c>
      <c r="X537" s="19">
        <v>15</v>
      </c>
      <c r="Y537">
        <v>3</v>
      </c>
      <c r="Z537">
        <v>2</v>
      </c>
      <c r="AA537">
        <v>80</v>
      </c>
      <c r="AB537">
        <v>3</v>
      </c>
      <c r="AC537">
        <v>23</v>
      </c>
      <c r="AD537">
        <v>2</v>
      </c>
      <c r="AE537">
        <v>2</v>
      </c>
      <c r="AF537">
        <v>21</v>
      </c>
      <c r="AG537">
        <v>6</v>
      </c>
      <c r="AH537">
        <v>12</v>
      </c>
      <c r="AI537">
        <v>6</v>
      </c>
      <c r="AJ537">
        <f t="shared" si="80"/>
        <v>0</v>
      </c>
      <c r="AK537">
        <f t="shared" si="81"/>
        <v>0</v>
      </c>
      <c r="AL537">
        <f t="shared" si="82"/>
        <v>1</v>
      </c>
      <c r="AM537">
        <f t="shared" si="83"/>
        <v>2.5</v>
      </c>
      <c r="AN537">
        <f t="shared" si="84"/>
        <v>10440.545454545454</v>
      </c>
      <c r="AO537">
        <f t="shared" si="85"/>
        <v>0.875</v>
      </c>
      <c r="AP537" t="str">
        <f t="shared" si="86"/>
        <v>40-49</v>
      </c>
      <c r="AQ537" t="str">
        <f t="shared" si="87"/>
        <v>Very High</v>
      </c>
      <c r="AR537" t="str">
        <f t="shared" si="88"/>
        <v>Medium</v>
      </c>
      <c r="AS537">
        <f t="shared" si="89"/>
        <v>0</v>
      </c>
    </row>
    <row r="538" spans="1:4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s="20">
        <v>5405</v>
      </c>
      <c r="T538">
        <v>11924</v>
      </c>
      <c r="U538">
        <v>8</v>
      </c>
      <c r="V538" t="s">
        <v>42</v>
      </c>
      <c r="W538" t="s">
        <v>43</v>
      </c>
      <c r="X538" s="19">
        <v>14</v>
      </c>
      <c r="Y538">
        <v>3</v>
      </c>
      <c r="Z538">
        <v>4</v>
      </c>
      <c r="AA538">
        <v>80</v>
      </c>
      <c r="AB538">
        <v>0</v>
      </c>
      <c r="AC538">
        <v>10</v>
      </c>
      <c r="AD538">
        <v>1</v>
      </c>
      <c r="AE538">
        <v>3</v>
      </c>
      <c r="AF538">
        <v>2</v>
      </c>
      <c r="AG538">
        <v>2</v>
      </c>
      <c r="AH538">
        <v>2</v>
      </c>
      <c r="AI538">
        <v>2</v>
      </c>
      <c r="AJ538">
        <f t="shared" si="80"/>
        <v>0</v>
      </c>
      <c r="AK538">
        <f t="shared" si="81"/>
        <v>0</v>
      </c>
      <c r="AL538">
        <f t="shared" si="82"/>
        <v>1</v>
      </c>
      <c r="AM538">
        <f t="shared" si="83"/>
        <v>2.25</v>
      </c>
      <c r="AN538">
        <f t="shared" si="84"/>
        <v>21620</v>
      </c>
      <c r="AO538">
        <f t="shared" si="85"/>
        <v>0.18181818181818182</v>
      </c>
      <c r="AP538" t="str">
        <f t="shared" si="86"/>
        <v>50+</v>
      </c>
      <c r="AQ538" t="str">
        <f t="shared" si="87"/>
        <v>High</v>
      </c>
      <c r="AR538" t="str">
        <f t="shared" si="88"/>
        <v>Long</v>
      </c>
      <c r="AS538">
        <f t="shared" si="89"/>
        <v>0</v>
      </c>
    </row>
    <row r="539" spans="1:4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s="20">
        <v>8793</v>
      </c>
      <c r="T539">
        <v>4809</v>
      </c>
      <c r="U539">
        <v>1</v>
      </c>
      <c r="V539" t="s">
        <v>42</v>
      </c>
      <c r="W539" t="s">
        <v>43</v>
      </c>
      <c r="X539" s="19">
        <v>21</v>
      </c>
      <c r="Y539">
        <v>4</v>
      </c>
      <c r="Z539">
        <v>3</v>
      </c>
      <c r="AA539">
        <v>80</v>
      </c>
      <c r="AB539">
        <v>2</v>
      </c>
      <c r="AC539">
        <v>9</v>
      </c>
      <c r="AD539">
        <v>4</v>
      </c>
      <c r="AE539">
        <v>2</v>
      </c>
      <c r="AF539">
        <v>9</v>
      </c>
      <c r="AG539">
        <v>7</v>
      </c>
      <c r="AH539">
        <v>1</v>
      </c>
      <c r="AI539">
        <v>7</v>
      </c>
      <c r="AJ539">
        <f t="shared" si="80"/>
        <v>0</v>
      </c>
      <c r="AK539">
        <f t="shared" si="81"/>
        <v>0</v>
      </c>
      <c r="AL539">
        <f t="shared" si="82"/>
        <v>1</v>
      </c>
      <c r="AM539">
        <f t="shared" si="83"/>
        <v>2.5</v>
      </c>
      <c r="AN539">
        <f t="shared" si="84"/>
        <v>10551.6</v>
      </c>
      <c r="AO539">
        <f t="shared" si="85"/>
        <v>0.9</v>
      </c>
      <c r="AP539" t="str">
        <f t="shared" si="86"/>
        <v>Under 30</v>
      </c>
      <c r="AQ539" t="str">
        <f t="shared" si="87"/>
        <v>Very High</v>
      </c>
      <c r="AR539" t="str">
        <f t="shared" si="88"/>
        <v>Medium</v>
      </c>
      <c r="AS539">
        <f t="shared" si="89"/>
        <v>1</v>
      </c>
    </row>
    <row r="540" spans="1:4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s="20">
        <v>19189</v>
      </c>
      <c r="T540">
        <v>19562</v>
      </c>
      <c r="U540">
        <v>1</v>
      </c>
      <c r="V540" t="s">
        <v>42</v>
      </c>
      <c r="W540" t="s">
        <v>43</v>
      </c>
      <c r="X540" s="19">
        <v>12</v>
      </c>
      <c r="Y540">
        <v>3</v>
      </c>
      <c r="Z540">
        <v>2</v>
      </c>
      <c r="AA540">
        <v>80</v>
      </c>
      <c r="AB540">
        <v>1</v>
      </c>
      <c r="AC540">
        <v>22</v>
      </c>
      <c r="AD540">
        <v>3</v>
      </c>
      <c r="AE540">
        <v>3</v>
      </c>
      <c r="AF540">
        <v>22</v>
      </c>
      <c r="AG540">
        <v>7</v>
      </c>
      <c r="AH540">
        <v>2</v>
      </c>
      <c r="AI540">
        <v>10</v>
      </c>
      <c r="AJ540">
        <f t="shared" si="80"/>
        <v>0</v>
      </c>
      <c r="AK540">
        <f t="shared" si="81"/>
        <v>0</v>
      </c>
      <c r="AL540">
        <f t="shared" si="82"/>
        <v>1</v>
      </c>
      <c r="AM540">
        <f t="shared" si="83"/>
        <v>3</v>
      </c>
      <c r="AN540">
        <f t="shared" si="84"/>
        <v>10011.652173913044</v>
      </c>
      <c r="AO540">
        <f t="shared" si="85"/>
        <v>0.95652173913043481</v>
      </c>
      <c r="AP540" t="str">
        <f t="shared" si="86"/>
        <v>40-49</v>
      </c>
      <c r="AQ540" t="str">
        <f t="shared" si="87"/>
        <v>Very High</v>
      </c>
      <c r="AR540" t="str">
        <f t="shared" si="88"/>
        <v>Short</v>
      </c>
      <c r="AS540">
        <f t="shared" si="89"/>
        <v>0</v>
      </c>
    </row>
    <row r="541" spans="1:4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s="20">
        <v>3875</v>
      </c>
      <c r="T541">
        <v>9983</v>
      </c>
      <c r="U541">
        <v>7</v>
      </c>
      <c r="V541" t="s">
        <v>42</v>
      </c>
      <c r="W541" t="s">
        <v>43</v>
      </c>
      <c r="X541" s="19">
        <v>15</v>
      </c>
      <c r="Y541">
        <v>3</v>
      </c>
      <c r="Z541">
        <v>4</v>
      </c>
      <c r="AA541">
        <v>80</v>
      </c>
      <c r="AB541">
        <v>1</v>
      </c>
      <c r="AC541">
        <v>4</v>
      </c>
      <c r="AD541">
        <v>2</v>
      </c>
      <c r="AE541">
        <v>3</v>
      </c>
      <c r="AF541">
        <v>2</v>
      </c>
      <c r="AG541">
        <v>2</v>
      </c>
      <c r="AH541">
        <v>2</v>
      </c>
      <c r="AI541">
        <v>2</v>
      </c>
      <c r="AJ541">
        <f t="shared" si="80"/>
        <v>0</v>
      </c>
      <c r="AK541">
        <f t="shared" si="81"/>
        <v>0</v>
      </c>
      <c r="AL541">
        <f t="shared" si="82"/>
        <v>1</v>
      </c>
      <c r="AM541">
        <f t="shared" si="83"/>
        <v>3.25</v>
      </c>
      <c r="AN541">
        <f t="shared" si="84"/>
        <v>15500</v>
      </c>
      <c r="AO541">
        <f t="shared" si="85"/>
        <v>0.4</v>
      </c>
      <c r="AP541" t="str">
        <f t="shared" si="86"/>
        <v>50+</v>
      </c>
      <c r="AQ541" t="str">
        <f t="shared" si="87"/>
        <v>Medium</v>
      </c>
      <c r="AR541" t="str">
        <f t="shared" si="88"/>
        <v>Medium</v>
      </c>
      <c r="AS541">
        <f t="shared" si="89"/>
        <v>0</v>
      </c>
    </row>
    <row r="542" spans="1:4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s="20">
        <v>2216</v>
      </c>
      <c r="T542">
        <v>3872</v>
      </c>
      <c r="U542">
        <v>7</v>
      </c>
      <c r="V542" t="s">
        <v>42</v>
      </c>
      <c r="W542" t="s">
        <v>35</v>
      </c>
      <c r="X542" s="19">
        <v>13</v>
      </c>
      <c r="Y542">
        <v>3</v>
      </c>
      <c r="Z542">
        <v>4</v>
      </c>
      <c r="AA542">
        <v>80</v>
      </c>
      <c r="AB542">
        <v>0</v>
      </c>
      <c r="AC542">
        <v>10</v>
      </c>
      <c r="AD542">
        <v>4</v>
      </c>
      <c r="AE542">
        <v>3</v>
      </c>
      <c r="AF542">
        <v>7</v>
      </c>
      <c r="AG542">
        <v>7</v>
      </c>
      <c r="AH542">
        <v>3</v>
      </c>
      <c r="AI542">
        <v>7</v>
      </c>
      <c r="AJ542">
        <f t="shared" si="80"/>
        <v>1</v>
      </c>
      <c r="AK542">
        <f t="shared" si="81"/>
        <v>1</v>
      </c>
      <c r="AL542">
        <f t="shared" si="82"/>
        <v>0</v>
      </c>
      <c r="AM542">
        <f t="shared" si="83"/>
        <v>2.5</v>
      </c>
      <c r="AN542">
        <f t="shared" si="84"/>
        <v>3324</v>
      </c>
      <c r="AO542">
        <f t="shared" si="85"/>
        <v>0.63636363636363635</v>
      </c>
      <c r="AP542" t="str">
        <f t="shared" si="86"/>
        <v>Under 30</v>
      </c>
      <c r="AQ542" t="str">
        <f t="shared" si="87"/>
        <v>Low</v>
      </c>
      <c r="AR542" t="str">
        <f t="shared" si="88"/>
        <v>Short</v>
      </c>
      <c r="AS542">
        <f t="shared" si="89"/>
        <v>0</v>
      </c>
    </row>
    <row r="543" spans="1:4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s="20">
        <v>11713</v>
      </c>
      <c r="T543">
        <v>20335</v>
      </c>
      <c r="U543">
        <v>9</v>
      </c>
      <c r="V543" t="s">
        <v>42</v>
      </c>
      <c r="W543" t="s">
        <v>43</v>
      </c>
      <c r="X543" s="19">
        <v>14</v>
      </c>
      <c r="Y543">
        <v>3</v>
      </c>
      <c r="Z543">
        <v>1</v>
      </c>
      <c r="AA543">
        <v>80</v>
      </c>
      <c r="AB543">
        <v>1</v>
      </c>
      <c r="AC543">
        <v>10</v>
      </c>
      <c r="AD543">
        <v>2</v>
      </c>
      <c r="AE543">
        <v>3</v>
      </c>
      <c r="AF543">
        <v>8</v>
      </c>
      <c r="AG543">
        <v>7</v>
      </c>
      <c r="AH543">
        <v>0</v>
      </c>
      <c r="AI543">
        <v>5</v>
      </c>
      <c r="AJ543">
        <f t="shared" si="80"/>
        <v>0</v>
      </c>
      <c r="AK543">
        <f t="shared" si="81"/>
        <v>0</v>
      </c>
      <c r="AL543">
        <f t="shared" si="82"/>
        <v>0</v>
      </c>
      <c r="AM543">
        <f t="shared" si="83"/>
        <v>1.5</v>
      </c>
      <c r="AN543">
        <f t="shared" si="84"/>
        <v>15617.333333333334</v>
      </c>
      <c r="AO543">
        <f t="shared" si="85"/>
        <v>0.72727272727272729</v>
      </c>
      <c r="AP543" t="str">
        <f t="shared" si="86"/>
        <v>30-39</v>
      </c>
      <c r="AQ543" t="str">
        <f t="shared" si="87"/>
        <v>Very High</v>
      </c>
      <c r="AR543" t="str">
        <f t="shared" si="88"/>
        <v>Medium</v>
      </c>
      <c r="AS543">
        <f t="shared" si="89"/>
        <v>0</v>
      </c>
    </row>
    <row r="544" spans="1:4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s="20">
        <v>7861</v>
      </c>
      <c r="T544">
        <v>15397</v>
      </c>
      <c r="U544">
        <v>4</v>
      </c>
      <c r="V544" t="s">
        <v>42</v>
      </c>
      <c r="W544" t="s">
        <v>35</v>
      </c>
      <c r="X544" s="19">
        <v>14</v>
      </c>
      <c r="Y544">
        <v>3</v>
      </c>
      <c r="Z544">
        <v>4</v>
      </c>
      <c r="AA544">
        <v>80</v>
      </c>
      <c r="AB544">
        <v>0</v>
      </c>
      <c r="AC544">
        <v>10</v>
      </c>
      <c r="AD544">
        <v>4</v>
      </c>
      <c r="AE544">
        <v>4</v>
      </c>
      <c r="AF544">
        <v>1</v>
      </c>
      <c r="AG544">
        <v>0</v>
      </c>
      <c r="AH544">
        <v>0</v>
      </c>
      <c r="AI544">
        <v>0</v>
      </c>
      <c r="AJ544">
        <f t="shared" si="80"/>
        <v>0</v>
      </c>
      <c r="AK544">
        <f t="shared" si="81"/>
        <v>1</v>
      </c>
      <c r="AL544">
        <f t="shared" si="82"/>
        <v>0</v>
      </c>
      <c r="AM544">
        <f t="shared" si="83"/>
        <v>3.5</v>
      </c>
      <c r="AN544">
        <f t="shared" si="84"/>
        <v>47166</v>
      </c>
      <c r="AO544">
        <f t="shared" si="85"/>
        <v>9.0909090909090912E-2</v>
      </c>
      <c r="AP544" t="str">
        <f t="shared" si="86"/>
        <v>30-39</v>
      </c>
      <c r="AQ544" t="str">
        <f t="shared" si="87"/>
        <v>High</v>
      </c>
      <c r="AR544" t="str">
        <f t="shared" si="88"/>
        <v>Short</v>
      </c>
      <c r="AS544">
        <f t="shared" si="89"/>
        <v>0</v>
      </c>
    </row>
    <row r="545" spans="1:4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s="20">
        <v>3708</v>
      </c>
      <c r="T545">
        <v>2104</v>
      </c>
      <c r="U545">
        <v>2</v>
      </c>
      <c r="V545" t="s">
        <v>42</v>
      </c>
      <c r="W545" t="s">
        <v>43</v>
      </c>
      <c r="X545" s="19">
        <v>14</v>
      </c>
      <c r="Y545">
        <v>3</v>
      </c>
      <c r="Z545">
        <v>3</v>
      </c>
      <c r="AA545">
        <v>80</v>
      </c>
      <c r="AB545">
        <v>0</v>
      </c>
      <c r="AC545">
        <v>9</v>
      </c>
      <c r="AD545">
        <v>5</v>
      </c>
      <c r="AE545">
        <v>3</v>
      </c>
      <c r="AF545">
        <v>5</v>
      </c>
      <c r="AG545">
        <v>2</v>
      </c>
      <c r="AH545">
        <v>1</v>
      </c>
      <c r="AI545">
        <v>4</v>
      </c>
      <c r="AJ545">
        <f t="shared" si="80"/>
        <v>0</v>
      </c>
      <c r="AK545">
        <f t="shared" si="81"/>
        <v>0</v>
      </c>
      <c r="AL545">
        <f t="shared" si="82"/>
        <v>1</v>
      </c>
      <c r="AM545">
        <f t="shared" si="83"/>
        <v>2.5</v>
      </c>
      <c r="AN545">
        <f t="shared" si="84"/>
        <v>7416</v>
      </c>
      <c r="AO545">
        <f t="shared" si="85"/>
        <v>0.5</v>
      </c>
      <c r="AP545" t="str">
        <f t="shared" si="86"/>
        <v>40-49</v>
      </c>
      <c r="AQ545" t="str">
        <f t="shared" si="87"/>
        <v>Medium</v>
      </c>
      <c r="AR545" t="str">
        <f t="shared" si="88"/>
        <v>Long</v>
      </c>
      <c r="AS545">
        <f t="shared" si="89"/>
        <v>0</v>
      </c>
    </row>
    <row r="546" spans="1:4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s="20">
        <v>13770</v>
      </c>
      <c r="T546">
        <v>10225</v>
      </c>
      <c r="U546">
        <v>9</v>
      </c>
      <c r="V546" t="s">
        <v>42</v>
      </c>
      <c r="W546" t="s">
        <v>35</v>
      </c>
      <c r="X546" s="19">
        <v>12</v>
      </c>
      <c r="Y546">
        <v>3</v>
      </c>
      <c r="Z546">
        <v>4</v>
      </c>
      <c r="AA546">
        <v>80</v>
      </c>
      <c r="AB546">
        <v>2</v>
      </c>
      <c r="AC546">
        <v>28</v>
      </c>
      <c r="AD546">
        <v>2</v>
      </c>
      <c r="AE546">
        <v>2</v>
      </c>
      <c r="AF546">
        <v>22</v>
      </c>
      <c r="AG546">
        <v>2</v>
      </c>
      <c r="AH546">
        <v>11</v>
      </c>
      <c r="AI546">
        <v>13</v>
      </c>
      <c r="AJ546">
        <f t="shared" si="80"/>
        <v>0</v>
      </c>
      <c r="AK546">
        <f t="shared" si="81"/>
        <v>1</v>
      </c>
      <c r="AL546">
        <f t="shared" si="82"/>
        <v>0</v>
      </c>
      <c r="AM546">
        <f t="shared" si="83"/>
        <v>3.25</v>
      </c>
      <c r="AN546">
        <f t="shared" si="84"/>
        <v>7184.347826086957</v>
      </c>
      <c r="AO546">
        <f t="shared" si="85"/>
        <v>0.75862068965517238</v>
      </c>
      <c r="AP546" t="str">
        <f t="shared" si="86"/>
        <v>40-49</v>
      </c>
      <c r="AQ546" t="str">
        <f t="shared" si="87"/>
        <v>Very High</v>
      </c>
      <c r="AR546" t="str">
        <f t="shared" si="88"/>
        <v>Short</v>
      </c>
      <c r="AS546">
        <f t="shared" si="89"/>
        <v>1</v>
      </c>
    </row>
    <row r="547" spans="1:4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s="20">
        <v>5304</v>
      </c>
      <c r="T547">
        <v>25275</v>
      </c>
      <c r="U547">
        <v>7</v>
      </c>
      <c r="V547" t="s">
        <v>42</v>
      </c>
      <c r="W547" t="s">
        <v>43</v>
      </c>
      <c r="X547" s="19">
        <v>23</v>
      </c>
      <c r="Y547">
        <v>4</v>
      </c>
      <c r="Z547">
        <v>4</v>
      </c>
      <c r="AA547">
        <v>80</v>
      </c>
      <c r="AB547">
        <v>1</v>
      </c>
      <c r="AC547">
        <v>10</v>
      </c>
      <c r="AD547">
        <v>2</v>
      </c>
      <c r="AE547">
        <v>2</v>
      </c>
      <c r="AF547">
        <v>8</v>
      </c>
      <c r="AG547">
        <v>7</v>
      </c>
      <c r="AH547">
        <v>7</v>
      </c>
      <c r="AI547">
        <v>7</v>
      </c>
      <c r="AJ547">
        <f t="shared" si="80"/>
        <v>0</v>
      </c>
      <c r="AK547">
        <f t="shared" si="81"/>
        <v>0</v>
      </c>
      <c r="AL547">
        <f t="shared" si="82"/>
        <v>1</v>
      </c>
      <c r="AM547">
        <f t="shared" si="83"/>
        <v>3.25</v>
      </c>
      <c r="AN547">
        <f t="shared" si="84"/>
        <v>7072</v>
      </c>
      <c r="AO547">
        <f t="shared" si="85"/>
        <v>0.72727272727272729</v>
      </c>
      <c r="AP547" t="str">
        <f t="shared" si="86"/>
        <v>30-39</v>
      </c>
      <c r="AQ547" t="str">
        <f t="shared" si="87"/>
        <v>High</v>
      </c>
      <c r="AR547" t="str">
        <f t="shared" si="88"/>
        <v>Long</v>
      </c>
      <c r="AS547">
        <f t="shared" si="89"/>
        <v>0</v>
      </c>
    </row>
    <row r="548" spans="1:4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s="20">
        <v>2642</v>
      </c>
      <c r="T548">
        <v>2755</v>
      </c>
      <c r="U548">
        <v>1</v>
      </c>
      <c r="V548" t="s">
        <v>42</v>
      </c>
      <c r="W548" t="s">
        <v>43</v>
      </c>
      <c r="X548" s="19">
        <v>11</v>
      </c>
      <c r="Y548">
        <v>3</v>
      </c>
      <c r="Z548">
        <v>3</v>
      </c>
      <c r="AA548">
        <v>80</v>
      </c>
      <c r="AB548">
        <v>0</v>
      </c>
      <c r="AC548">
        <v>1</v>
      </c>
      <c r="AD548">
        <v>6</v>
      </c>
      <c r="AE548">
        <v>3</v>
      </c>
      <c r="AF548">
        <v>1</v>
      </c>
      <c r="AG548">
        <v>0</v>
      </c>
      <c r="AH548">
        <v>0</v>
      </c>
      <c r="AI548">
        <v>0</v>
      </c>
      <c r="AJ548">
        <f t="shared" si="80"/>
        <v>0</v>
      </c>
      <c r="AK548">
        <f t="shared" si="81"/>
        <v>0</v>
      </c>
      <c r="AL548">
        <f t="shared" si="82"/>
        <v>1</v>
      </c>
      <c r="AM548">
        <f t="shared" si="83"/>
        <v>3</v>
      </c>
      <c r="AN548">
        <f t="shared" si="84"/>
        <v>15852</v>
      </c>
      <c r="AO548">
        <f t="shared" si="85"/>
        <v>0.5</v>
      </c>
      <c r="AP548" t="str">
        <f t="shared" si="86"/>
        <v>Under 30</v>
      </c>
      <c r="AQ548" t="str">
        <f t="shared" si="87"/>
        <v>Low</v>
      </c>
      <c r="AR548" t="str">
        <f t="shared" si="88"/>
        <v>Medium</v>
      </c>
      <c r="AS548">
        <f t="shared" si="89"/>
        <v>0</v>
      </c>
    </row>
    <row r="549" spans="1:4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s="20">
        <v>2759</v>
      </c>
      <c r="T549">
        <v>20366</v>
      </c>
      <c r="U549">
        <v>6</v>
      </c>
      <c r="V549" t="s">
        <v>42</v>
      </c>
      <c r="W549" t="s">
        <v>35</v>
      </c>
      <c r="X549" s="19">
        <v>12</v>
      </c>
      <c r="Y549">
        <v>3</v>
      </c>
      <c r="Z549">
        <v>4</v>
      </c>
      <c r="AA549">
        <v>80</v>
      </c>
      <c r="AB549">
        <v>0</v>
      </c>
      <c r="AC549">
        <v>7</v>
      </c>
      <c r="AD549">
        <v>2</v>
      </c>
      <c r="AE549">
        <v>3</v>
      </c>
      <c r="AF549">
        <v>2</v>
      </c>
      <c r="AG549">
        <v>2</v>
      </c>
      <c r="AH549">
        <v>2</v>
      </c>
      <c r="AI549">
        <v>2</v>
      </c>
      <c r="AJ549">
        <f t="shared" si="80"/>
        <v>1</v>
      </c>
      <c r="AK549">
        <f t="shared" si="81"/>
        <v>1</v>
      </c>
      <c r="AL549">
        <f t="shared" si="82"/>
        <v>1</v>
      </c>
      <c r="AM549">
        <f t="shared" si="83"/>
        <v>3.25</v>
      </c>
      <c r="AN549">
        <f t="shared" si="84"/>
        <v>11036</v>
      </c>
      <c r="AO549">
        <f t="shared" si="85"/>
        <v>0.25</v>
      </c>
      <c r="AP549" t="str">
        <f t="shared" si="86"/>
        <v>40-49</v>
      </c>
      <c r="AQ549" t="str">
        <f t="shared" si="87"/>
        <v>Low</v>
      </c>
      <c r="AR549" t="str">
        <f t="shared" si="88"/>
        <v>Long</v>
      </c>
      <c r="AS549">
        <f t="shared" si="89"/>
        <v>1</v>
      </c>
    </row>
    <row r="550" spans="1:4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s="20">
        <v>6804</v>
      </c>
      <c r="T550">
        <v>23683</v>
      </c>
      <c r="U550">
        <v>3</v>
      </c>
      <c r="V550" t="s">
        <v>42</v>
      </c>
      <c r="W550" t="s">
        <v>43</v>
      </c>
      <c r="X550" s="19">
        <v>18</v>
      </c>
      <c r="Y550">
        <v>3</v>
      </c>
      <c r="Z550">
        <v>3</v>
      </c>
      <c r="AA550">
        <v>80</v>
      </c>
      <c r="AB550">
        <v>1</v>
      </c>
      <c r="AC550">
        <v>7</v>
      </c>
      <c r="AD550">
        <v>5</v>
      </c>
      <c r="AE550">
        <v>3</v>
      </c>
      <c r="AF550">
        <v>2</v>
      </c>
      <c r="AG550">
        <v>2</v>
      </c>
      <c r="AH550">
        <v>2</v>
      </c>
      <c r="AI550">
        <v>2</v>
      </c>
      <c r="AJ550">
        <f t="shared" si="80"/>
        <v>0</v>
      </c>
      <c r="AK550">
        <f t="shared" si="81"/>
        <v>0</v>
      </c>
      <c r="AL550">
        <f t="shared" si="82"/>
        <v>1</v>
      </c>
      <c r="AM550">
        <f t="shared" si="83"/>
        <v>3.5</v>
      </c>
      <c r="AN550">
        <f t="shared" si="84"/>
        <v>27216</v>
      </c>
      <c r="AO550">
        <f t="shared" si="85"/>
        <v>0.25</v>
      </c>
      <c r="AP550" t="str">
        <f t="shared" si="86"/>
        <v>40-49</v>
      </c>
      <c r="AQ550" t="str">
        <f t="shared" si="87"/>
        <v>High</v>
      </c>
      <c r="AR550" t="str">
        <f t="shared" si="88"/>
        <v>Medium</v>
      </c>
      <c r="AS550">
        <f t="shared" si="89"/>
        <v>1</v>
      </c>
    </row>
    <row r="551" spans="1:4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s="20">
        <v>6142</v>
      </c>
      <c r="T551">
        <v>7360</v>
      </c>
      <c r="U551">
        <v>3</v>
      </c>
      <c r="V551" t="s">
        <v>42</v>
      </c>
      <c r="W551" t="s">
        <v>43</v>
      </c>
      <c r="X551" s="19">
        <v>11</v>
      </c>
      <c r="Y551">
        <v>3</v>
      </c>
      <c r="Z551">
        <v>4</v>
      </c>
      <c r="AA551">
        <v>80</v>
      </c>
      <c r="AB551">
        <v>0</v>
      </c>
      <c r="AC551">
        <v>10</v>
      </c>
      <c r="AD551">
        <v>2</v>
      </c>
      <c r="AE551">
        <v>3</v>
      </c>
      <c r="AF551">
        <v>5</v>
      </c>
      <c r="AG551">
        <v>1</v>
      </c>
      <c r="AH551">
        <v>4</v>
      </c>
      <c r="AI551">
        <v>3</v>
      </c>
      <c r="AJ551">
        <f t="shared" si="80"/>
        <v>0</v>
      </c>
      <c r="AK551">
        <f t="shared" si="81"/>
        <v>0</v>
      </c>
      <c r="AL551">
        <f t="shared" si="82"/>
        <v>0</v>
      </c>
      <c r="AM551">
        <f t="shared" si="83"/>
        <v>3</v>
      </c>
      <c r="AN551">
        <f t="shared" si="84"/>
        <v>12284</v>
      </c>
      <c r="AO551">
        <f t="shared" si="85"/>
        <v>0.45454545454545453</v>
      </c>
      <c r="AP551" t="str">
        <f t="shared" si="86"/>
        <v>30-39</v>
      </c>
      <c r="AQ551" t="str">
        <f t="shared" si="87"/>
        <v>High</v>
      </c>
      <c r="AR551" t="str">
        <f t="shared" si="88"/>
        <v>Medium</v>
      </c>
      <c r="AS551">
        <f t="shared" si="89"/>
        <v>0</v>
      </c>
    </row>
    <row r="552" spans="1:4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s="20">
        <v>2500</v>
      </c>
      <c r="T552">
        <v>4344</v>
      </c>
      <c r="U552">
        <v>1</v>
      </c>
      <c r="V552" t="s">
        <v>42</v>
      </c>
      <c r="W552" t="s">
        <v>43</v>
      </c>
      <c r="X552" s="19">
        <v>14</v>
      </c>
      <c r="Y552">
        <v>3</v>
      </c>
      <c r="Z552">
        <v>4</v>
      </c>
      <c r="AA552">
        <v>80</v>
      </c>
      <c r="AB552">
        <v>1</v>
      </c>
      <c r="AC552">
        <v>5</v>
      </c>
      <c r="AD552">
        <v>2</v>
      </c>
      <c r="AE552">
        <v>4</v>
      </c>
      <c r="AF552">
        <v>4</v>
      </c>
      <c r="AG552">
        <v>3</v>
      </c>
      <c r="AH552">
        <v>0</v>
      </c>
      <c r="AI552">
        <v>2</v>
      </c>
      <c r="AJ552">
        <f t="shared" si="80"/>
        <v>0</v>
      </c>
      <c r="AK552">
        <f t="shared" si="81"/>
        <v>0</v>
      </c>
      <c r="AL552">
        <f t="shared" si="82"/>
        <v>1</v>
      </c>
      <c r="AM552">
        <f t="shared" si="83"/>
        <v>2.75</v>
      </c>
      <c r="AN552">
        <f t="shared" si="84"/>
        <v>6000</v>
      </c>
      <c r="AO552">
        <f t="shared" si="85"/>
        <v>0.66666666666666663</v>
      </c>
      <c r="AP552" t="str">
        <f t="shared" si="86"/>
        <v>Under 30</v>
      </c>
      <c r="AQ552" t="str">
        <f t="shared" si="87"/>
        <v>Low</v>
      </c>
      <c r="AR552" t="str">
        <f t="shared" si="88"/>
        <v>Medium</v>
      </c>
      <c r="AS552">
        <f t="shared" si="89"/>
        <v>0</v>
      </c>
    </row>
    <row r="553" spans="1:4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s="20">
        <v>6389</v>
      </c>
      <c r="T553">
        <v>18767</v>
      </c>
      <c r="U553">
        <v>9</v>
      </c>
      <c r="V553" t="s">
        <v>42</v>
      </c>
      <c r="W553" t="s">
        <v>43</v>
      </c>
      <c r="X553" s="19">
        <v>15</v>
      </c>
      <c r="Y553">
        <v>3</v>
      </c>
      <c r="Z553">
        <v>3</v>
      </c>
      <c r="AA553">
        <v>80</v>
      </c>
      <c r="AB553">
        <v>1</v>
      </c>
      <c r="AC553">
        <v>12</v>
      </c>
      <c r="AD553">
        <v>3</v>
      </c>
      <c r="AE553">
        <v>1</v>
      </c>
      <c r="AF553">
        <v>8</v>
      </c>
      <c r="AG553">
        <v>3</v>
      </c>
      <c r="AH553">
        <v>3</v>
      </c>
      <c r="AI553">
        <v>6</v>
      </c>
      <c r="AJ553">
        <f t="shared" si="80"/>
        <v>0</v>
      </c>
      <c r="AK553">
        <f t="shared" si="81"/>
        <v>0</v>
      </c>
      <c r="AL553">
        <f t="shared" si="82"/>
        <v>0</v>
      </c>
      <c r="AM553">
        <f t="shared" si="83"/>
        <v>2.25</v>
      </c>
      <c r="AN553">
        <f t="shared" si="84"/>
        <v>8518.6666666666661</v>
      </c>
      <c r="AO553">
        <f t="shared" si="85"/>
        <v>0.61538461538461542</v>
      </c>
      <c r="AP553" t="str">
        <f t="shared" si="86"/>
        <v>30-39</v>
      </c>
      <c r="AQ553" t="str">
        <f t="shared" si="87"/>
        <v>High</v>
      </c>
      <c r="AR553" t="str">
        <f t="shared" si="88"/>
        <v>Short</v>
      </c>
      <c r="AS553">
        <f t="shared" si="89"/>
        <v>0</v>
      </c>
    </row>
    <row r="554" spans="1:4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s="20">
        <v>11103</v>
      </c>
      <c r="T554">
        <v>20420</v>
      </c>
      <c r="U554">
        <v>7</v>
      </c>
      <c r="V554" t="s">
        <v>42</v>
      </c>
      <c r="W554" t="s">
        <v>43</v>
      </c>
      <c r="X554" s="19">
        <v>11</v>
      </c>
      <c r="Y554">
        <v>3</v>
      </c>
      <c r="Z554">
        <v>3</v>
      </c>
      <c r="AA554">
        <v>80</v>
      </c>
      <c r="AB554">
        <v>0</v>
      </c>
      <c r="AC554">
        <v>30</v>
      </c>
      <c r="AD554">
        <v>1</v>
      </c>
      <c r="AE554">
        <v>2</v>
      </c>
      <c r="AF554">
        <v>10</v>
      </c>
      <c r="AG554">
        <v>7</v>
      </c>
      <c r="AH554">
        <v>1</v>
      </c>
      <c r="AI554">
        <v>1</v>
      </c>
      <c r="AJ554">
        <f t="shared" si="80"/>
        <v>0</v>
      </c>
      <c r="AK554">
        <f t="shared" si="81"/>
        <v>0</v>
      </c>
      <c r="AL554">
        <f t="shared" si="82"/>
        <v>1</v>
      </c>
      <c r="AM554">
        <f t="shared" si="83"/>
        <v>3</v>
      </c>
      <c r="AN554">
        <f t="shared" si="84"/>
        <v>12112.363636363636</v>
      </c>
      <c r="AO554">
        <f t="shared" si="85"/>
        <v>0.32258064516129031</v>
      </c>
      <c r="AP554" t="str">
        <f t="shared" si="86"/>
        <v>50+</v>
      </c>
      <c r="AQ554" t="str">
        <f t="shared" si="87"/>
        <v>Very High</v>
      </c>
      <c r="AR554" t="str">
        <f t="shared" si="88"/>
        <v>Medium</v>
      </c>
      <c r="AS554">
        <f t="shared" si="89"/>
        <v>0</v>
      </c>
    </row>
    <row r="555" spans="1:4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s="20">
        <v>2342</v>
      </c>
      <c r="T555">
        <v>22929</v>
      </c>
      <c r="U555">
        <v>0</v>
      </c>
      <c r="V555" t="s">
        <v>42</v>
      </c>
      <c r="W555" t="s">
        <v>35</v>
      </c>
      <c r="X555" s="19">
        <v>20</v>
      </c>
      <c r="Y555">
        <v>4</v>
      </c>
      <c r="Z555">
        <v>4</v>
      </c>
      <c r="AA555">
        <v>80</v>
      </c>
      <c r="AB555">
        <v>0</v>
      </c>
      <c r="AC555">
        <v>5</v>
      </c>
      <c r="AD555">
        <v>2</v>
      </c>
      <c r="AE555">
        <v>2</v>
      </c>
      <c r="AF555">
        <v>4</v>
      </c>
      <c r="AG555">
        <v>2</v>
      </c>
      <c r="AH555">
        <v>2</v>
      </c>
      <c r="AI555">
        <v>3</v>
      </c>
      <c r="AJ555">
        <f t="shared" si="80"/>
        <v>0</v>
      </c>
      <c r="AK555">
        <f t="shared" si="81"/>
        <v>1</v>
      </c>
      <c r="AL555">
        <f t="shared" si="82"/>
        <v>0</v>
      </c>
      <c r="AM555">
        <f t="shared" si="83"/>
        <v>3.5</v>
      </c>
      <c r="AN555">
        <f t="shared" si="84"/>
        <v>5620.8</v>
      </c>
      <c r="AO555">
        <f t="shared" si="85"/>
        <v>0.66666666666666663</v>
      </c>
      <c r="AP555" t="str">
        <f t="shared" si="86"/>
        <v>40-49</v>
      </c>
      <c r="AQ555" t="str">
        <f t="shared" si="87"/>
        <v>Low</v>
      </c>
      <c r="AR555" t="str">
        <f t="shared" si="88"/>
        <v>Short</v>
      </c>
      <c r="AS555">
        <f t="shared" si="89"/>
        <v>0</v>
      </c>
    </row>
    <row r="556" spans="1:4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s="20">
        <v>6811</v>
      </c>
      <c r="T556">
        <v>23398</v>
      </c>
      <c r="U556">
        <v>8</v>
      </c>
      <c r="V556" t="s">
        <v>42</v>
      </c>
      <c r="W556" t="s">
        <v>43</v>
      </c>
      <c r="X556" s="19">
        <v>19</v>
      </c>
      <c r="Y556">
        <v>3</v>
      </c>
      <c r="Z556">
        <v>1</v>
      </c>
      <c r="AA556">
        <v>80</v>
      </c>
      <c r="AB556">
        <v>0</v>
      </c>
      <c r="AC556">
        <v>9</v>
      </c>
      <c r="AD556">
        <v>2</v>
      </c>
      <c r="AE556">
        <v>1</v>
      </c>
      <c r="AF556">
        <v>7</v>
      </c>
      <c r="AG556">
        <v>6</v>
      </c>
      <c r="AH556">
        <v>0</v>
      </c>
      <c r="AI556">
        <v>7</v>
      </c>
      <c r="AJ556">
        <f t="shared" si="80"/>
        <v>0</v>
      </c>
      <c r="AK556">
        <f t="shared" si="81"/>
        <v>0</v>
      </c>
      <c r="AL556">
        <f t="shared" si="82"/>
        <v>0</v>
      </c>
      <c r="AM556">
        <f t="shared" si="83"/>
        <v>1.75</v>
      </c>
      <c r="AN556">
        <f t="shared" si="84"/>
        <v>10216.5</v>
      </c>
      <c r="AO556">
        <f t="shared" si="85"/>
        <v>0.7</v>
      </c>
      <c r="AP556" t="str">
        <f t="shared" si="86"/>
        <v>Under 30</v>
      </c>
      <c r="AQ556" t="str">
        <f t="shared" si="87"/>
        <v>High</v>
      </c>
      <c r="AR556" t="str">
        <f t="shared" si="88"/>
        <v>Medium</v>
      </c>
      <c r="AS556">
        <f t="shared" si="89"/>
        <v>0</v>
      </c>
    </row>
    <row r="557" spans="1:4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s="20">
        <v>2297</v>
      </c>
      <c r="T557">
        <v>17967</v>
      </c>
      <c r="U557">
        <v>1</v>
      </c>
      <c r="V557" t="s">
        <v>42</v>
      </c>
      <c r="W557" t="s">
        <v>43</v>
      </c>
      <c r="X557" s="19">
        <v>14</v>
      </c>
      <c r="Y557">
        <v>3</v>
      </c>
      <c r="Z557">
        <v>4</v>
      </c>
      <c r="AA557">
        <v>80</v>
      </c>
      <c r="AB557">
        <v>2</v>
      </c>
      <c r="AC557">
        <v>2</v>
      </c>
      <c r="AD557">
        <v>2</v>
      </c>
      <c r="AE557">
        <v>3</v>
      </c>
      <c r="AF557">
        <v>2</v>
      </c>
      <c r="AG557">
        <v>2</v>
      </c>
      <c r="AH557">
        <v>2</v>
      </c>
      <c r="AI557">
        <v>2</v>
      </c>
      <c r="AJ557">
        <f t="shared" si="80"/>
        <v>0</v>
      </c>
      <c r="AK557">
        <f t="shared" si="81"/>
        <v>0</v>
      </c>
      <c r="AL557">
        <f t="shared" si="82"/>
        <v>1</v>
      </c>
      <c r="AM557">
        <f t="shared" si="83"/>
        <v>3.25</v>
      </c>
      <c r="AN557">
        <f t="shared" si="84"/>
        <v>9188</v>
      </c>
      <c r="AO557">
        <f t="shared" si="85"/>
        <v>0.66666666666666663</v>
      </c>
      <c r="AP557" t="str">
        <f t="shared" si="86"/>
        <v>Under 30</v>
      </c>
      <c r="AQ557" t="str">
        <f t="shared" si="87"/>
        <v>Low</v>
      </c>
      <c r="AR557" t="str">
        <f t="shared" si="88"/>
        <v>Medium</v>
      </c>
      <c r="AS557">
        <f t="shared" si="89"/>
        <v>0</v>
      </c>
    </row>
    <row r="558" spans="1:4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s="20">
        <v>2450</v>
      </c>
      <c r="T558">
        <v>10919</v>
      </c>
      <c r="U558">
        <v>2</v>
      </c>
      <c r="V558" t="s">
        <v>42</v>
      </c>
      <c r="W558" t="s">
        <v>43</v>
      </c>
      <c r="X558" s="19">
        <v>17</v>
      </c>
      <c r="Y558">
        <v>3</v>
      </c>
      <c r="Z558">
        <v>4</v>
      </c>
      <c r="AA558">
        <v>80</v>
      </c>
      <c r="AB558">
        <v>0</v>
      </c>
      <c r="AC558">
        <v>19</v>
      </c>
      <c r="AD558">
        <v>4</v>
      </c>
      <c r="AE558">
        <v>3</v>
      </c>
      <c r="AF558">
        <v>2</v>
      </c>
      <c r="AG558">
        <v>2</v>
      </c>
      <c r="AH558">
        <v>2</v>
      </c>
      <c r="AI558">
        <v>2</v>
      </c>
      <c r="AJ558">
        <f t="shared" si="80"/>
        <v>0</v>
      </c>
      <c r="AK558">
        <f t="shared" si="81"/>
        <v>0</v>
      </c>
      <c r="AL558">
        <f t="shared" si="82"/>
        <v>1</v>
      </c>
      <c r="AM558">
        <f t="shared" si="83"/>
        <v>3.75</v>
      </c>
      <c r="AN558">
        <f t="shared" si="84"/>
        <v>9800</v>
      </c>
      <c r="AO558">
        <f t="shared" si="85"/>
        <v>0.1</v>
      </c>
      <c r="AP558" t="str">
        <f t="shared" si="86"/>
        <v>50+</v>
      </c>
      <c r="AQ558" t="str">
        <f t="shared" si="87"/>
        <v>Low</v>
      </c>
      <c r="AR558" t="str">
        <f t="shared" si="88"/>
        <v>Medium</v>
      </c>
      <c r="AS558">
        <f t="shared" si="89"/>
        <v>0</v>
      </c>
    </row>
    <row r="559" spans="1:4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s="20">
        <v>5093</v>
      </c>
      <c r="T559">
        <v>4761</v>
      </c>
      <c r="U559">
        <v>2</v>
      </c>
      <c r="V559" t="s">
        <v>42</v>
      </c>
      <c r="W559" t="s">
        <v>43</v>
      </c>
      <c r="X559" s="19">
        <v>11</v>
      </c>
      <c r="Y559">
        <v>3</v>
      </c>
      <c r="Z559">
        <v>1</v>
      </c>
      <c r="AA559">
        <v>80</v>
      </c>
      <c r="AB559">
        <v>1</v>
      </c>
      <c r="AC559">
        <v>16</v>
      </c>
      <c r="AD559">
        <v>2</v>
      </c>
      <c r="AE559">
        <v>4</v>
      </c>
      <c r="AF559">
        <v>1</v>
      </c>
      <c r="AG559">
        <v>0</v>
      </c>
      <c r="AH559">
        <v>0</v>
      </c>
      <c r="AI559">
        <v>0</v>
      </c>
      <c r="AJ559">
        <f t="shared" si="80"/>
        <v>0</v>
      </c>
      <c r="AK559">
        <f t="shared" si="81"/>
        <v>0</v>
      </c>
      <c r="AL559">
        <f t="shared" si="82"/>
        <v>0</v>
      </c>
      <c r="AM559">
        <f t="shared" si="83"/>
        <v>2.5</v>
      </c>
      <c r="AN559">
        <f t="shared" si="84"/>
        <v>30558</v>
      </c>
      <c r="AO559">
        <f t="shared" si="85"/>
        <v>5.8823529411764705E-2</v>
      </c>
      <c r="AP559" t="str">
        <f t="shared" si="86"/>
        <v>30-39</v>
      </c>
      <c r="AQ559" t="str">
        <f t="shared" si="87"/>
        <v>High</v>
      </c>
      <c r="AR559" t="str">
        <f t="shared" si="88"/>
        <v>Short</v>
      </c>
      <c r="AS559">
        <f t="shared" si="89"/>
        <v>0</v>
      </c>
    </row>
    <row r="560" spans="1:4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s="20">
        <v>5309</v>
      </c>
      <c r="T560">
        <v>21146</v>
      </c>
      <c r="U560">
        <v>1</v>
      </c>
      <c r="V560" t="s">
        <v>42</v>
      </c>
      <c r="W560" t="s">
        <v>43</v>
      </c>
      <c r="X560" s="19">
        <v>15</v>
      </c>
      <c r="Y560">
        <v>3</v>
      </c>
      <c r="Z560">
        <v>4</v>
      </c>
      <c r="AA560">
        <v>80</v>
      </c>
      <c r="AB560">
        <v>2</v>
      </c>
      <c r="AC560">
        <v>10</v>
      </c>
      <c r="AD560">
        <v>2</v>
      </c>
      <c r="AE560">
        <v>3</v>
      </c>
      <c r="AF560">
        <v>10</v>
      </c>
      <c r="AG560">
        <v>8</v>
      </c>
      <c r="AH560">
        <v>4</v>
      </c>
      <c r="AI560">
        <v>7</v>
      </c>
      <c r="AJ560">
        <f t="shared" si="80"/>
        <v>0</v>
      </c>
      <c r="AK560">
        <f t="shared" si="81"/>
        <v>0</v>
      </c>
      <c r="AL560">
        <f t="shared" si="82"/>
        <v>1</v>
      </c>
      <c r="AM560">
        <f t="shared" si="83"/>
        <v>3</v>
      </c>
      <c r="AN560">
        <f t="shared" si="84"/>
        <v>5791.636363636364</v>
      </c>
      <c r="AO560">
        <f t="shared" si="85"/>
        <v>0.90909090909090906</v>
      </c>
      <c r="AP560" t="str">
        <f t="shared" si="86"/>
        <v>30-39</v>
      </c>
      <c r="AQ560" t="str">
        <f t="shared" si="87"/>
        <v>High</v>
      </c>
      <c r="AR560" t="str">
        <f t="shared" si="88"/>
        <v>Long</v>
      </c>
      <c r="AS560">
        <f t="shared" si="89"/>
        <v>1</v>
      </c>
    </row>
    <row r="561" spans="1:4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s="20">
        <v>3057</v>
      </c>
      <c r="T561">
        <v>20471</v>
      </c>
      <c r="U561">
        <v>6</v>
      </c>
      <c r="V561" t="s">
        <v>42</v>
      </c>
      <c r="W561" t="s">
        <v>35</v>
      </c>
      <c r="X561" s="19">
        <v>13</v>
      </c>
      <c r="Y561">
        <v>3</v>
      </c>
      <c r="Z561">
        <v>2</v>
      </c>
      <c r="AA561">
        <v>80</v>
      </c>
      <c r="AB561">
        <v>1</v>
      </c>
      <c r="AC561">
        <v>6</v>
      </c>
      <c r="AD561">
        <v>0</v>
      </c>
      <c r="AE561">
        <v>1</v>
      </c>
      <c r="AF561">
        <v>1</v>
      </c>
      <c r="AG561">
        <v>0</v>
      </c>
      <c r="AH561">
        <v>0</v>
      </c>
      <c r="AI561">
        <v>1</v>
      </c>
      <c r="AJ561">
        <f t="shared" si="80"/>
        <v>0</v>
      </c>
      <c r="AK561">
        <f t="shared" si="81"/>
        <v>1</v>
      </c>
      <c r="AL561">
        <f t="shared" si="82"/>
        <v>1</v>
      </c>
      <c r="AM561">
        <f t="shared" si="83"/>
        <v>2.5</v>
      </c>
      <c r="AN561">
        <f t="shared" si="84"/>
        <v>18342</v>
      </c>
      <c r="AO561">
        <f t="shared" si="85"/>
        <v>0.14285714285714285</v>
      </c>
      <c r="AP561" t="str">
        <f t="shared" si="86"/>
        <v>30-39</v>
      </c>
      <c r="AQ561" t="str">
        <f t="shared" si="87"/>
        <v>Medium</v>
      </c>
      <c r="AR561" t="str">
        <f t="shared" si="88"/>
        <v>Short</v>
      </c>
      <c r="AS561">
        <f t="shared" si="89"/>
        <v>0</v>
      </c>
    </row>
    <row r="562" spans="1:4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s="20">
        <v>5343</v>
      </c>
      <c r="T562">
        <v>4187</v>
      </c>
      <c r="U562">
        <v>3</v>
      </c>
      <c r="V562" t="s">
        <v>42</v>
      </c>
      <c r="W562" t="s">
        <v>43</v>
      </c>
      <c r="X562" s="19">
        <v>14</v>
      </c>
      <c r="Y562">
        <v>3</v>
      </c>
      <c r="Z562">
        <v>3</v>
      </c>
      <c r="AA562">
        <v>80</v>
      </c>
      <c r="AB562">
        <v>1</v>
      </c>
      <c r="AC562">
        <v>7</v>
      </c>
      <c r="AD562">
        <v>3</v>
      </c>
      <c r="AE562">
        <v>3</v>
      </c>
      <c r="AF562">
        <v>0</v>
      </c>
      <c r="AG562">
        <v>0</v>
      </c>
      <c r="AH562">
        <v>0</v>
      </c>
      <c r="AI562">
        <v>0</v>
      </c>
      <c r="AJ562">
        <f t="shared" si="80"/>
        <v>0</v>
      </c>
      <c r="AK562">
        <f t="shared" si="81"/>
        <v>0</v>
      </c>
      <c r="AL562">
        <f t="shared" si="82"/>
        <v>0</v>
      </c>
      <c r="AM562">
        <f t="shared" si="83"/>
        <v>2.25</v>
      </c>
      <c r="AN562">
        <f t="shared" si="84"/>
        <v>64116</v>
      </c>
      <c r="AO562">
        <f t="shared" si="85"/>
        <v>0</v>
      </c>
      <c r="AP562" t="str">
        <f t="shared" si="86"/>
        <v>30-39</v>
      </c>
      <c r="AQ562" t="str">
        <f t="shared" si="87"/>
        <v>High</v>
      </c>
      <c r="AR562" t="str">
        <f t="shared" si="88"/>
        <v>Medium</v>
      </c>
      <c r="AS562">
        <f t="shared" si="89"/>
        <v>0</v>
      </c>
    </row>
    <row r="563" spans="1:4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s="20">
        <v>16856</v>
      </c>
      <c r="T563">
        <v>10084</v>
      </c>
      <c r="U563">
        <v>1</v>
      </c>
      <c r="V563" t="s">
        <v>42</v>
      </c>
      <c r="W563" t="s">
        <v>43</v>
      </c>
      <c r="X563" s="19">
        <v>11</v>
      </c>
      <c r="Y563">
        <v>3</v>
      </c>
      <c r="Z563">
        <v>1</v>
      </c>
      <c r="AA563">
        <v>80</v>
      </c>
      <c r="AB563">
        <v>0</v>
      </c>
      <c r="AC563">
        <v>34</v>
      </c>
      <c r="AD563">
        <v>3</v>
      </c>
      <c r="AE563">
        <v>4</v>
      </c>
      <c r="AF563">
        <v>34</v>
      </c>
      <c r="AG563">
        <v>6</v>
      </c>
      <c r="AH563">
        <v>1</v>
      </c>
      <c r="AI563">
        <v>16</v>
      </c>
      <c r="AJ563">
        <f t="shared" si="80"/>
        <v>0</v>
      </c>
      <c r="AK563">
        <f t="shared" si="81"/>
        <v>0</v>
      </c>
      <c r="AL563">
        <f t="shared" si="82"/>
        <v>1</v>
      </c>
      <c r="AM563">
        <f t="shared" si="83"/>
        <v>2.25</v>
      </c>
      <c r="AN563">
        <f t="shared" si="84"/>
        <v>5779.2</v>
      </c>
      <c r="AO563">
        <f t="shared" si="85"/>
        <v>0.97142857142857142</v>
      </c>
      <c r="AP563" t="str">
        <f t="shared" si="86"/>
        <v>50+</v>
      </c>
      <c r="AQ563" t="str">
        <f t="shared" si="87"/>
        <v>Very High</v>
      </c>
      <c r="AR563" t="str">
        <f t="shared" si="88"/>
        <v>Short</v>
      </c>
      <c r="AS563">
        <f t="shared" si="89"/>
        <v>0</v>
      </c>
    </row>
    <row r="564" spans="1:4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s="20">
        <v>2686</v>
      </c>
      <c r="T564">
        <v>5207</v>
      </c>
      <c r="U564">
        <v>1</v>
      </c>
      <c r="V564" t="s">
        <v>42</v>
      </c>
      <c r="W564" t="s">
        <v>35</v>
      </c>
      <c r="X564" s="19">
        <v>13</v>
      </c>
      <c r="Y564">
        <v>3</v>
      </c>
      <c r="Z564">
        <v>3</v>
      </c>
      <c r="AA564">
        <v>80</v>
      </c>
      <c r="AB564">
        <v>0</v>
      </c>
      <c r="AC564">
        <v>10</v>
      </c>
      <c r="AD564">
        <v>2</v>
      </c>
      <c r="AE564">
        <v>2</v>
      </c>
      <c r="AF564">
        <v>10</v>
      </c>
      <c r="AG564">
        <v>9</v>
      </c>
      <c r="AH564">
        <v>7</v>
      </c>
      <c r="AI564">
        <v>8</v>
      </c>
      <c r="AJ564">
        <f t="shared" si="80"/>
        <v>1</v>
      </c>
      <c r="AK564">
        <f t="shared" si="81"/>
        <v>1</v>
      </c>
      <c r="AL564">
        <f t="shared" si="82"/>
        <v>1</v>
      </c>
      <c r="AM564">
        <f t="shared" si="83"/>
        <v>3.25</v>
      </c>
      <c r="AN564">
        <f t="shared" si="84"/>
        <v>2930.181818181818</v>
      </c>
      <c r="AO564">
        <f t="shared" si="85"/>
        <v>0.90909090909090906</v>
      </c>
      <c r="AP564" t="str">
        <f t="shared" si="86"/>
        <v>30-39</v>
      </c>
      <c r="AQ564" t="str">
        <f t="shared" si="87"/>
        <v>Low</v>
      </c>
      <c r="AR564" t="str">
        <f t="shared" si="88"/>
        <v>Short</v>
      </c>
      <c r="AS564">
        <f t="shared" si="89"/>
        <v>0</v>
      </c>
    </row>
    <row r="565" spans="1:4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s="20">
        <v>6180</v>
      </c>
      <c r="T565">
        <v>22807</v>
      </c>
      <c r="U565">
        <v>1</v>
      </c>
      <c r="V565" t="s">
        <v>42</v>
      </c>
      <c r="W565" t="s">
        <v>43</v>
      </c>
      <c r="X565" s="19">
        <v>23</v>
      </c>
      <c r="Y565">
        <v>4</v>
      </c>
      <c r="Z565">
        <v>2</v>
      </c>
      <c r="AA565">
        <v>80</v>
      </c>
      <c r="AB565">
        <v>0</v>
      </c>
      <c r="AC565">
        <v>6</v>
      </c>
      <c r="AD565">
        <v>5</v>
      </c>
      <c r="AE565">
        <v>2</v>
      </c>
      <c r="AF565">
        <v>6</v>
      </c>
      <c r="AG565">
        <v>5</v>
      </c>
      <c r="AH565">
        <v>1</v>
      </c>
      <c r="AI565">
        <v>4</v>
      </c>
      <c r="AJ565">
        <f t="shared" si="80"/>
        <v>0</v>
      </c>
      <c r="AK565">
        <f t="shared" si="81"/>
        <v>0</v>
      </c>
      <c r="AL565">
        <f t="shared" si="82"/>
        <v>0</v>
      </c>
      <c r="AM565">
        <f t="shared" si="83"/>
        <v>2.75</v>
      </c>
      <c r="AN565">
        <f t="shared" si="84"/>
        <v>10594.285714285714</v>
      </c>
      <c r="AO565">
        <f t="shared" si="85"/>
        <v>0.8571428571428571</v>
      </c>
      <c r="AP565" t="str">
        <f t="shared" si="86"/>
        <v>Under 30</v>
      </c>
      <c r="AQ565" t="str">
        <f t="shared" si="87"/>
        <v>High</v>
      </c>
      <c r="AR565" t="str">
        <f t="shared" si="88"/>
        <v>Long</v>
      </c>
      <c r="AS565">
        <f t="shared" si="89"/>
        <v>0</v>
      </c>
    </row>
    <row r="566" spans="1:4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s="20">
        <v>6632</v>
      </c>
      <c r="T566">
        <v>12388</v>
      </c>
      <c r="U566">
        <v>0</v>
      </c>
      <c r="V566" t="s">
        <v>42</v>
      </c>
      <c r="W566" t="s">
        <v>43</v>
      </c>
      <c r="X566" s="19">
        <v>13</v>
      </c>
      <c r="Y566">
        <v>3</v>
      </c>
      <c r="Z566">
        <v>1</v>
      </c>
      <c r="AA566">
        <v>80</v>
      </c>
      <c r="AB566">
        <v>0</v>
      </c>
      <c r="AC566">
        <v>9</v>
      </c>
      <c r="AD566">
        <v>3</v>
      </c>
      <c r="AE566">
        <v>3</v>
      </c>
      <c r="AF566">
        <v>8</v>
      </c>
      <c r="AG566">
        <v>7</v>
      </c>
      <c r="AH566">
        <v>3</v>
      </c>
      <c r="AI566">
        <v>1</v>
      </c>
      <c r="AJ566">
        <f t="shared" si="80"/>
        <v>0</v>
      </c>
      <c r="AK566">
        <f t="shared" si="81"/>
        <v>0</v>
      </c>
      <c r="AL566">
        <f t="shared" si="82"/>
        <v>1</v>
      </c>
      <c r="AM566">
        <f t="shared" si="83"/>
        <v>2.25</v>
      </c>
      <c r="AN566">
        <f t="shared" si="84"/>
        <v>8842.6666666666661</v>
      </c>
      <c r="AO566">
        <f t="shared" si="85"/>
        <v>0.8</v>
      </c>
      <c r="AP566" t="str">
        <f t="shared" si="86"/>
        <v>40-49</v>
      </c>
      <c r="AQ566" t="str">
        <f t="shared" si="87"/>
        <v>High</v>
      </c>
      <c r="AR566" t="str">
        <f t="shared" si="88"/>
        <v>Short</v>
      </c>
      <c r="AS566">
        <f t="shared" si="89"/>
        <v>0</v>
      </c>
    </row>
    <row r="567" spans="1:45" x14ac:dyDescent="0.3">
      <c r="A567">
        <v>23</v>
      </c>
      <c r="B567" t="s">
        <v>43</v>
      </c>
      <c r="C567" t="s">
        <v>36</v>
      </c>
      <c r="D567">
        <v>310</v>
      </c>
      <c r="E567" t="s">
        <v>45</v>
      </c>
      <c r="F567">
        <v>10</v>
      </c>
      <c r="G567">
        <v>1</v>
      </c>
      <c r="H567" t="s">
        <v>51</v>
      </c>
      <c r="I567">
        <v>1</v>
      </c>
      <c r="J567">
        <v>784</v>
      </c>
      <c r="K567">
        <v>3</v>
      </c>
      <c r="L567" t="s">
        <v>46</v>
      </c>
      <c r="M567">
        <v>79</v>
      </c>
      <c r="N567">
        <v>4</v>
      </c>
      <c r="O567">
        <v>1</v>
      </c>
      <c r="P567" t="s">
        <v>47</v>
      </c>
      <c r="Q567">
        <v>3</v>
      </c>
      <c r="R567" t="s">
        <v>41</v>
      </c>
      <c r="S567" s="20">
        <v>3505</v>
      </c>
      <c r="T567">
        <v>19630</v>
      </c>
      <c r="U567">
        <v>1</v>
      </c>
      <c r="V567" t="s">
        <v>42</v>
      </c>
      <c r="W567" t="s">
        <v>43</v>
      </c>
      <c r="X567" s="19">
        <v>18</v>
      </c>
      <c r="Y567">
        <v>3</v>
      </c>
      <c r="Z567">
        <v>4</v>
      </c>
      <c r="AA567">
        <v>80</v>
      </c>
      <c r="AB567">
        <v>0</v>
      </c>
      <c r="AC567">
        <v>2</v>
      </c>
      <c r="AD567">
        <v>3</v>
      </c>
      <c r="AE567">
        <v>3</v>
      </c>
      <c r="AF567">
        <v>2</v>
      </c>
      <c r="AG567">
        <v>2</v>
      </c>
      <c r="AH567">
        <v>0</v>
      </c>
      <c r="AI567">
        <v>2</v>
      </c>
      <c r="AJ567">
        <f t="shared" si="80"/>
        <v>0</v>
      </c>
      <c r="AK567">
        <f t="shared" si="81"/>
        <v>0</v>
      </c>
      <c r="AL567">
        <f t="shared" si="82"/>
        <v>1</v>
      </c>
      <c r="AM567">
        <f t="shared" si="83"/>
        <v>3.25</v>
      </c>
      <c r="AN567">
        <f t="shared" si="84"/>
        <v>14020</v>
      </c>
      <c r="AO567">
        <f t="shared" si="85"/>
        <v>0.66666666666666663</v>
      </c>
      <c r="AP567" t="str">
        <f t="shared" si="86"/>
        <v>Under 30</v>
      </c>
      <c r="AQ567" t="str">
        <f t="shared" si="87"/>
        <v>Medium</v>
      </c>
      <c r="AR567" t="str">
        <f t="shared" si="88"/>
        <v>Medium</v>
      </c>
      <c r="AS567">
        <f t="shared" si="89"/>
        <v>0</v>
      </c>
    </row>
    <row r="568" spans="1:4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s="20">
        <v>6397</v>
      </c>
      <c r="T568">
        <v>10339</v>
      </c>
      <c r="U568">
        <v>4</v>
      </c>
      <c r="V568" t="s">
        <v>42</v>
      </c>
      <c r="W568" t="s">
        <v>35</v>
      </c>
      <c r="X568" s="19">
        <v>12</v>
      </c>
      <c r="Y568">
        <v>3</v>
      </c>
      <c r="Z568">
        <v>4</v>
      </c>
      <c r="AA568">
        <v>80</v>
      </c>
      <c r="AB568">
        <v>0</v>
      </c>
      <c r="AC568">
        <v>8</v>
      </c>
      <c r="AD568">
        <v>2</v>
      </c>
      <c r="AE568">
        <v>3</v>
      </c>
      <c r="AF568">
        <v>5</v>
      </c>
      <c r="AG568">
        <v>4</v>
      </c>
      <c r="AH568">
        <v>1</v>
      </c>
      <c r="AI568">
        <v>3</v>
      </c>
      <c r="AJ568">
        <f t="shared" si="80"/>
        <v>1</v>
      </c>
      <c r="AK568">
        <f t="shared" si="81"/>
        <v>1</v>
      </c>
      <c r="AL568">
        <f t="shared" si="82"/>
        <v>0</v>
      </c>
      <c r="AM568">
        <f t="shared" si="83"/>
        <v>3</v>
      </c>
      <c r="AN568">
        <f t="shared" si="84"/>
        <v>12794</v>
      </c>
      <c r="AO568">
        <f t="shared" si="85"/>
        <v>0.55555555555555558</v>
      </c>
      <c r="AP568" t="str">
        <f t="shared" si="86"/>
        <v>40-49</v>
      </c>
      <c r="AQ568" t="str">
        <f t="shared" si="87"/>
        <v>High</v>
      </c>
      <c r="AR568" t="str">
        <f t="shared" si="88"/>
        <v>Long</v>
      </c>
      <c r="AS568">
        <f t="shared" si="89"/>
        <v>1</v>
      </c>
    </row>
    <row r="569" spans="1:4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s="20">
        <v>6274</v>
      </c>
      <c r="T569">
        <v>18686</v>
      </c>
      <c r="U569">
        <v>1</v>
      </c>
      <c r="V569" t="s">
        <v>42</v>
      </c>
      <c r="W569" t="s">
        <v>43</v>
      </c>
      <c r="X569" s="19">
        <v>22</v>
      </c>
      <c r="Y569">
        <v>4</v>
      </c>
      <c r="Z569">
        <v>3</v>
      </c>
      <c r="AA569">
        <v>80</v>
      </c>
      <c r="AB569">
        <v>0</v>
      </c>
      <c r="AC569">
        <v>6</v>
      </c>
      <c r="AD569">
        <v>5</v>
      </c>
      <c r="AE569">
        <v>3</v>
      </c>
      <c r="AF569">
        <v>6</v>
      </c>
      <c r="AG569">
        <v>5</v>
      </c>
      <c r="AH569">
        <v>1</v>
      </c>
      <c r="AI569">
        <v>4</v>
      </c>
      <c r="AJ569">
        <f t="shared" si="80"/>
        <v>0</v>
      </c>
      <c r="AK569">
        <f t="shared" si="81"/>
        <v>0</v>
      </c>
      <c r="AL569">
        <f t="shared" si="82"/>
        <v>1</v>
      </c>
      <c r="AM569">
        <f t="shared" si="83"/>
        <v>3.5</v>
      </c>
      <c r="AN569">
        <f t="shared" si="84"/>
        <v>10755.428571428571</v>
      </c>
      <c r="AO569">
        <f t="shared" si="85"/>
        <v>0.8571428571428571</v>
      </c>
      <c r="AP569" t="str">
        <f t="shared" si="86"/>
        <v>30-39</v>
      </c>
      <c r="AQ569" t="str">
        <f t="shared" si="87"/>
        <v>High</v>
      </c>
      <c r="AR569" t="str">
        <f t="shared" si="88"/>
        <v>Short</v>
      </c>
      <c r="AS569">
        <f t="shared" si="89"/>
        <v>0</v>
      </c>
    </row>
    <row r="570" spans="1:4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s="20">
        <v>19859</v>
      </c>
      <c r="T570">
        <v>21199</v>
      </c>
      <c r="U570">
        <v>5</v>
      </c>
      <c r="V570" t="s">
        <v>42</v>
      </c>
      <c r="W570" t="s">
        <v>35</v>
      </c>
      <c r="X570" s="19">
        <v>13</v>
      </c>
      <c r="Y570">
        <v>3</v>
      </c>
      <c r="Z570">
        <v>4</v>
      </c>
      <c r="AA570">
        <v>80</v>
      </c>
      <c r="AB570">
        <v>1</v>
      </c>
      <c r="AC570">
        <v>24</v>
      </c>
      <c r="AD570">
        <v>2</v>
      </c>
      <c r="AE570">
        <v>3</v>
      </c>
      <c r="AF570">
        <v>5</v>
      </c>
      <c r="AG570">
        <v>2</v>
      </c>
      <c r="AH570">
        <v>1</v>
      </c>
      <c r="AI570">
        <v>4</v>
      </c>
      <c r="AJ570">
        <f t="shared" si="80"/>
        <v>1</v>
      </c>
      <c r="AK570">
        <f t="shared" si="81"/>
        <v>1</v>
      </c>
      <c r="AL570">
        <f t="shared" si="82"/>
        <v>1</v>
      </c>
      <c r="AM570">
        <f t="shared" si="83"/>
        <v>3</v>
      </c>
      <c r="AN570">
        <f t="shared" si="84"/>
        <v>39718</v>
      </c>
      <c r="AO570">
        <f t="shared" si="85"/>
        <v>0.2</v>
      </c>
      <c r="AP570" t="str">
        <f t="shared" si="86"/>
        <v>50+</v>
      </c>
      <c r="AQ570" t="str">
        <f t="shared" si="87"/>
        <v>Very High</v>
      </c>
      <c r="AR570" t="str">
        <f t="shared" si="88"/>
        <v>Short</v>
      </c>
      <c r="AS570">
        <f t="shared" si="89"/>
        <v>0</v>
      </c>
    </row>
    <row r="571" spans="1:4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s="20">
        <v>7587</v>
      </c>
      <c r="T571">
        <v>14229</v>
      </c>
      <c r="U571">
        <v>1</v>
      </c>
      <c r="V571" t="s">
        <v>42</v>
      </c>
      <c r="W571" t="s">
        <v>43</v>
      </c>
      <c r="X571" s="19">
        <v>15</v>
      </c>
      <c r="Y571">
        <v>3</v>
      </c>
      <c r="Z571">
        <v>2</v>
      </c>
      <c r="AA571">
        <v>80</v>
      </c>
      <c r="AB571">
        <v>0</v>
      </c>
      <c r="AC571">
        <v>10</v>
      </c>
      <c r="AD571">
        <v>1</v>
      </c>
      <c r="AE571">
        <v>3</v>
      </c>
      <c r="AF571">
        <v>10</v>
      </c>
      <c r="AG571">
        <v>7</v>
      </c>
      <c r="AH571">
        <v>0</v>
      </c>
      <c r="AI571">
        <v>9</v>
      </c>
      <c r="AJ571">
        <f t="shared" si="80"/>
        <v>0</v>
      </c>
      <c r="AK571">
        <f t="shared" si="81"/>
        <v>0</v>
      </c>
      <c r="AL571">
        <f t="shared" si="82"/>
        <v>1</v>
      </c>
      <c r="AM571">
        <f t="shared" si="83"/>
        <v>1.75</v>
      </c>
      <c r="AN571">
        <f t="shared" si="84"/>
        <v>8276.7272727272721</v>
      </c>
      <c r="AO571">
        <f t="shared" si="85"/>
        <v>0.90909090909090906</v>
      </c>
      <c r="AP571" t="str">
        <f t="shared" si="86"/>
        <v>30-39</v>
      </c>
      <c r="AQ571" t="str">
        <f t="shared" si="87"/>
        <v>High</v>
      </c>
      <c r="AR571" t="str">
        <f t="shared" si="88"/>
        <v>Medium</v>
      </c>
      <c r="AS571">
        <f t="shared" si="89"/>
        <v>0</v>
      </c>
    </row>
    <row r="572" spans="1:4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s="20">
        <v>4258</v>
      </c>
      <c r="T572">
        <v>26589</v>
      </c>
      <c r="U572">
        <v>0</v>
      </c>
      <c r="V572" t="s">
        <v>42</v>
      </c>
      <c r="W572" t="s">
        <v>43</v>
      </c>
      <c r="X572" s="19">
        <v>18</v>
      </c>
      <c r="Y572">
        <v>3</v>
      </c>
      <c r="Z572">
        <v>1</v>
      </c>
      <c r="AA572">
        <v>80</v>
      </c>
      <c r="AB572">
        <v>1</v>
      </c>
      <c r="AC572">
        <v>5</v>
      </c>
      <c r="AD572">
        <v>3</v>
      </c>
      <c r="AE572">
        <v>3</v>
      </c>
      <c r="AF572">
        <v>4</v>
      </c>
      <c r="AG572">
        <v>3</v>
      </c>
      <c r="AH572">
        <v>1</v>
      </c>
      <c r="AI572">
        <v>2</v>
      </c>
      <c r="AJ572">
        <f t="shared" si="80"/>
        <v>0</v>
      </c>
      <c r="AK572">
        <f t="shared" si="81"/>
        <v>0</v>
      </c>
      <c r="AL572">
        <f t="shared" si="82"/>
        <v>1</v>
      </c>
      <c r="AM572">
        <f t="shared" si="83"/>
        <v>3</v>
      </c>
      <c r="AN572">
        <f t="shared" si="84"/>
        <v>10219.200000000001</v>
      </c>
      <c r="AO572">
        <f t="shared" si="85"/>
        <v>0.66666666666666663</v>
      </c>
      <c r="AP572" t="str">
        <f t="shared" si="86"/>
        <v>50+</v>
      </c>
      <c r="AQ572" t="str">
        <f t="shared" si="87"/>
        <v>Medium</v>
      </c>
      <c r="AR572" t="str">
        <f t="shared" si="88"/>
        <v>Long</v>
      </c>
      <c r="AS572">
        <f t="shared" si="89"/>
        <v>0</v>
      </c>
    </row>
    <row r="573" spans="1:4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s="20">
        <v>4364</v>
      </c>
      <c r="T573">
        <v>5288</v>
      </c>
      <c r="U573">
        <v>3</v>
      </c>
      <c r="V573" t="s">
        <v>42</v>
      </c>
      <c r="W573" t="s">
        <v>43</v>
      </c>
      <c r="X573" s="19">
        <v>14</v>
      </c>
      <c r="Y573">
        <v>3</v>
      </c>
      <c r="Z573">
        <v>1</v>
      </c>
      <c r="AA573">
        <v>80</v>
      </c>
      <c r="AB573">
        <v>1</v>
      </c>
      <c r="AC573">
        <v>5</v>
      </c>
      <c r="AD573">
        <v>2</v>
      </c>
      <c r="AE573">
        <v>3</v>
      </c>
      <c r="AF573">
        <v>2</v>
      </c>
      <c r="AG573">
        <v>2</v>
      </c>
      <c r="AH573">
        <v>2</v>
      </c>
      <c r="AI573">
        <v>0</v>
      </c>
      <c r="AJ573">
        <f t="shared" si="80"/>
        <v>0</v>
      </c>
      <c r="AK573">
        <f t="shared" si="81"/>
        <v>0</v>
      </c>
      <c r="AL573">
        <f t="shared" si="82"/>
        <v>0</v>
      </c>
      <c r="AM573">
        <f t="shared" si="83"/>
        <v>2.25</v>
      </c>
      <c r="AN573">
        <f t="shared" si="84"/>
        <v>17456</v>
      </c>
      <c r="AO573">
        <f t="shared" si="85"/>
        <v>0.33333333333333331</v>
      </c>
      <c r="AP573" t="str">
        <f t="shared" si="86"/>
        <v>Under 30</v>
      </c>
      <c r="AQ573" t="str">
        <f t="shared" si="87"/>
        <v>Medium</v>
      </c>
      <c r="AR573" t="str">
        <f t="shared" si="88"/>
        <v>Short</v>
      </c>
      <c r="AS573">
        <f t="shared" si="89"/>
        <v>1</v>
      </c>
    </row>
    <row r="574" spans="1:4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s="20">
        <v>4335</v>
      </c>
      <c r="T574">
        <v>25549</v>
      </c>
      <c r="U574">
        <v>4</v>
      </c>
      <c r="V574" t="s">
        <v>42</v>
      </c>
      <c r="W574" t="s">
        <v>43</v>
      </c>
      <c r="X574" s="19">
        <v>12</v>
      </c>
      <c r="Y574">
        <v>3</v>
      </c>
      <c r="Z574">
        <v>1</v>
      </c>
      <c r="AA574">
        <v>80</v>
      </c>
      <c r="AB574">
        <v>1</v>
      </c>
      <c r="AC574">
        <v>11</v>
      </c>
      <c r="AD574">
        <v>3</v>
      </c>
      <c r="AE574">
        <v>2</v>
      </c>
      <c r="AF574">
        <v>8</v>
      </c>
      <c r="AG574">
        <v>7</v>
      </c>
      <c r="AH574">
        <v>1</v>
      </c>
      <c r="AI574">
        <v>1</v>
      </c>
      <c r="AJ574">
        <f t="shared" si="80"/>
        <v>0</v>
      </c>
      <c r="AK574">
        <f t="shared" si="81"/>
        <v>0</v>
      </c>
      <c r="AL574">
        <f t="shared" si="82"/>
        <v>0</v>
      </c>
      <c r="AM574">
        <f t="shared" si="83"/>
        <v>2</v>
      </c>
      <c r="AN574">
        <f t="shared" si="84"/>
        <v>5780</v>
      </c>
      <c r="AO574">
        <f t="shared" si="85"/>
        <v>0.66666666666666663</v>
      </c>
      <c r="AP574" t="str">
        <f t="shared" si="86"/>
        <v>Under 30</v>
      </c>
      <c r="AQ574" t="str">
        <f t="shared" si="87"/>
        <v>Medium</v>
      </c>
      <c r="AR574" t="str">
        <f t="shared" si="88"/>
        <v>Long</v>
      </c>
      <c r="AS574">
        <f t="shared" si="89"/>
        <v>0</v>
      </c>
    </row>
    <row r="575" spans="1:4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s="20">
        <v>5326</v>
      </c>
      <c r="T575">
        <v>3064</v>
      </c>
      <c r="U575">
        <v>6</v>
      </c>
      <c r="V575" t="s">
        <v>42</v>
      </c>
      <c r="W575" t="s">
        <v>43</v>
      </c>
      <c r="X575" s="19">
        <v>17</v>
      </c>
      <c r="Y575">
        <v>3</v>
      </c>
      <c r="Z575">
        <v>3</v>
      </c>
      <c r="AA575">
        <v>80</v>
      </c>
      <c r="AB575">
        <v>0</v>
      </c>
      <c r="AC575">
        <v>6</v>
      </c>
      <c r="AD575">
        <v>2</v>
      </c>
      <c r="AE575">
        <v>2</v>
      </c>
      <c r="AF575">
        <v>4</v>
      </c>
      <c r="AG575">
        <v>3</v>
      </c>
      <c r="AH575">
        <v>1</v>
      </c>
      <c r="AI575">
        <v>2</v>
      </c>
      <c r="AJ575">
        <f t="shared" si="80"/>
        <v>1</v>
      </c>
      <c r="AK575">
        <f t="shared" si="81"/>
        <v>0</v>
      </c>
      <c r="AL575">
        <f t="shared" si="82"/>
        <v>1</v>
      </c>
      <c r="AM575">
        <f t="shared" si="83"/>
        <v>2.5</v>
      </c>
      <c r="AN575">
        <f t="shared" si="84"/>
        <v>12782.4</v>
      </c>
      <c r="AO575">
        <f t="shared" si="85"/>
        <v>0.5714285714285714</v>
      </c>
      <c r="AP575" t="str">
        <f t="shared" si="86"/>
        <v>Under 30</v>
      </c>
      <c r="AQ575" t="str">
        <f t="shared" si="87"/>
        <v>High</v>
      </c>
      <c r="AR575" t="str">
        <f t="shared" si="88"/>
        <v>Medium</v>
      </c>
      <c r="AS575">
        <f t="shared" si="89"/>
        <v>0</v>
      </c>
    </row>
    <row r="576" spans="1:4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s="20">
        <v>3280</v>
      </c>
      <c r="T576">
        <v>13551</v>
      </c>
      <c r="U576">
        <v>2</v>
      </c>
      <c r="V576" t="s">
        <v>42</v>
      </c>
      <c r="W576" t="s">
        <v>43</v>
      </c>
      <c r="X576" s="19">
        <v>16</v>
      </c>
      <c r="Y576">
        <v>3</v>
      </c>
      <c r="Z576">
        <v>3</v>
      </c>
      <c r="AA576">
        <v>80</v>
      </c>
      <c r="AB576">
        <v>0</v>
      </c>
      <c r="AC576">
        <v>10</v>
      </c>
      <c r="AD576">
        <v>2</v>
      </c>
      <c r="AE576">
        <v>3</v>
      </c>
      <c r="AF576">
        <v>4</v>
      </c>
      <c r="AG576">
        <v>2</v>
      </c>
      <c r="AH576">
        <v>1</v>
      </c>
      <c r="AI576">
        <v>3</v>
      </c>
      <c r="AJ576">
        <f t="shared" si="80"/>
        <v>0</v>
      </c>
      <c r="AK576">
        <f t="shared" si="81"/>
        <v>0</v>
      </c>
      <c r="AL576">
        <f t="shared" si="82"/>
        <v>0</v>
      </c>
      <c r="AM576">
        <f t="shared" si="83"/>
        <v>3</v>
      </c>
      <c r="AN576">
        <f t="shared" si="84"/>
        <v>7872</v>
      </c>
      <c r="AO576">
        <f t="shared" si="85"/>
        <v>0.36363636363636365</v>
      </c>
      <c r="AP576" t="str">
        <f t="shared" si="86"/>
        <v>30-39</v>
      </c>
      <c r="AQ576" t="str">
        <f t="shared" si="87"/>
        <v>Medium</v>
      </c>
      <c r="AR576" t="str">
        <f t="shared" si="88"/>
        <v>Short</v>
      </c>
      <c r="AS576">
        <f t="shared" si="89"/>
        <v>0</v>
      </c>
    </row>
    <row r="577" spans="1:4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s="20">
        <v>5485</v>
      </c>
      <c r="T577">
        <v>22670</v>
      </c>
      <c r="U577">
        <v>9</v>
      </c>
      <c r="V577" t="s">
        <v>42</v>
      </c>
      <c r="W577" t="s">
        <v>35</v>
      </c>
      <c r="X577" s="19">
        <v>11</v>
      </c>
      <c r="Y577">
        <v>3</v>
      </c>
      <c r="Z577">
        <v>2</v>
      </c>
      <c r="AA577">
        <v>80</v>
      </c>
      <c r="AB577">
        <v>2</v>
      </c>
      <c r="AC577">
        <v>9</v>
      </c>
      <c r="AD577">
        <v>4</v>
      </c>
      <c r="AE577">
        <v>3</v>
      </c>
      <c r="AF577">
        <v>5</v>
      </c>
      <c r="AG577">
        <v>3</v>
      </c>
      <c r="AH577">
        <v>1</v>
      </c>
      <c r="AI577">
        <v>4</v>
      </c>
      <c r="AJ577">
        <f t="shared" si="80"/>
        <v>0</v>
      </c>
      <c r="AK577">
        <f t="shared" si="81"/>
        <v>1</v>
      </c>
      <c r="AL577">
        <f t="shared" si="82"/>
        <v>0</v>
      </c>
      <c r="AM577">
        <f t="shared" si="83"/>
        <v>2.5</v>
      </c>
      <c r="AN577">
        <f t="shared" si="84"/>
        <v>10970</v>
      </c>
      <c r="AO577">
        <f t="shared" si="85"/>
        <v>0.5</v>
      </c>
      <c r="AP577" t="str">
        <f t="shared" si="86"/>
        <v>50+</v>
      </c>
      <c r="AQ577" t="str">
        <f t="shared" si="87"/>
        <v>High</v>
      </c>
      <c r="AR577" t="str">
        <f t="shared" si="88"/>
        <v>Long</v>
      </c>
      <c r="AS577">
        <f t="shared" si="89"/>
        <v>0</v>
      </c>
    </row>
    <row r="578" spans="1:4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s="20">
        <v>4342</v>
      </c>
      <c r="T578">
        <v>24008</v>
      </c>
      <c r="U578">
        <v>0</v>
      </c>
      <c r="V578" t="s">
        <v>42</v>
      </c>
      <c r="W578" t="s">
        <v>43</v>
      </c>
      <c r="X578" s="19">
        <v>19</v>
      </c>
      <c r="Y578">
        <v>3</v>
      </c>
      <c r="Z578">
        <v>2</v>
      </c>
      <c r="AA578">
        <v>80</v>
      </c>
      <c r="AB578">
        <v>1</v>
      </c>
      <c r="AC578">
        <v>5</v>
      </c>
      <c r="AD578">
        <v>3</v>
      </c>
      <c r="AE578">
        <v>3</v>
      </c>
      <c r="AF578">
        <v>4</v>
      </c>
      <c r="AG578">
        <v>2</v>
      </c>
      <c r="AH578">
        <v>1</v>
      </c>
      <c r="AI578">
        <v>1</v>
      </c>
      <c r="AJ578">
        <f t="shared" si="80"/>
        <v>0</v>
      </c>
      <c r="AK578">
        <f t="shared" si="81"/>
        <v>0</v>
      </c>
      <c r="AL578">
        <f t="shared" si="82"/>
        <v>1</v>
      </c>
      <c r="AM578">
        <f t="shared" si="83"/>
        <v>3</v>
      </c>
      <c r="AN578">
        <f t="shared" si="84"/>
        <v>10420.799999999999</v>
      </c>
      <c r="AO578">
        <f t="shared" si="85"/>
        <v>0.66666666666666663</v>
      </c>
      <c r="AP578" t="str">
        <f t="shared" si="86"/>
        <v>Under 30</v>
      </c>
      <c r="AQ578" t="str">
        <f t="shared" si="87"/>
        <v>Medium</v>
      </c>
      <c r="AR578" t="str">
        <f t="shared" si="88"/>
        <v>Medium</v>
      </c>
      <c r="AS578">
        <f t="shared" si="89"/>
        <v>1</v>
      </c>
    </row>
    <row r="579" spans="1:4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s="20">
        <v>2782</v>
      </c>
      <c r="T579">
        <v>19905</v>
      </c>
      <c r="U579">
        <v>0</v>
      </c>
      <c r="V579" t="s">
        <v>42</v>
      </c>
      <c r="W579" t="s">
        <v>35</v>
      </c>
      <c r="X579" s="19">
        <v>13</v>
      </c>
      <c r="Y579">
        <v>3</v>
      </c>
      <c r="Z579">
        <v>2</v>
      </c>
      <c r="AA579">
        <v>80</v>
      </c>
      <c r="AB579">
        <v>2</v>
      </c>
      <c r="AC579">
        <v>6</v>
      </c>
      <c r="AD579">
        <v>3</v>
      </c>
      <c r="AE579">
        <v>2</v>
      </c>
      <c r="AF579">
        <v>5</v>
      </c>
      <c r="AG579">
        <v>3</v>
      </c>
      <c r="AH579">
        <v>4</v>
      </c>
      <c r="AI579">
        <v>3</v>
      </c>
      <c r="AJ579">
        <f t="shared" ref="AJ579:AJ642" si="90">IF(B579="Yes",1,0)</f>
        <v>0</v>
      </c>
      <c r="AK579">
        <f t="shared" ref="AK579:AK642" si="91">IF(W579="Yes",1,0)</f>
        <v>1</v>
      </c>
      <c r="AL579">
        <f t="shared" ref="AL579:AL642" si="92">IF(L579="Male",1,0)</f>
        <v>0</v>
      </c>
      <c r="AM579">
        <f t="shared" ref="AM579:AM642" si="93">AVERAGE(K579,Q579,Z579,AE579)</f>
        <v>2.25</v>
      </c>
      <c r="AN579">
        <f t="shared" ref="AN579:AN642" si="94">(S579*12)/(AF579+1)</f>
        <v>5564</v>
      </c>
      <c r="AO579">
        <f t="shared" ref="AO579:AO642" si="95">AF579/(AC579+1)</f>
        <v>0.7142857142857143</v>
      </c>
      <c r="AP579" t="str">
        <f t="shared" ref="AP579:AP642" si="96">IF(A579&lt;30,"Under 30",IF(A579&lt;40,"30-39",IF(A579&lt;50,"40-49","50+")))</f>
        <v>30-39</v>
      </c>
      <c r="AQ579" t="str">
        <f t="shared" ref="AQ579:AQ642" si="97">IF(S579&lt;=$AV$1,"Low",IF(S579&lt;=$AV$2,"Medium",IF(S579&lt;=$AV$3,"High","Very High")))</f>
        <v>Low</v>
      </c>
      <c r="AR579" t="str">
        <f t="shared" ref="AR579:AR642" si="98">IF(F579&lt;=5,"Short",IF(F579&lt;=15,"Medium","Long"))</f>
        <v>Medium</v>
      </c>
      <c r="AS579">
        <f t="shared" ref="AS579:AS642" si="99">IF(C579="Travel_Frequently",1,0)</f>
        <v>0</v>
      </c>
    </row>
    <row r="580" spans="1:4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s="20">
        <v>5980</v>
      </c>
      <c r="T580">
        <v>26085</v>
      </c>
      <c r="U580">
        <v>6</v>
      </c>
      <c r="V580" t="s">
        <v>42</v>
      </c>
      <c r="W580" t="s">
        <v>35</v>
      </c>
      <c r="X580" s="19">
        <v>12</v>
      </c>
      <c r="Y580">
        <v>3</v>
      </c>
      <c r="Z580">
        <v>4</v>
      </c>
      <c r="AA580">
        <v>80</v>
      </c>
      <c r="AB580">
        <v>0</v>
      </c>
      <c r="AC580">
        <v>17</v>
      </c>
      <c r="AD580">
        <v>2</v>
      </c>
      <c r="AE580">
        <v>3</v>
      </c>
      <c r="AF580">
        <v>15</v>
      </c>
      <c r="AG580">
        <v>7</v>
      </c>
      <c r="AH580">
        <v>4</v>
      </c>
      <c r="AI580">
        <v>12</v>
      </c>
      <c r="AJ580">
        <f t="shared" si="90"/>
        <v>0</v>
      </c>
      <c r="AK580">
        <f t="shared" si="91"/>
        <v>1</v>
      </c>
      <c r="AL580">
        <f t="shared" si="92"/>
        <v>0</v>
      </c>
      <c r="AM580">
        <f t="shared" si="93"/>
        <v>2.25</v>
      </c>
      <c r="AN580">
        <f t="shared" si="94"/>
        <v>4485</v>
      </c>
      <c r="AO580">
        <f t="shared" si="95"/>
        <v>0.83333333333333337</v>
      </c>
      <c r="AP580" t="str">
        <f t="shared" si="96"/>
        <v>30-39</v>
      </c>
      <c r="AQ580" t="str">
        <f t="shared" si="97"/>
        <v>High</v>
      </c>
      <c r="AR580" t="str">
        <f t="shared" si="98"/>
        <v>Short</v>
      </c>
      <c r="AS580">
        <f t="shared" si="99"/>
        <v>1</v>
      </c>
    </row>
    <row r="581" spans="1:4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s="20">
        <v>4381</v>
      </c>
      <c r="T581">
        <v>7530</v>
      </c>
      <c r="U581">
        <v>1</v>
      </c>
      <c r="V581" t="s">
        <v>42</v>
      </c>
      <c r="W581" t="s">
        <v>43</v>
      </c>
      <c r="X581" s="19">
        <v>11</v>
      </c>
      <c r="Y581">
        <v>3</v>
      </c>
      <c r="Z581">
        <v>3</v>
      </c>
      <c r="AA581">
        <v>80</v>
      </c>
      <c r="AB581">
        <v>0</v>
      </c>
      <c r="AC581">
        <v>6</v>
      </c>
      <c r="AD581">
        <v>3</v>
      </c>
      <c r="AE581">
        <v>3</v>
      </c>
      <c r="AF581">
        <v>6</v>
      </c>
      <c r="AG581">
        <v>5</v>
      </c>
      <c r="AH581">
        <v>1</v>
      </c>
      <c r="AI581">
        <v>3</v>
      </c>
      <c r="AJ581">
        <f t="shared" si="90"/>
        <v>0</v>
      </c>
      <c r="AK581">
        <f t="shared" si="91"/>
        <v>0</v>
      </c>
      <c r="AL581">
        <f t="shared" si="92"/>
        <v>0</v>
      </c>
      <c r="AM581">
        <f t="shared" si="93"/>
        <v>2.5</v>
      </c>
      <c r="AN581">
        <f t="shared" si="94"/>
        <v>7510.2857142857147</v>
      </c>
      <c r="AO581">
        <f t="shared" si="95"/>
        <v>0.8571428571428571</v>
      </c>
      <c r="AP581" t="str">
        <f t="shared" si="96"/>
        <v>30-39</v>
      </c>
      <c r="AQ581" t="str">
        <f t="shared" si="97"/>
        <v>Medium</v>
      </c>
      <c r="AR581" t="str">
        <f t="shared" si="98"/>
        <v>Short</v>
      </c>
      <c r="AS581">
        <f t="shared" si="99"/>
        <v>0</v>
      </c>
    </row>
    <row r="582" spans="1:4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s="20">
        <v>2572</v>
      </c>
      <c r="T582">
        <v>20317</v>
      </c>
      <c r="U582">
        <v>1</v>
      </c>
      <c r="V582" t="s">
        <v>42</v>
      </c>
      <c r="W582" t="s">
        <v>43</v>
      </c>
      <c r="X582" s="19">
        <v>16</v>
      </c>
      <c r="Y582">
        <v>3</v>
      </c>
      <c r="Z582">
        <v>2</v>
      </c>
      <c r="AA582">
        <v>80</v>
      </c>
      <c r="AB582">
        <v>1</v>
      </c>
      <c r="AC582">
        <v>3</v>
      </c>
      <c r="AD582">
        <v>1</v>
      </c>
      <c r="AE582">
        <v>2</v>
      </c>
      <c r="AF582">
        <v>3</v>
      </c>
      <c r="AG582">
        <v>2</v>
      </c>
      <c r="AH582">
        <v>0</v>
      </c>
      <c r="AI582">
        <v>2</v>
      </c>
      <c r="AJ582">
        <f t="shared" si="90"/>
        <v>0</v>
      </c>
      <c r="AK582">
        <f t="shared" si="91"/>
        <v>0</v>
      </c>
      <c r="AL582">
        <f t="shared" si="92"/>
        <v>0</v>
      </c>
      <c r="AM582">
        <f t="shared" si="93"/>
        <v>2.25</v>
      </c>
      <c r="AN582">
        <f t="shared" si="94"/>
        <v>7716</v>
      </c>
      <c r="AO582">
        <f t="shared" si="95"/>
        <v>0.75</v>
      </c>
      <c r="AP582" t="str">
        <f t="shared" si="96"/>
        <v>30-39</v>
      </c>
      <c r="AQ582" t="str">
        <f t="shared" si="97"/>
        <v>Low</v>
      </c>
      <c r="AR582" t="str">
        <f t="shared" si="98"/>
        <v>Medium</v>
      </c>
      <c r="AS582">
        <f t="shared" si="99"/>
        <v>0</v>
      </c>
    </row>
    <row r="583" spans="1:4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s="20">
        <v>3833</v>
      </c>
      <c r="T583">
        <v>24375</v>
      </c>
      <c r="U583">
        <v>3</v>
      </c>
      <c r="V583" t="s">
        <v>42</v>
      </c>
      <c r="W583" t="s">
        <v>43</v>
      </c>
      <c r="X583" s="19">
        <v>21</v>
      </c>
      <c r="Y583">
        <v>4</v>
      </c>
      <c r="Z583">
        <v>3</v>
      </c>
      <c r="AA583">
        <v>80</v>
      </c>
      <c r="AB583">
        <v>2</v>
      </c>
      <c r="AC583">
        <v>7</v>
      </c>
      <c r="AD583">
        <v>2</v>
      </c>
      <c r="AE583">
        <v>3</v>
      </c>
      <c r="AF583">
        <v>2</v>
      </c>
      <c r="AG583">
        <v>2</v>
      </c>
      <c r="AH583">
        <v>0</v>
      </c>
      <c r="AI583">
        <v>2</v>
      </c>
      <c r="AJ583">
        <f t="shared" si="90"/>
        <v>0</v>
      </c>
      <c r="AK583">
        <f t="shared" si="91"/>
        <v>0</v>
      </c>
      <c r="AL583">
        <f t="shared" si="92"/>
        <v>1</v>
      </c>
      <c r="AM583">
        <f t="shared" si="93"/>
        <v>3.25</v>
      </c>
      <c r="AN583">
        <f t="shared" si="94"/>
        <v>15332</v>
      </c>
      <c r="AO583">
        <f t="shared" si="95"/>
        <v>0.25</v>
      </c>
      <c r="AP583" t="str">
        <f t="shared" si="96"/>
        <v>30-39</v>
      </c>
      <c r="AQ583" t="str">
        <f t="shared" si="97"/>
        <v>Medium</v>
      </c>
      <c r="AR583" t="str">
        <f t="shared" si="98"/>
        <v>Short</v>
      </c>
      <c r="AS583">
        <f t="shared" si="99"/>
        <v>0</v>
      </c>
    </row>
    <row r="584" spans="1:4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s="20">
        <v>4244</v>
      </c>
      <c r="T584">
        <v>9931</v>
      </c>
      <c r="U584">
        <v>1</v>
      </c>
      <c r="V584" t="s">
        <v>42</v>
      </c>
      <c r="W584" t="s">
        <v>43</v>
      </c>
      <c r="X584" s="19">
        <v>24</v>
      </c>
      <c r="Y584">
        <v>4</v>
      </c>
      <c r="Z584">
        <v>4</v>
      </c>
      <c r="AA584">
        <v>80</v>
      </c>
      <c r="AB584">
        <v>1</v>
      </c>
      <c r="AC584">
        <v>8</v>
      </c>
      <c r="AD584">
        <v>2</v>
      </c>
      <c r="AE584">
        <v>3</v>
      </c>
      <c r="AF584">
        <v>8</v>
      </c>
      <c r="AG584">
        <v>7</v>
      </c>
      <c r="AH584">
        <v>3</v>
      </c>
      <c r="AI584">
        <v>7</v>
      </c>
      <c r="AJ584">
        <f t="shared" si="90"/>
        <v>0</v>
      </c>
      <c r="AK584">
        <f t="shared" si="91"/>
        <v>0</v>
      </c>
      <c r="AL584">
        <f t="shared" si="92"/>
        <v>0</v>
      </c>
      <c r="AM584">
        <f t="shared" si="93"/>
        <v>3</v>
      </c>
      <c r="AN584">
        <f t="shared" si="94"/>
        <v>5658.666666666667</v>
      </c>
      <c r="AO584">
        <f t="shared" si="95"/>
        <v>0.88888888888888884</v>
      </c>
      <c r="AP584" t="str">
        <f t="shared" si="96"/>
        <v>40-49</v>
      </c>
      <c r="AQ584" t="str">
        <f t="shared" si="97"/>
        <v>Medium</v>
      </c>
      <c r="AR584" t="str">
        <f t="shared" si="98"/>
        <v>Short</v>
      </c>
      <c r="AS584">
        <f t="shared" si="99"/>
        <v>1</v>
      </c>
    </row>
    <row r="585" spans="1:4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s="20">
        <v>6500</v>
      </c>
      <c r="T585">
        <v>13305</v>
      </c>
      <c r="U585">
        <v>5</v>
      </c>
      <c r="V585" t="s">
        <v>42</v>
      </c>
      <c r="W585" t="s">
        <v>43</v>
      </c>
      <c r="X585" s="19">
        <v>17</v>
      </c>
      <c r="Y585">
        <v>3</v>
      </c>
      <c r="Z585">
        <v>2</v>
      </c>
      <c r="AA585">
        <v>80</v>
      </c>
      <c r="AB585">
        <v>1</v>
      </c>
      <c r="AC585">
        <v>6</v>
      </c>
      <c r="AD585">
        <v>1</v>
      </c>
      <c r="AE585">
        <v>3</v>
      </c>
      <c r="AF585">
        <v>3</v>
      </c>
      <c r="AG585">
        <v>2</v>
      </c>
      <c r="AH585">
        <v>1</v>
      </c>
      <c r="AI585">
        <v>2</v>
      </c>
      <c r="AJ585">
        <f t="shared" si="90"/>
        <v>0</v>
      </c>
      <c r="AK585">
        <f t="shared" si="91"/>
        <v>0</v>
      </c>
      <c r="AL585">
        <f t="shared" si="92"/>
        <v>0</v>
      </c>
      <c r="AM585">
        <f t="shared" si="93"/>
        <v>2.25</v>
      </c>
      <c r="AN585">
        <f t="shared" si="94"/>
        <v>19500</v>
      </c>
      <c r="AO585">
        <f t="shared" si="95"/>
        <v>0.42857142857142855</v>
      </c>
      <c r="AP585" t="str">
        <f t="shared" si="96"/>
        <v>30-39</v>
      </c>
      <c r="AQ585" t="str">
        <f t="shared" si="97"/>
        <v>High</v>
      </c>
      <c r="AR585" t="str">
        <f t="shared" si="98"/>
        <v>Medium</v>
      </c>
      <c r="AS585">
        <f t="shared" si="99"/>
        <v>0</v>
      </c>
    </row>
    <row r="586" spans="1:4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s="20">
        <v>18430</v>
      </c>
      <c r="T586">
        <v>16225</v>
      </c>
      <c r="U586">
        <v>1</v>
      </c>
      <c r="V586" t="s">
        <v>42</v>
      </c>
      <c r="W586" t="s">
        <v>43</v>
      </c>
      <c r="X586" s="19">
        <v>13</v>
      </c>
      <c r="Y586">
        <v>3</v>
      </c>
      <c r="Z586">
        <v>2</v>
      </c>
      <c r="AA586">
        <v>80</v>
      </c>
      <c r="AB586">
        <v>1</v>
      </c>
      <c r="AC586">
        <v>24</v>
      </c>
      <c r="AD586">
        <v>4</v>
      </c>
      <c r="AE586">
        <v>2</v>
      </c>
      <c r="AF586">
        <v>24</v>
      </c>
      <c r="AG586">
        <v>7</v>
      </c>
      <c r="AH586">
        <v>14</v>
      </c>
      <c r="AI586">
        <v>9</v>
      </c>
      <c r="AJ586">
        <f t="shared" si="90"/>
        <v>0</v>
      </c>
      <c r="AK586">
        <f t="shared" si="91"/>
        <v>0</v>
      </c>
      <c r="AL586">
        <f t="shared" si="92"/>
        <v>1</v>
      </c>
      <c r="AM586">
        <f t="shared" si="93"/>
        <v>2.5</v>
      </c>
      <c r="AN586">
        <f t="shared" si="94"/>
        <v>8846.4</v>
      </c>
      <c r="AO586">
        <f t="shared" si="95"/>
        <v>0.96</v>
      </c>
      <c r="AP586" t="str">
        <f t="shared" si="96"/>
        <v>40-49</v>
      </c>
      <c r="AQ586" t="str">
        <f t="shared" si="97"/>
        <v>Very High</v>
      </c>
      <c r="AR586" t="str">
        <f t="shared" si="98"/>
        <v>Medium</v>
      </c>
      <c r="AS586">
        <f t="shared" si="99"/>
        <v>1</v>
      </c>
    </row>
    <row r="587" spans="1:4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s="20">
        <v>1601</v>
      </c>
      <c r="T587">
        <v>3445</v>
      </c>
      <c r="U587">
        <v>1</v>
      </c>
      <c r="V587" t="s">
        <v>42</v>
      </c>
      <c r="W587" t="s">
        <v>35</v>
      </c>
      <c r="X587" s="19">
        <v>21</v>
      </c>
      <c r="Y587">
        <v>4</v>
      </c>
      <c r="Z587">
        <v>3</v>
      </c>
      <c r="AA587">
        <v>80</v>
      </c>
      <c r="AB587">
        <v>2</v>
      </c>
      <c r="AC587">
        <v>1</v>
      </c>
      <c r="AD587">
        <v>2</v>
      </c>
      <c r="AE587">
        <v>3</v>
      </c>
      <c r="AF587">
        <v>0</v>
      </c>
      <c r="AG587">
        <v>0</v>
      </c>
      <c r="AH587">
        <v>0</v>
      </c>
      <c r="AI587">
        <v>0</v>
      </c>
      <c r="AJ587">
        <f t="shared" si="90"/>
        <v>1</v>
      </c>
      <c r="AK587">
        <f t="shared" si="91"/>
        <v>1</v>
      </c>
      <c r="AL587">
        <f t="shared" si="92"/>
        <v>1</v>
      </c>
      <c r="AM587">
        <f t="shared" si="93"/>
        <v>2.5</v>
      </c>
      <c r="AN587">
        <f t="shared" si="94"/>
        <v>19212</v>
      </c>
      <c r="AO587">
        <f t="shared" si="95"/>
        <v>0</v>
      </c>
      <c r="AP587" t="str">
        <f t="shared" si="96"/>
        <v>Under 30</v>
      </c>
      <c r="AQ587" t="str">
        <f t="shared" si="97"/>
        <v>Low</v>
      </c>
      <c r="AR587" t="str">
        <f t="shared" si="98"/>
        <v>Medium</v>
      </c>
      <c r="AS587">
        <f t="shared" si="99"/>
        <v>0</v>
      </c>
    </row>
    <row r="588" spans="1:4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s="20">
        <v>2694</v>
      </c>
      <c r="T588">
        <v>26551</v>
      </c>
      <c r="U588">
        <v>1</v>
      </c>
      <c r="V588" t="s">
        <v>42</v>
      </c>
      <c r="W588" t="s">
        <v>43</v>
      </c>
      <c r="X588" s="19">
        <v>11</v>
      </c>
      <c r="Y588">
        <v>3</v>
      </c>
      <c r="Z588">
        <v>3</v>
      </c>
      <c r="AA588">
        <v>80</v>
      </c>
      <c r="AB588">
        <v>3</v>
      </c>
      <c r="AC588">
        <v>1</v>
      </c>
      <c r="AD588">
        <v>4</v>
      </c>
      <c r="AE588">
        <v>3</v>
      </c>
      <c r="AF588">
        <v>1</v>
      </c>
      <c r="AG588">
        <v>0</v>
      </c>
      <c r="AH588">
        <v>0</v>
      </c>
      <c r="AI588">
        <v>0</v>
      </c>
      <c r="AJ588">
        <f t="shared" si="90"/>
        <v>0</v>
      </c>
      <c r="AK588">
        <f t="shared" si="91"/>
        <v>0</v>
      </c>
      <c r="AL588">
        <f t="shared" si="92"/>
        <v>1</v>
      </c>
      <c r="AM588">
        <f t="shared" si="93"/>
        <v>2.75</v>
      </c>
      <c r="AN588">
        <f t="shared" si="94"/>
        <v>16164</v>
      </c>
      <c r="AO588">
        <f t="shared" si="95"/>
        <v>0.5</v>
      </c>
      <c r="AP588" t="str">
        <f t="shared" si="96"/>
        <v>Under 30</v>
      </c>
      <c r="AQ588" t="str">
        <f t="shared" si="97"/>
        <v>Low</v>
      </c>
      <c r="AR588" t="str">
        <f t="shared" si="98"/>
        <v>Medium</v>
      </c>
      <c r="AS588">
        <f t="shared" si="99"/>
        <v>0</v>
      </c>
    </row>
    <row r="589" spans="1:4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s="20">
        <v>3149</v>
      </c>
      <c r="T589">
        <v>21821</v>
      </c>
      <c r="U589">
        <v>8</v>
      </c>
      <c r="V589" t="s">
        <v>42</v>
      </c>
      <c r="W589" t="s">
        <v>43</v>
      </c>
      <c r="X589" s="19">
        <v>20</v>
      </c>
      <c r="Y589">
        <v>4</v>
      </c>
      <c r="Z589">
        <v>2</v>
      </c>
      <c r="AA589">
        <v>80</v>
      </c>
      <c r="AB589">
        <v>1</v>
      </c>
      <c r="AC589">
        <v>9</v>
      </c>
      <c r="AD589">
        <v>3</v>
      </c>
      <c r="AE589">
        <v>3</v>
      </c>
      <c r="AF589">
        <v>5</v>
      </c>
      <c r="AG589">
        <v>2</v>
      </c>
      <c r="AH589">
        <v>1</v>
      </c>
      <c r="AI589">
        <v>4</v>
      </c>
      <c r="AJ589">
        <f t="shared" si="90"/>
        <v>0</v>
      </c>
      <c r="AK589">
        <f t="shared" si="91"/>
        <v>0</v>
      </c>
      <c r="AL589">
        <f t="shared" si="92"/>
        <v>0</v>
      </c>
      <c r="AM589">
        <f t="shared" si="93"/>
        <v>3</v>
      </c>
      <c r="AN589">
        <f t="shared" si="94"/>
        <v>6298</v>
      </c>
      <c r="AO589">
        <f t="shared" si="95"/>
        <v>0.5</v>
      </c>
      <c r="AP589" t="str">
        <f t="shared" si="96"/>
        <v>50+</v>
      </c>
      <c r="AQ589" t="str">
        <f t="shared" si="97"/>
        <v>Medium</v>
      </c>
      <c r="AR589" t="str">
        <f t="shared" si="98"/>
        <v>Medium</v>
      </c>
      <c r="AS589">
        <f t="shared" si="99"/>
        <v>0</v>
      </c>
    </row>
    <row r="590" spans="1:4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s="20">
        <v>17639</v>
      </c>
      <c r="T590">
        <v>6881</v>
      </c>
      <c r="U590">
        <v>5</v>
      </c>
      <c r="V590" t="s">
        <v>42</v>
      </c>
      <c r="W590" t="s">
        <v>43</v>
      </c>
      <c r="X590" s="19">
        <v>16</v>
      </c>
      <c r="Y590">
        <v>3</v>
      </c>
      <c r="Z590">
        <v>4</v>
      </c>
      <c r="AA590">
        <v>80</v>
      </c>
      <c r="AB590">
        <v>0</v>
      </c>
      <c r="AC590">
        <v>30</v>
      </c>
      <c r="AD590">
        <v>3</v>
      </c>
      <c r="AE590">
        <v>3</v>
      </c>
      <c r="AF590">
        <v>4</v>
      </c>
      <c r="AG590">
        <v>3</v>
      </c>
      <c r="AH590">
        <v>0</v>
      </c>
      <c r="AI590">
        <v>3</v>
      </c>
      <c r="AJ590">
        <f t="shared" si="90"/>
        <v>0</v>
      </c>
      <c r="AK590">
        <f t="shared" si="91"/>
        <v>0</v>
      </c>
      <c r="AL590">
        <f t="shared" si="92"/>
        <v>1</v>
      </c>
      <c r="AM590">
        <f t="shared" si="93"/>
        <v>3.25</v>
      </c>
      <c r="AN590">
        <f t="shared" si="94"/>
        <v>42333.599999999999</v>
      </c>
      <c r="AO590">
        <f t="shared" si="95"/>
        <v>0.12903225806451613</v>
      </c>
      <c r="AP590" t="str">
        <f t="shared" si="96"/>
        <v>50+</v>
      </c>
      <c r="AQ590" t="str">
        <f t="shared" si="97"/>
        <v>Very High</v>
      </c>
      <c r="AR590" t="str">
        <f t="shared" si="98"/>
        <v>Short</v>
      </c>
      <c r="AS590">
        <f t="shared" si="99"/>
        <v>0</v>
      </c>
    </row>
    <row r="591" spans="1:4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s="20">
        <v>2319</v>
      </c>
      <c r="T591">
        <v>6689</v>
      </c>
      <c r="U591">
        <v>1</v>
      </c>
      <c r="V591" t="s">
        <v>42</v>
      </c>
      <c r="W591" t="s">
        <v>35</v>
      </c>
      <c r="X591" s="19">
        <v>11</v>
      </c>
      <c r="Y591">
        <v>3</v>
      </c>
      <c r="Z591">
        <v>4</v>
      </c>
      <c r="AA591">
        <v>80</v>
      </c>
      <c r="AB591">
        <v>1</v>
      </c>
      <c r="AC591">
        <v>1</v>
      </c>
      <c r="AD591">
        <v>1</v>
      </c>
      <c r="AE591">
        <v>3</v>
      </c>
      <c r="AF591">
        <v>1</v>
      </c>
      <c r="AG591">
        <v>0</v>
      </c>
      <c r="AH591">
        <v>0</v>
      </c>
      <c r="AI591">
        <v>0</v>
      </c>
      <c r="AJ591">
        <f t="shared" si="90"/>
        <v>1</v>
      </c>
      <c r="AK591">
        <f t="shared" si="91"/>
        <v>1</v>
      </c>
      <c r="AL591">
        <f t="shared" si="92"/>
        <v>0</v>
      </c>
      <c r="AM591">
        <f t="shared" si="93"/>
        <v>2.5</v>
      </c>
      <c r="AN591">
        <f t="shared" si="94"/>
        <v>13914</v>
      </c>
      <c r="AO591">
        <f t="shared" si="95"/>
        <v>0.5</v>
      </c>
      <c r="AP591" t="str">
        <f t="shared" si="96"/>
        <v>Under 30</v>
      </c>
      <c r="AQ591" t="str">
        <f t="shared" si="97"/>
        <v>Low</v>
      </c>
      <c r="AR591" t="str">
        <f t="shared" si="98"/>
        <v>Short</v>
      </c>
      <c r="AS591">
        <f t="shared" si="99"/>
        <v>0</v>
      </c>
    </row>
    <row r="592" spans="1:4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s="20">
        <v>11691</v>
      </c>
      <c r="T592">
        <v>25995</v>
      </c>
      <c r="U592">
        <v>0</v>
      </c>
      <c r="V592" t="s">
        <v>42</v>
      </c>
      <c r="W592" t="s">
        <v>43</v>
      </c>
      <c r="X592" s="19">
        <v>11</v>
      </c>
      <c r="Y592">
        <v>3</v>
      </c>
      <c r="Z592">
        <v>4</v>
      </c>
      <c r="AA592">
        <v>80</v>
      </c>
      <c r="AB592">
        <v>0</v>
      </c>
      <c r="AC592">
        <v>14</v>
      </c>
      <c r="AD592">
        <v>3</v>
      </c>
      <c r="AE592">
        <v>4</v>
      </c>
      <c r="AF592">
        <v>13</v>
      </c>
      <c r="AG592">
        <v>9</v>
      </c>
      <c r="AH592">
        <v>3</v>
      </c>
      <c r="AI592">
        <v>7</v>
      </c>
      <c r="AJ592">
        <f t="shared" si="90"/>
        <v>0</v>
      </c>
      <c r="AK592">
        <f t="shared" si="91"/>
        <v>0</v>
      </c>
      <c r="AL592">
        <f t="shared" si="92"/>
        <v>1</v>
      </c>
      <c r="AM592">
        <f t="shared" si="93"/>
        <v>3.5</v>
      </c>
      <c r="AN592">
        <f t="shared" si="94"/>
        <v>10020.857142857143</v>
      </c>
      <c r="AO592">
        <f t="shared" si="95"/>
        <v>0.8666666666666667</v>
      </c>
      <c r="AP592" t="str">
        <f t="shared" si="96"/>
        <v>30-39</v>
      </c>
      <c r="AQ592" t="str">
        <f t="shared" si="97"/>
        <v>Very High</v>
      </c>
      <c r="AR592" t="str">
        <f t="shared" si="98"/>
        <v>Medium</v>
      </c>
      <c r="AS592">
        <f t="shared" si="99"/>
        <v>0</v>
      </c>
    </row>
    <row r="593" spans="1:4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s="20">
        <v>5324</v>
      </c>
      <c r="T593">
        <v>26507</v>
      </c>
      <c r="U593">
        <v>5</v>
      </c>
      <c r="V593" t="s">
        <v>42</v>
      </c>
      <c r="W593" t="s">
        <v>43</v>
      </c>
      <c r="X593" s="19">
        <v>15</v>
      </c>
      <c r="Y593">
        <v>3</v>
      </c>
      <c r="Z593">
        <v>3</v>
      </c>
      <c r="AA593">
        <v>80</v>
      </c>
      <c r="AB593">
        <v>0</v>
      </c>
      <c r="AC593">
        <v>6</v>
      </c>
      <c r="AD593">
        <v>3</v>
      </c>
      <c r="AE593">
        <v>3</v>
      </c>
      <c r="AF593">
        <v>3</v>
      </c>
      <c r="AG593">
        <v>2</v>
      </c>
      <c r="AH593">
        <v>0</v>
      </c>
      <c r="AI593">
        <v>2</v>
      </c>
      <c r="AJ593">
        <f t="shared" si="90"/>
        <v>1</v>
      </c>
      <c r="AK593">
        <f t="shared" si="91"/>
        <v>0</v>
      </c>
      <c r="AL593">
        <f t="shared" si="92"/>
        <v>0</v>
      </c>
      <c r="AM593">
        <f t="shared" si="93"/>
        <v>2</v>
      </c>
      <c r="AN593">
        <f t="shared" si="94"/>
        <v>15972</v>
      </c>
      <c r="AO593">
        <f t="shared" si="95"/>
        <v>0.42857142857142855</v>
      </c>
      <c r="AP593" t="str">
        <f t="shared" si="96"/>
        <v>30-39</v>
      </c>
      <c r="AQ593" t="str">
        <f t="shared" si="97"/>
        <v>High</v>
      </c>
      <c r="AR593" t="str">
        <f t="shared" si="98"/>
        <v>Long</v>
      </c>
      <c r="AS593">
        <f t="shared" si="99"/>
        <v>0</v>
      </c>
    </row>
    <row r="594" spans="1:4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s="20">
        <v>16752</v>
      </c>
      <c r="T594">
        <v>12982</v>
      </c>
      <c r="U594">
        <v>1</v>
      </c>
      <c r="V594" t="s">
        <v>42</v>
      </c>
      <c r="W594" t="s">
        <v>35</v>
      </c>
      <c r="X594" s="19">
        <v>11</v>
      </c>
      <c r="Y594">
        <v>3</v>
      </c>
      <c r="Z594">
        <v>3</v>
      </c>
      <c r="AA594">
        <v>80</v>
      </c>
      <c r="AB594">
        <v>1</v>
      </c>
      <c r="AC594">
        <v>26</v>
      </c>
      <c r="AD594">
        <v>3</v>
      </c>
      <c r="AE594">
        <v>2</v>
      </c>
      <c r="AF594">
        <v>26</v>
      </c>
      <c r="AG594">
        <v>14</v>
      </c>
      <c r="AH594">
        <v>3</v>
      </c>
      <c r="AI594">
        <v>0</v>
      </c>
      <c r="AJ594">
        <f t="shared" si="90"/>
        <v>0</v>
      </c>
      <c r="AK594">
        <f t="shared" si="91"/>
        <v>1</v>
      </c>
      <c r="AL594">
        <f t="shared" si="92"/>
        <v>0</v>
      </c>
      <c r="AM594">
        <f t="shared" si="93"/>
        <v>3</v>
      </c>
      <c r="AN594">
        <f t="shared" si="94"/>
        <v>7445.333333333333</v>
      </c>
      <c r="AO594">
        <f t="shared" si="95"/>
        <v>0.96296296296296291</v>
      </c>
      <c r="AP594" t="str">
        <f t="shared" si="96"/>
        <v>40-49</v>
      </c>
      <c r="AQ594" t="str">
        <f t="shared" si="97"/>
        <v>Very High</v>
      </c>
      <c r="AR594" t="str">
        <f t="shared" si="98"/>
        <v>Short</v>
      </c>
      <c r="AS594">
        <f t="shared" si="99"/>
        <v>0</v>
      </c>
    </row>
    <row r="595" spans="1:4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s="20">
        <v>5228</v>
      </c>
      <c r="T595">
        <v>23361</v>
      </c>
      <c r="U595">
        <v>0</v>
      </c>
      <c r="V595" t="s">
        <v>42</v>
      </c>
      <c r="W595" t="s">
        <v>43</v>
      </c>
      <c r="X595" s="19">
        <v>15</v>
      </c>
      <c r="Y595">
        <v>3</v>
      </c>
      <c r="Z595">
        <v>1</v>
      </c>
      <c r="AA595">
        <v>80</v>
      </c>
      <c r="AB595">
        <v>1</v>
      </c>
      <c r="AC595">
        <v>10</v>
      </c>
      <c r="AD595">
        <v>2</v>
      </c>
      <c r="AE595">
        <v>3</v>
      </c>
      <c r="AF595">
        <v>9</v>
      </c>
      <c r="AG595">
        <v>7</v>
      </c>
      <c r="AH595">
        <v>0</v>
      </c>
      <c r="AI595">
        <v>5</v>
      </c>
      <c r="AJ595">
        <f t="shared" si="90"/>
        <v>0</v>
      </c>
      <c r="AK595">
        <f t="shared" si="91"/>
        <v>0</v>
      </c>
      <c r="AL595">
        <f t="shared" si="92"/>
        <v>0</v>
      </c>
      <c r="AM595">
        <f t="shared" si="93"/>
        <v>2.25</v>
      </c>
      <c r="AN595">
        <f t="shared" si="94"/>
        <v>6273.6</v>
      </c>
      <c r="AO595">
        <f t="shared" si="95"/>
        <v>0.81818181818181823</v>
      </c>
      <c r="AP595" t="str">
        <f t="shared" si="96"/>
        <v>30-39</v>
      </c>
      <c r="AQ595" t="str">
        <f t="shared" si="97"/>
        <v>High</v>
      </c>
      <c r="AR595" t="str">
        <f t="shared" si="98"/>
        <v>Short</v>
      </c>
      <c r="AS595">
        <f t="shared" si="99"/>
        <v>0</v>
      </c>
    </row>
    <row r="596" spans="1:4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s="20">
        <v>2700</v>
      </c>
      <c r="T596">
        <v>23779</v>
      </c>
      <c r="U596">
        <v>1</v>
      </c>
      <c r="V596" t="s">
        <v>42</v>
      </c>
      <c r="W596" t="s">
        <v>43</v>
      </c>
      <c r="X596" s="19">
        <v>24</v>
      </c>
      <c r="Y596">
        <v>4</v>
      </c>
      <c r="Z596">
        <v>3</v>
      </c>
      <c r="AA596">
        <v>80</v>
      </c>
      <c r="AB596">
        <v>1</v>
      </c>
      <c r="AC596">
        <v>10</v>
      </c>
      <c r="AD596">
        <v>3</v>
      </c>
      <c r="AE596">
        <v>3</v>
      </c>
      <c r="AF596">
        <v>10</v>
      </c>
      <c r="AG596">
        <v>7</v>
      </c>
      <c r="AH596">
        <v>0</v>
      </c>
      <c r="AI596">
        <v>7</v>
      </c>
      <c r="AJ596">
        <f t="shared" si="90"/>
        <v>0</v>
      </c>
      <c r="AK596">
        <f t="shared" si="91"/>
        <v>0</v>
      </c>
      <c r="AL596">
        <f t="shared" si="92"/>
        <v>1</v>
      </c>
      <c r="AM596">
        <f t="shared" si="93"/>
        <v>3</v>
      </c>
      <c r="AN596">
        <f t="shared" si="94"/>
        <v>2945.4545454545455</v>
      </c>
      <c r="AO596">
        <f t="shared" si="95"/>
        <v>0.90909090909090906</v>
      </c>
      <c r="AP596" t="str">
        <f t="shared" si="96"/>
        <v>Under 30</v>
      </c>
      <c r="AQ596" t="str">
        <f t="shared" si="97"/>
        <v>Low</v>
      </c>
      <c r="AR596" t="str">
        <f t="shared" si="98"/>
        <v>Long</v>
      </c>
      <c r="AS596">
        <f t="shared" si="99"/>
        <v>0</v>
      </c>
    </row>
    <row r="597" spans="1:4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s="20">
        <v>19246</v>
      </c>
      <c r="T597">
        <v>25761</v>
      </c>
      <c r="U597">
        <v>7</v>
      </c>
      <c r="V597" t="s">
        <v>42</v>
      </c>
      <c r="W597" t="s">
        <v>35</v>
      </c>
      <c r="X597" s="19">
        <v>12</v>
      </c>
      <c r="Y597">
        <v>3</v>
      </c>
      <c r="Z597">
        <v>4</v>
      </c>
      <c r="AA597">
        <v>80</v>
      </c>
      <c r="AB597">
        <v>0</v>
      </c>
      <c r="AC597">
        <v>40</v>
      </c>
      <c r="AD597">
        <v>2</v>
      </c>
      <c r="AE597">
        <v>3</v>
      </c>
      <c r="AF597">
        <v>31</v>
      </c>
      <c r="AG597">
        <v>15</v>
      </c>
      <c r="AH597">
        <v>13</v>
      </c>
      <c r="AI597">
        <v>8</v>
      </c>
      <c r="AJ597">
        <f t="shared" si="90"/>
        <v>1</v>
      </c>
      <c r="AK597">
        <f t="shared" si="91"/>
        <v>1</v>
      </c>
      <c r="AL597">
        <f t="shared" si="92"/>
        <v>1</v>
      </c>
      <c r="AM597">
        <f t="shared" si="93"/>
        <v>3.25</v>
      </c>
      <c r="AN597">
        <f t="shared" si="94"/>
        <v>7217.25</v>
      </c>
      <c r="AO597">
        <f t="shared" si="95"/>
        <v>0.75609756097560976</v>
      </c>
      <c r="AP597" t="str">
        <f t="shared" si="96"/>
        <v>50+</v>
      </c>
      <c r="AQ597" t="str">
        <f t="shared" si="97"/>
        <v>Very High</v>
      </c>
      <c r="AR597" t="str">
        <f t="shared" si="98"/>
        <v>Short</v>
      </c>
      <c r="AS597">
        <f t="shared" si="99"/>
        <v>0</v>
      </c>
    </row>
    <row r="598" spans="1:4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s="20">
        <v>2506</v>
      </c>
      <c r="T598">
        <v>13301</v>
      </c>
      <c r="U598">
        <v>3</v>
      </c>
      <c r="V598" t="s">
        <v>42</v>
      </c>
      <c r="W598" t="s">
        <v>43</v>
      </c>
      <c r="X598" s="19">
        <v>13</v>
      </c>
      <c r="Y598">
        <v>3</v>
      </c>
      <c r="Z598">
        <v>3</v>
      </c>
      <c r="AA598">
        <v>80</v>
      </c>
      <c r="AB598">
        <v>0</v>
      </c>
      <c r="AC598">
        <v>7</v>
      </c>
      <c r="AD598">
        <v>0</v>
      </c>
      <c r="AE598">
        <v>3</v>
      </c>
      <c r="AF598">
        <v>2</v>
      </c>
      <c r="AG598">
        <v>2</v>
      </c>
      <c r="AH598">
        <v>2</v>
      </c>
      <c r="AI598">
        <v>2</v>
      </c>
      <c r="AJ598">
        <f t="shared" si="90"/>
        <v>0</v>
      </c>
      <c r="AK598">
        <f t="shared" si="91"/>
        <v>0</v>
      </c>
      <c r="AL598">
        <f t="shared" si="92"/>
        <v>0</v>
      </c>
      <c r="AM598">
        <f t="shared" si="93"/>
        <v>3.25</v>
      </c>
      <c r="AN598">
        <f t="shared" si="94"/>
        <v>10024</v>
      </c>
      <c r="AO598">
        <f t="shared" si="95"/>
        <v>0.25</v>
      </c>
      <c r="AP598" t="str">
        <f t="shared" si="96"/>
        <v>30-39</v>
      </c>
      <c r="AQ598" t="str">
        <f t="shared" si="97"/>
        <v>Low</v>
      </c>
      <c r="AR598" t="str">
        <f t="shared" si="98"/>
        <v>Short</v>
      </c>
      <c r="AS598">
        <f t="shared" si="99"/>
        <v>0</v>
      </c>
    </row>
    <row r="599" spans="1:4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s="20">
        <v>6062</v>
      </c>
      <c r="T599">
        <v>4051</v>
      </c>
      <c r="U599">
        <v>9</v>
      </c>
      <c r="V599" t="s">
        <v>42</v>
      </c>
      <c r="W599" t="s">
        <v>35</v>
      </c>
      <c r="X599" s="19">
        <v>13</v>
      </c>
      <c r="Y599">
        <v>3</v>
      </c>
      <c r="Z599">
        <v>4</v>
      </c>
      <c r="AA599">
        <v>80</v>
      </c>
      <c r="AB599">
        <v>1</v>
      </c>
      <c r="AC599">
        <v>8</v>
      </c>
      <c r="AD599">
        <v>4</v>
      </c>
      <c r="AE599">
        <v>3</v>
      </c>
      <c r="AF599">
        <v>4</v>
      </c>
      <c r="AG599">
        <v>3</v>
      </c>
      <c r="AH599">
        <v>0</v>
      </c>
      <c r="AI599">
        <v>2</v>
      </c>
      <c r="AJ599">
        <f t="shared" si="90"/>
        <v>0</v>
      </c>
      <c r="AK599">
        <f t="shared" si="91"/>
        <v>1</v>
      </c>
      <c r="AL599">
        <f t="shared" si="92"/>
        <v>0</v>
      </c>
      <c r="AM599">
        <f t="shared" si="93"/>
        <v>3.75</v>
      </c>
      <c r="AN599">
        <f t="shared" si="94"/>
        <v>14548.8</v>
      </c>
      <c r="AO599">
        <f t="shared" si="95"/>
        <v>0.44444444444444442</v>
      </c>
      <c r="AP599" t="str">
        <f t="shared" si="96"/>
        <v>40-49</v>
      </c>
      <c r="AQ599" t="str">
        <f t="shared" si="97"/>
        <v>High</v>
      </c>
      <c r="AR599" t="str">
        <f t="shared" si="98"/>
        <v>Short</v>
      </c>
      <c r="AS599">
        <f t="shared" si="99"/>
        <v>0</v>
      </c>
    </row>
    <row r="600" spans="1:4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s="20">
        <v>4382</v>
      </c>
      <c r="T600">
        <v>16374</v>
      </c>
      <c r="U600">
        <v>6</v>
      </c>
      <c r="V600" t="s">
        <v>42</v>
      </c>
      <c r="W600" t="s">
        <v>43</v>
      </c>
      <c r="X600" s="19">
        <v>17</v>
      </c>
      <c r="Y600">
        <v>3</v>
      </c>
      <c r="Z600">
        <v>4</v>
      </c>
      <c r="AA600">
        <v>80</v>
      </c>
      <c r="AB600">
        <v>0</v>
      </c>
      <c r="AC600">
        <v>5</v>
      </c>
      <c r="AD600">
        <v>3</v>
      </c>
      <c r="AE600">
        <v>2</v>
      </c>
      <c r="AF600">
        <v>2</v>
      </c>
      <c r="AG600">
        <v>2</v>
      </c>
      <c r="AH600">
        <v>2</v>
      </c>
      <c r="AI600">
        <v>1</v>
      </c>
      <c r="AJ600">
        <f t="shared" si="90"/>
        <v>1</v>
      </c>
      <c r="AK600">
        <f t="shared" si="91"/>
        <v>0</v>
      </c>
      <c r="AL600">
        <f t="shared" si="92"/>
        <v>1</v>
      </c>
      <c r="AM600">
        <f t="shared" si="93"/>
        <v>3</v>
      </c>
      <c r="AN600">
        <f t="shared" si="94"/>
        <v>17528</v>
      </c>
      <c r="AO600">
        <f t="shared" si="95"/>
        <v>0.33333333333333331</v>
      </c>
      <c r="AP600" t="str">
        <f t="shared" si="96"/>
        <v>Under 30</v>
      </c>
      <c r="AQ600" t="str">
        <f t="shared" si="97"/>
        <v>Medium</v>
      </c>
      <c r="AR600" t="str">
        <f t="shared" si="98"/>
        <v>Short</v>
      </c>
      <c r="AS600">
        <f t="shared" si="99"/>
        <v>0</v>
      </c>
    </row>
    <row r="601" spans="1:4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s="20">
        <v>2143</v>
      </c>
      <c r="T601">
        <v>25527</v>
      </c>
      <c r="U601">
        <v>4</v>
      </c>
      <c r="V601" t="s">
        <v>42</v>
      </c>
      <c r="W601" t="s">
        <v>43</v>
      </c>
      <c r="X601" s="19">
        <v>13</v>
      </c>
      <c r="Y601">
        <v>3</v>
      </c>
      <c r="Z601">
        <v>2</v>
      </c>
      <c r="AA601">
        <v>80</v>
      </c>
      <c r="AB601">
        <v>1</v>
      </c>
      <c r="AC601">
        <v>8</v>
      </c>
      <c r="AD601">
        <v>2</v>
      </c>
      <c r="AE601">
        <v>3</v>
      </c>
      <c r="AF601">
        <v>5</v>
      </c>
      <c r="AG601">
        <v>2</v>
      </c>
      <c r="AH601">
        <v>0</v>
      </c>
      <c r="AI601">
        <v>4</v>
      </c>
      <c r="AJ601">
        <f t="shared" si="90"/>
        <v>0</v>
      </c>
      <c r="AK601">
        <f t="shared" si="91"/>
        <v>0</v>
      </c>
      <c r="AL601">
        <f t="shared" si="92"/>
        <v>1</v>
      </c>
      <c r="AM601">
        <f t="shared" si="93"/>
        <v>2.5</v>
      </c>
      <c r="AN601">
        <f t="shared" si="94"/>
        <v>4286</v>
      </c>
      <c r="AO601">
        <f t="shared" si="95"/>
        <v>0.55555555555555558</v>
      </c>
      <c r="AP601" t="str">
        <f t="shared" si="96"/>
        <v>30-39</v>
      </c>
      <c r="AQ601" t="str">
        <f t="shared" si="97"/>
        <v>Low</v>
      </c>
      <c r="AR601" t="str">
        <f t="shared" si="98"/>
        <v>Medium</v>
      </c>
      <c r="AS601">
        <f t="shared" si="99"/>
        <v>0</v>
      </c>
    </row>
    <row r="602" spans="1:45" x14ac:dyDescent="0.3">
      <c r="A602">
        <v>36</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s="20">
        <v>6162</v>
      </c>
      <c r="T602">
        <v>19124</v>
      </c>
      <c r="U602">
        <v>1</v>
      </c>
      <c r="V602" t="s">
        <v>42</v>
      </c>
      <c r="W602" t="s">
        <v>43</v>
      </c>
      <c r="X602" s="19">
        <v>12</v>
      </c>
      <c r="Y602">
        <v>3</v>
      </c>
      <c r="Z602">
        <v>3</v>
      </c>
      <c r="AA602">
        <v>80</v>
      </c>
      <c r="AB602">
        <v>1</v>
      </c>
      <c r="AC602">
        <v>14</v>
      </c>
      <c r="AD602">
        <v>3</v>
      </c>
      <c r="AE602">
        <v>3</v>
      </c>
      <c r="AF602">
        <v>14</v>
      </c>
      <c r="AG602">
        <v>13</v>
      </c>
      <c r="AH602">
        <v>6</v>
      </c>
      <c r="AI602">
        <v>8</v>
      </c>
      <c r="AJ602">
        <f t="shared" si="90"/>
        <v>0</v>
      </c>
      <c r="AK602">
        <f t="shared" si="91"/>
        <v>0</v>
      </c>
      <c r="AL602">
        <f t="shared" si="92"/>
        <v>0</v>
      </c>
      <c r="AM602">
        <f t="shared" si="93"/>
        <v>3</v>
      </c>
      <c r="AN602">
        <f t="shared" si="94"/>
        <v>4929.6000000000004</v>
      </c>
      <c r="AO602">
        <f t="shared" si="95"/>
        <v>0.93333333333333335</v>
      </c>
      <c r="AP602" t="str">
        <f t="shared" si="96"/>
        <v>30-39</v>
      </c>
      <c r="AQ602" t="str">
        <f t="shared" si="97"/>
        <v>High</v>
      </c>
      <c r="AR602" t="str">
        <f t="shared" si="98"/>
        <v>Short</v>
      </c>
      <c r="AS602">
        <f t="shared" si="99"/>
        <v>0</v>
      </c>
    </row>
    <row r="603" spans="1:4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s="20">
        <v>5094</v>
      </c>
      <c r="T603">
        <v>11983</v>
      </c>
      <c r="U603">
        <v>6</v>
      </c>
      <c r="V603" t="s">
        <v>42</v>
      </c>
      <c r="W603" t="s">
        <v>43</v>
      </c>
      <c r="X603" s="19">
        <v>14</v>
      </c>
      <c r="Y603">
        <v>3</v>
      </c>
      <c r="Z603">
        <v>4</v>
      </c>
      <c r="AA603">
        <v>80</v>
      </c>
      <c r="AB603">
        <v>0</v>
      </c>
      <c r="AC603">
        <v>10</v>
      </c>
      <c r="AD603">
        <v>6</v>
      </c>
      <c r="AE603">
        <v>3</v>
      </c>
      <c r="AF603">
        <v>1</v>
      </c>
      <c r="AG603">
        <v>0</v>
      </c>
      <c r="AH603">
        <v>0</v>
      </c>
      <c r="AI603">
        <v>0</v>
      </c>
      <c r="AJ603">
        <f t="shared" si="90"/>
        <v>0</v>
      </c>
      <c r="AK603">
        <f t="shared" si="91"/>
        <v>0</v>
      </c>
      <c r="AL603">
        <f t="shared" si="92"/>
        <v>1</v>
      </c>
      <c r="AM603">
        <f t="shared" si="93"/>
        <v>2.75</v>
      </c>
      <c r="AN603">
        <f t="shared" si="94"/>
        <v>30564</v>
      </c>
      <c r="AO603">
        <f t="shared" si="95"/>
        <v>9.0909090909090912E-2</v>
      </c>
      <c r="AP603" t="str">
        <f t="shared" si="96"/>
        <v>40-49</v>
      </c>
      <c r="AQ603" t="str">
        <f t="shared" si="97"/>
        <v>High</v>
      </c>
      <c r="AR603" t="str">
        <f t="shared" si="98"/>
        <v>Long</v>
      </c>
      <c r="AS603">
        <f t="shared" si="99"/>
        <v>1</v>
      </c>
    </row>
    <row r="604" spans="1:4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s="20">
        <v>6877</v>
      </c>
      <c r="T604">
        <v>20234</v>
      </c>
      <c r="U604">
        <v>5</v>
      </c>
      <c r="V604" t="s">
        <v>42</v>
      </c>
      <c r="W604" t="s">
        <v>35</v>
      </c>
      <c r="X604" s="19">
        <v>24</v>
      </c>
      <c r="Y604">
        <v>4</v>
      </c>
      <c r="Z604">
        <v>2</v>
      </c>
      <c r="AA604">
        <v>80</v>
      </c>
      <c r="AB604">
        <v>0</v>
      </c>
      <c r="AC604">
        <v>12</v>
      </c>
      <c r="AD604">
        <v>4</v>
      </c>
      <c r="AE604">
        <v>2</v>
      </c>
      <c r="AF604">
        <v>0</v>
      </c>
      <c r="AG604">
        <v>0</v>
      </c>
      <c r="AH604">
        <v>0</v>
      </c>
      <c r="AI604">
        <v>0</v>
      </c>
      <c r="AJ604">
        <f t="shared" si="90"/>
        <v>0</v>
      </c>
      <c r="AK604">
        <f t="shared" si="91"/>
        <v>1</v>
      </c>
      <c r="AL604">
        <f t="shared" si="92"/>
        <v>0</v>
      </c>
      <c r="AM604">
        <f t="shared" si="93"/>
        <v>2.75</v>
      </c>
      <c r="AN604">
        <f t="shared" si="94"/>
        <v>82524</v>
      </c>
      <c r="AO604">
        <f t="shared" si="95"/>
        <v>0</v>
      </c>
      <c r="AP604" t="str">
        <f t="shared" si="96"/>
        <v>30-39</v>
      </c>
      <c r="AQ604" t="str">
        <f t="shared" si="97"/>
        <v>High</v>
      </c>
      <c r="AR604" t="str">
        <f t="shared" si="98"/>
        <v>Short</v>
      </c>
      <c r="AS604">
        <f t="shared" si="99"/>
        <v>0</v>
      </c>
    </row>
    <row r="605" spans="1:4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s="20">
        <v>2274</v>
      </c>
      <c r="T605">
        <v>6153</v>
      </c>
      <c r="U605">
        <v>1</v>
      </c>
      <c r="V605" t="s">
        <v>42</v>
      </c>
      <c r="W605" t="s">
        <v>43</v>
      </c>
      <c r="X605" s="19">
        <v>14</v>
      </c>
      <c r="Y605">
        <v>3</v>
      </c>
      <c r="Z605">
        <v>4</v>
      </c>
      <c r="AA605">
        <v>80</v>
      </c>
      <c r="AB605">
        <v>0</v>
      </c>
      <c r="AC605">
        <v>1</v>
      </c>
      <c r="AD605">
        <v>3</v>
      </c>
      <c r="AE605">
        <v>3</v>
      </c>
      <c r="AF605">
        <v>1</v>
      </c>
      <c r="AG605">
        <v>0</v>
      </c>
      <c r="AH605">
        <v>0</v>
      </c>
      <c r="AI605">
        <v>0</v>
      </c>
      <c r="AJ605">
        <f t="shared" si="90"/>
        <v>0</v>
      </c>
      <c r="AK605">
        <f t="shared" si="91"/>
        <v>0</v>
      </c>
      <c r="AL605">
        <f t="shared" si="92"/>
        <v>0</v>
      </c>
      <c r="AM605">
        <f t="shared" si="93"/>
        <v>3</v>
      </c>
      <c r="AN605">
        <f t="shared" si="94"/>
        <v>13644</v>
      </c>
      <c r="AO605">
        <f t="shared" si="95"/>
        <v>0.5</v>
      </c>
      <c r="AP605" t="str">
        <f t="shared" si="96"/>
        <v>40-49</v>
      </c>
      <c r="AQ605" t="str">
        <f t="shared" si="97"/>
        <v>Low</v>
      </c>
      <c r="AR605" t="str">
        <f t="shared" si="98"/>
        <v>Short</v>
      </c>
      <c r="AS605">
        <f t="shared" si="99"/>
        <v>0</v>
      </c>
    </row>
    <row r="606" spans="1:4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s="20">
        <v>4434</v>
      </c>
      <c r="T606">
        <v>11806</v>
      </c>
      <c r="U606">
        <v>1</v>
      </c>
      <c r="V606" t="s">
        <v>42</v>
      </c>
      <c r="W606" t="s">
        <v>43</v>
      </c>
      <c r="X606" s="19">
        <v>13</v>
      </c>
      <c r="Y606">
        <v>3</v>
      </c>
      <c r="Z606">
        <v>4</v>
      </c>
      <c r="AA606">
        <v>80</v>
      </c>
      <c r="AB606">
        <v>1</v>
      </c>
      <c r="AC606">
        <v>10</v>
      </c>
      <c r="AD606">
        <v>3</v>
      </c>
      <c r="AE606">
        <v>2</v>
      </c>
      <c r="AF606">
        <v>9</v>
      </c>
      <c r="AG606">
        <v>8</v>
      </c>
      <c r="AH606">
        <v>7</v>
      </c>
      <c r="AI606">
        <v>8</v>
      </c>
      <c r="AJ606">
        <f t="shared" si="90"/>
        <v>0</v>
      </c>
      <c r="AK606">
        <f t="shared" si="91"/>
        <v>0</v>
      </c>
      <c r="AL606">
        <f t="shared" si="92"/>
        <v>1</v>
      </c>
      <c r="AM606">
        <f t="shared" si="93"/>
        <v>2.5</v>
      </c>
      <c r="AN606">
        <f t="shared" si="94"/>
        <v>5320.8</v>
      </c>
      <c r="AO606">
        <f t="shared" si="95"/>
        <v>0.81818181818181823</v>
      </c>
      <c r="AP606" t="str">
        <f t="shared" si="96"/>
        <v>40-49</v>
      </c>
      <c r="AQ606" t="str">
        <f t="shared" si="97"/>
        <v>Medium</v>
      </c>
      <c r="AR606" t="str">
        <f t="shared" si="98"/>
        <v>Long</v>
      </c>
      <c r="AS606">
        <f t="shared" si="99"/>
        <v>0</v>
      </c>
    </row>
    <row r="607" spans="1:4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s="20">
        <v>6288</v>
      </c>
      <c r="T607">
        <v>4284</v>
      </c>
      <c r="U607">
        <v>2</v>
      </c>
      <c r="V607" t="s">
        <v>42</v>
      </c>
      <c r="W607" t="s">
        <v>43</v>
      </c>
      <c r="X607" s="19">
        <v>15</v>
      </c>
      <c r="Y607">
        <v>3</v>
      </c>
      <c r="Z607">
        <v>3</v>
      </c>
      <c r="AA607">
        <v>80</v>
      </c>
      <c r="AB607">
        <v>1</v>
      </c>
      <c r="AC607">
        <v>13</v>
      </c>
      <c r="AD607">
        <v>3</v>
      </c>
      <c r="AE607">
        <v>2</v>
      </c>
      <c r="AF607">
        <v>4</v>
      </c>
      <c r="AG607">
        <v>3</v>
      </c>
      <c r="AH607">
        <v>1</v>
      </c>
      <c r="AI607">
        <v>2</v>
      </c>
      <c r="AJ607">
        <f t="shared" si="90"/>
        <v>0</v>
      </c>
      <c r="AK607">
        <f t="shared" si="91"/>
        <v>0</v>
      </c>
      <c r="AL607">
        <f t="shared" si="92"/>
        <v>1</v>
      </c>
      <c r="AM607">
        <f t="shared" si="93"/>
        <v>1.75</v>
      </c>
      <c r="AN607">
        <f t="shared" si="94"/>
        <v>15091.2</v>
      </c>
      <c r="AO607">
        <f t="shared" si="95"/>
        <v>0.2857142857142857</v>
      </c>
      <c r="AP607" t="str">
        <f t="shared" si="96"/>
        <v>30-39</v>
      </c>
      <c r="AQ607" t="str">
        <f t="shared" si="97"/>
        <v>High</v>
      </c>
      <c r="AR607" t="str">
        <f t="shared" si="98"/>
        <v>Medium</v>
      </c>
      <c r="AS607">
        <f t="shared" si="99"/>
        <v>1</v>
      </c>
    </row>
    <row r="608" spans="1:4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s="20">
        <v>2553</v>
      </c>
      <c r="T608">
        <v>8306</v>
      </c>
      <c r="U608">
        <v>1</v>
      </c>
      <c r="V608" t="s">
        <v>42</v>
      </c>
      <c r="W608" t="s">
        <v>43</v>
      </c>
      <c r="X608" s="19">
        <v>16</v>
      </c>
      <c r="Y608">
        <v>3</v>
      </c>
      <c r="Z608">
        <v>3</v>
      </c>
      <c r="AA608">
        <v>80</v>
      </c>
      <c r="AB608">
        <v>0</v>
      </c>
      <c r="AC608">
        <v>6</v>
      </c>
      <c r="AD608">
        <v>3</v>
      </c>
      <c r="AE608">
        <v>3</v>
      </c>
      <c r="AF608">
        <v>5</v>
      </c>
      <c r="AG608">
        <v>2</v>
      </c>
      <c r="AH608">
        <v>1</v>
      </c>
      <c r="AI608">
        <v>3</v>
      </c>
      <c r="AJ608">
        <f t="shared" si="90"/>
        <v>0</v>
      </c>
      <c r="AK608">
        <f t="shared" si="91"/>
        <v>0</v>
      </c>
      <c r="AL608">
        <f t="shared" si="92"/>
        <v>0</v>
      </c>
      <c r="AM608">
        <f t="shared" si="93"/>
        <v>3.25</v>
      </c>
      <c r="AN608">
        <f t="shared" si="94"/>
        <v>5106</v>
      </c>
      <c r="AO608">
        <f t="shared" si="95"/>
        <v>0.7142857142857143</v>
      </c>
      <c r="AP608" t="str">
        <f t="shared" si="96"/>
        <v>30-39</v>
      </c>
      <c r="AQ608" t="str">
        <f t="shared" si="97"/>
        <v>Low</v>
      </c>
      <c r="AR608" t="str">
        <f t="shared" si="98"/>
        <v>Long</v>
      </c>
      <c r="AS608">
        <f t="shared" si="99"/>
        <v>1</v>
      </c>
    </row>
    <row r="609" spans="1:4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s="20">
        <v>7654</v>
      </c>
      <c r="T609">
        <v>5860</v>
      </c>
      <c r="U609">
        <v>1</v>
      </c>
      <c r="V609" t="s">
        <v>42</v>
      </c>
      <c r="W609" t="s">
        <v>43</v>
      </c>
      <c r="X609" s="19">
        <v>18</v>
      </c>
      <c r="Y609">
        <v>3</v>
      </c>
      <c r="Z609">
        <v>1</v>
      </c>
      <c r="AA609">
        <v>80</v>
      </c>
      <c r="AB609">
        <v>2</v>
      </c>
      <c r="AC609">
        <v>9</v>
      </c>
      <c r="AD609">
        <v>3</v>
      </c>
      <c r="AE609">
        <v>4</v>
      </c>
      <c r="AF609">
        <v>9</v>
      </c>
      <c r="AG609">
        <v>8</v>
      </c>
      <c r="AH609">
        <v>7</v>
      </c>
      <c r="AI609">
        <v>7</v>
      </c>
      <c r="AJ609">
        <f t="shared" si="90"/>
        <v>1</v>
      </c>
      <c r="AK609">
        <f t="shared" si="91"/>
        <v>0</v>
      </c>
      <c r="AL609">
        <f t="shared" si="92"/>
        <v>0</v>
      </c>
      <c r="AM609">
        <f t="shared" si="93"/>
        <v>3</v>
      </c>
      <c r="AN609">
        <f t="shared" si="94"/>
        <v>9184.7999999999993</v>
      </c>
      <c r="AO609">
        <f t="shared" si="95"/>
        <v>0.9</v>
      </c>
      <c r="AP609" t="str">
        <f t="shared" si="96"/>
        <v>40-49</v>
      </c>
      <c r="AQ609" t="str">
        <f t="shared" si="97"/>
        <v>High</v>
      </c>
      <c r="AR609" t="str">
        <f t="shared" si="98"/>
        <v>Medium</v>
      </c>
      <c r="AS609">
        <f t="shared" si="99"/>
        <v>0</v>
      </c>
    </row>
    <row r="610" spans="1:4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s="20">
        <v>5160</v>
      </c>
      <c r="T610">
        <v>21519</v>
      </c>
      <c r="U610">
        <v>4</v>
      </c>
      <c r="V610" t="s">
        <v>42</v>
      </c>
      <c r="W610" t="s">
        <v>43</v>
      </c>
      <c r="X610" s="19">
        <v>16</v>
      </c>
      <c r="Y610">
        <v>3</v>
      </c>
      <c r="Z610">
        <v>3</v>
      </c>
      <c r="AA610">
        <v>80</v>
      </c>
      <c r="AB610">
        <v>0</v>
      </c>
      <c r="AC610">
        <v>12</v>
      </c>
      <c r="AD610">
        <v>3</v>
      </c>
      <c r="AE610">
        <v>2</v>
      </c>
      <c r="AF610">
        <v>9</v>
      </c>
      <c r="AG610">
        <v>7</v>
      </c>
      <c r="AH610">
        <v>7</v>
      </c>
      <c r="AI610">
        <v>3</v>
      </c>
      <c r="AJ610">
        <f t="shared" si="90"/>
        <v>1</v>
      </c>
      <c r="AK610">
        <f t="shared" si="91"/>
        <v>0</v>
      </c>
      <c r="AL610">
        <f t="shared" si="92"/>
        <v>1</v>
      </c>
      <c r="AM610">
        <f t="shared" si="93"/>
        <v>3</v>
      </c>
      <c r="AN610">
        <f t="shared" si="94"/>
        <v>6192</v>
      </c>
      <c r="AO610">
        <f t="shared" si="95"/>
        <v>0.69230769230769229</v>
      </c>
      <c r="AP610" t="str">
        <f t="shared" si="96"/>
        <v>50+</v>
      </c>
      <c r="AQ610" t="str">
        <f t="shared" si="97"/>
        <v>High</v>
      </c>
      <c r="AR610" t="str">
        <f t="shared" si="98"/>
        <v>Short</v>
      </c>
      <c r="AS610">
        <f t="shared" si="99"/>
        <v>0</v>
      </c>
    </row>
    <row r="611" spans="1:4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s="20">
        <v>17159</v>
      </c>
      <c r="T611">
        <v>5200</v>
      </c>
      <c r="U611">
        <v>6</v>
      </c>
      <c r="V611" t="s">
        <v>42</v>
      </c>
      <c r="W611" t="s">
        <v>43</v>
      </c>
      <c r="X611" s="19">
        <v>24</v>
      </c>
      <c r="Y611">
        <v>4</v>
      </c>
      <c r="Z611">
        <v>3</v>
      </c>
      <c r="AA611">
        <v>80</v>
      </c>
      <c r="AB611">
        <v>1</v>
      </c>
      <c r="AC611">
        <v>22</v>
      </c>
      <c r="AD611">
        <v>3</v>
      </c>
      <c r="AE611">
        <v>3</v>
      </c>
      <c r="AF611">
        <v>4</v>
      </c>
      <c r="AG611">
        <v>1</v>
      </c>
      <c r="AH611">
        <v>1</v>
      </c>
      <c r="AI611">
        <v>0</v>
      </c>
      <c r="AJ611">
        <f t="shared" si="90"/>
        <v>0</v>
      </c>
      <c r="AK611">
        <f t="shared" si="91"/>
        <v>0</v>
      </c>
      <c r="AL611">
        <f t="shared" si="92"/>
        <v>1</v>
      </c>
      <c r="AM611">
        <f t="shared" si="93"/>
        <v>2.25</v>
      </c>
      <c r="AN611">
        <f t="shared" si="94"/>
        <v>41181.599999999999</v>
      </c>
      <c r="AO611">
        <f t="shared" si="95"/>
        <v>0.17391304347826086</v>
      </c>
      <c r="AP611" t="str">
        <f t="shared" si="96"/>
        <v>40-49</v>
      </c>
      <c r="AQ611" t="str">
        <f t="shared" si="97"/>
        <v>Very High</v>
      </c>
      <c r="AR611" t="str">
        <f t="shared" si="98"/>
        <v>Medium</v>
      </c>
      <c r="AS611">
        <f t="shared" si="99"/>
        <v>0</v>
      </c>
    </row>
    <row r="612" spans="1:4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s="20">
        <v>12808</v>
      </c>
      <c r="T612">
        <v>8842</v>
      </c>
      <c r="U612">
        <v>1</v>
      </c>
      <c r="V612" t="s">
        <v>42</v>
      </c>
      <c r="W612" t="s">
        <v>35</v>
      </c>
      <c r="X612" s="19">
        <v>16</v>
      </c>
      <c r="Y612">
        <v>3</v>
      </c>
      <c r="Z612">
        <v>2</v>
      </c>
      <c r="AA612">
        <v>80</v>
      </c>
      <c r="AB612">
        <v>1</v>
      </c>
      <c r="AC612">
        <v>9</v>
      </c>
      <c r="AD612">
        <v>3</v>
      </c>
      <c r="AE612">
        <v>3</v>
      </c>
      <c r="AF612">
        <v>9</v>
      </c>
      <c r="AG612">
        <v>8</v>
      </c>
      <c r="AH612">
        <v>0</v>
      </c>
      <c r="AI612">
        <v>8</v>
      </c>
      <c r="AJ612">
        <f t="shared" si="90"/>
        <v>0</v>
      </c>
      <c r="AK612">
        <f t="shared" si="91"/>
        <v>1</v>
      </c>
      <c r="AL612">
        <f t="shared" si="92"/>
        <v>1</v>
      </c>
      <c r="AM612">
        <f t="shared" si="93"/>
        <v>3</v>
      </c>
      <c r="AN612">
        <f t="shared" si="94"/>
        <v>15369.6</v>
      </c>
      <c r="AO612">
        <f t="shared" si="95"/>
        <v>0.9</v>
      </c>
      <c r="AP612" t="str">
        <f t="shared" si="96"/>
        <v>Under 30</v>
      </c>
      <c r="AQ612" t="str">
        <f t="shared" si="97"/>
        <v>Very High</v>
      </c>
      <c r="AR612" t="str">
        <f t="shared" si="98"/>
        <v>Short</v>
      </c>
      <c r="AS612">
        <f t="shared" si="99"/>
        <v>0</v>
      </c>
    </row>
    <row r="613" spans="1:4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s="20">
        <v>10221</v>
      </c>
      <c r="T613">
        <v>18869</v>
      </c>
      <c r="U613">
        <v>3</v>
      </c>
      <c r="V613" t="s">
        <v>42</v>
      </c>
      <c r="W613" t="s">
        <v>43</v>
      </c>
      <c r="X613" s="19">
        <v>21</v>
      </c>
      <c r="Y613">
        <v>4</v>
      </c>
      <c r="Z613">
        <v>2</v>
      </c>
      <c r="AA613">
        <v>80</v>
      </c>
      <c r="AB613">
        <v>0</v>
      </c>
      <c r="AC613">
        <v>17</v>
      </c>
      <c r="AD613">
        <v>3</v>
      </c>
      <c r="AE613">
        <v>4</v>
      </c>
      <c r="AF613">
        <v>8</v>
      </c>
      <c r="AG613">
        <v>5</v>
      </c>
      <c r="AH613">
        <v>1</v>
      </c>
      <c r="AI613">
        <v>6</v>
      </c>
      <c r="AJ613">
        <f t="shared" si="90"/>
        <v>0</v>
      </c>
      <c r="AK613">
        <f t="shared" si="91"/>
        <v>0</v>
      </c>
      <c r="AL613">
        <f t="shared" si="92"/>
        <v>1</v>
      </c>
      <c r="AM613">
        <f t="shared" si="93"/>
        <v>3</v>
      </c>
      <c r="AN613">
        <f t="shared" si="94"/>
        <v>13628</v>
      </c>
      <c r="AO613">
        <f t="shared" si="95"/>
        <v>0.44444444444444442</v>
      </c>
      <c r="AP613" t="str">
        <f t="shared" si="96"/>
        <v>30-39</v>
      </c>
      <c r="AQ613" t="str">
        <f t="shared" si="97"/>
        <v>Very High</v>
      </c>
      <c r="AR613" t="str">
        <f t="shared" si="98"/>
        <v>Medium</v>
      </c>
      <c r="AS613">
        <f t="shared" si="99"/>
        <v>0</v>
      </c>
    </row>
    <row r="614" spans="1:4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s="20">
        <v>4779</v>
      </c>
      <c r="T614">
        <v>3698</v>
      </c>
      <c r="U614">
        <v>1</v>
      </c>
      <c r="V614" t="s">
        <v>42</v>
      </c>
      <c r="W614" t="s">
        <v>35</v>
      </c>
      <c r="X614" s="19">
        <v>20</v>
      </c>
      <c r="Y614">
        <v>4</v>
      </c>
      <c r="Z614">
        <v>1</v>
      </c>
      <c r="AA614">
        <v>80</v>
      </c>
      <c r="AB614">
        <v>0</v>
      </c>
      <c r="AC614">
        <v>8</v>
      </c>
      <c r="AD614">
        <v>2</v>
      </c>
      <c r="AE614">
        <v>3</v>
      </c>
      <c r="AF614">
        <v>8</v>
      </c>
      <c r="AG614">
        <v>7</v>
      </c>
      <c r="AH614">
        <v>7</v>
      </c>
      <c r="AI614">
        <v>5</v>
      </c>
      <c r="AJ614">
        <f t="shared" si="90"/>
        <v>0</v>
      </c>
      <c r="AK614">
        <f t="shared" si="91"/>
        <v>1</v>
      </c>
      <c r="AL614">
        <f t="shared" si="92"/>
        <v>0</v>
      </c>
      <c r="AM614">
        <f t="shared" si="93"/>
        <v>2</v>
      </c>
      <c r="AN614">
        <f t="shared" si="94"/>
        <v>6372</v>
      </c>
      <c r="AO614">
        <f t="shared" si="95"/>
        <v>0.88888888888888884</v>
      </c>
      <c r="AP614" t="str">
        <f t="shared" si="96"/>
        <v>Under 30</v>
      </c>
      <c r="AQ614" t="str">
        <f t="shared" si="97"/>
        <v>Medium</v>
      </c>
      <c r="AR614" t="str">
        <f t="shared" si="98"/>
        <v>Short</v>
      </c>
      <c r="AS614">
        <f t="shared" si="99"/>
        <v>0</v>
      </c>
    </row>
    <row r="615" spans="1:4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s="20">
        <v>3737</v>
      </c>
      <c r="T615">
        <v>2243</v>
      </c>
      <c r="U615">
        <v>0</v>
      </c>
      <c r="V615" t="s">
        <v>42</v>
      </c>
      <c r="W615" t="s">
        <v>43</v>
      </c>
      <c r="X615" s="19">
        <v>19</v>
      </c>
      <c r="Y615">
        <v>3</v>
      </c>
      <c r="Z615">
        <v>3</v>
      </c>
      <c r="AA615">
        <v>80</v>
      </c>
      <c r="AB615">
        <v>1</v>
      </c>
      <c r="AC615">
        <v>4</v>
      </c>
      <c r="AD615">
        <v>1</v>
      </c>
      <c r="AE615">
        <v>1</v>
      </c>
      <c r="AF615">
        <v>3</v>
      </c>
      <c r="AG615">
        <v>2</v>
      </c>
      <c r="AH615">
        <v>0</v>
      </c>
      <c r="AI615">
        <v>2</v>
      </c>
      <c r="AJ615">
        <f t="shared" si="90"/>
        <v>0</v>
      </c>
      <c r="AK615">
        <f t="shared" si="91"/>
        <v>0</v>
      </c>
      <c r="AL615">
        <f t="shared" si="92"/>
        <v>1</v>
      </c>
      <c r="AM615">
        <f t="shared" si="93"/>
        <v>2.75</v>
      </c>
      <c r="AN615">
        <f t="shared" si="94"/>
        <v>11211</v>
      </c>
      <c r="AO615">
        <f t="shared" si="95"/>
        <v>0.6</v>
      </c>
      <c r="AP615" t="str">
        <f t="shared" si="96"/>
        <v>30-39</v>
      </c>
      <c r="AQ615" t="str">
        <f t="shared" si="97"/>
        <v>Medium</v>
      </c>
      <c r="AR615" t="str">
        <f t="shared" si="98"/>
        <v>Short</v>
      </c>
      <c r="AS615">
        <f t="shared" si="99"/>
        <v>0</v>
      </c>
    </row>
    <row r="616" spans="1:4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s="20">
        <v>2366</v>
      </c>
      <c r="T616">
        <v>20898</v>
      </c>
      <c r="U616">
        <v>1</v>
      </c>
      <c r="V616" t="s">
        <v>42</v>
      </c>
      <c r="W616" t="s">
        <v>35</v>
      </c>
      <c r="X616" s="19">
        <v>14</v>
      </c>
      <c r="Y616">
        <v>3</v>
      </c>
      <c r="Z616">
        <v>1</v>
      </c>
      <c r="AA616">
        <v>80</v>
      </c>
      <c r="AB616">
        <v>1</v>
      </c>
      <c r="AC616">
        <v>8</v>
      </c>
      <c r="AD616">
        <v>2</v>
      </c>
      <c r="AE616">
        <v>3</v>
      </c>
      <c r="AF616">
        <v>8</v>
      </c>
      <c r="AG616">
        <v>7</v>
      </c>
      <c r="AH616">
        <v>1</v>
      </c>
      <c r="AI616">
        <v>7</v>
      </c>
      <c r="AJ616">
        <f t="shared" si="90"/>
        <v>1</v>
      </c>
      <c r="AK616">
        <f t="shared" si="91"/>
        <v>1</v>
      </c>
      <c r="AL616">
        <f t="shared" si="92"/>
        <v>0</v>
      </c>
      <c r="AM616">
        <f t="shared" si="93"/>
        <v>2.5</v>
      </c>
      <c r="AN616">
        <f t="shared" si="94"/>
        <v>3154.6666666666665</v>
      </c>
      <c r="AO616">
        <f t="shared" si="95"/>
        <v>0.88888888888888884</v>
      </c>
      <c r="AP616" t="str">
        <f t="shared" si="96"/>
        <v>Under 30</v>
      </c>
      <c r="AQ616" t="str">
        <f t="shared" si="97"/>
        <v>Low</v>
      </c>
      <c r="AR616" t="str">
        <f t="shared" si="98"/>
        <v>Short</v>
      </c>
      <c r="AS616">
        <f t="shared" si="99"/>
        <v>1</v>
      </c>
    </row>
    <row r="617" spans="1:4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s="20">
        <v>1706</v>
      </c>
      <c r="T617">
        <v>16571</v>
      </c>
      <c r="U617">
        <v>1</v>
      </c>
      <c r="V617" t="s">
        <v>42</v>
      </c>
      <c r="W617" t="s">
        <v>43</v>
      </c>
      <c r="X617" s="19">
        <v>11</v>
      </c>
      <c r="Y617">
        <v>3</v>
      </c>
      <c r="Z617">
        <v>3</v>
      </c>
      <c r="AA617">
        <v>80</v>
      </c>
      <c r="AB617">
        <v>3</v>
      </c>
      <c r="AC617">
        <v>0</v>
      </c>
      <c r="AD617">
        <v>6</v>
      </c>
      <c r="AE617">
        <v>2</v>
      </c>
      <c r="AF617">
        <v>0</v>
      </c>
      <c r="AG617">
        <v>0</v>
      </c>
      <c r="AH617">
        <v>0</v>
      </c>
      <c r="AI617">
        <v>0</v>
      </c>
      <c r="AJ617">
        <f t="shared" si="90"/>
        <v>0</v>
      </c>
      <c r="AK617">
        <f t="shared" si="91"/>
        <v>0</v>
      </c>
      <c r="AL617">
        <f t="shared" si="92"/>
        <v>1</v>
      </c>
      <c r="AM617">
        <f t="shared" si="93"/>
        <v>3.25</v>
      </c>
      <c r="AN617">
        <f t="shared" si="94"/>
        <v>20472</v>
      </c>
      <c r="AO617">
        <f t="shared" si="95"/>
        <v>0</v>
      </c>
      <c r="AP617" t="str">
        <f t="shared" si="96"/>
        <v>Under 30</v>
      </c>
      <c r="AQ617" t="str">
        <f t="shared" si="97"/>
        <v>Low</v>
      </c>
      <c r="AR617" t="str">
        <f t="shared" si="98"/>
        <v>Short</v>
      </c>
      <c r="AS617">
        <f t="shared" si="99"/>
        <v>0</v>
      </c>
    </row>
    <row r="618" spans="1:4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s="20">
        <v>16307</v>
      </c>
      <c r="T618">
        <v>5594</v>
      </c>
      <c r="U618">
        <v>2</v>
      </c>
      <c r="V618" t="s">
        <v>42</v>
      </c>
      <c r="W618" t="s">
        <v>43</v>
      </c>
      <c r="X618" s="19">
        <v>14</v>
      </c>
      <c r="Y618">
        <v>3</v>
      </c>
      <c r="Z618">
        <v>3</v>
      </c>
      <c r="AA618">
        <v>80</v>
      </c>
      <c r="AB618">
        <v>1</v>
      </c>
      <c r="AC618">
        <v>29</v>
      </c>
      <c r="AD618">
        <v>2</v>
      </c>
      <c r="AE618">
        <v>2</v>
      </c>
      <c r="AF618">
        <v>20</v>
      </c>
      <c r="AG618">
        <v>6</v>
      </c>
      <c r="AH618">
        <v>4</v>
      </c>
      <c r="AI618">
        <v>17</v>
      </c>
      <c r="AJ618">
        <f t="shared" si="90"/>
        <v>0</v>
      </c>
      <c r="AK618">
        <f t="shared" si="91"/>
        <v>0</v>
      </c>
      <c r="AL618">
        <f t="shared" si="92"/>
        <v>0</v>
      </c>
      <c r="AM618">
        <f t="shared" si="93"/>
        <v>2.25</v>
      </c>
      <c r="AN618">
        <f t="shared" si="94"/>
        <v>9318.2857142857138</v>
      </c>
      <c r="AO618">
        <f t="shared" si="95"/>
        <v>0.66666666666666663</v>
      </c>
      <c r="AP618" t="str">
        <f t="shared" si="96"/>
        <v>50+</v>
      </c>
      <c r="AQ618" t="str">
        <f t="shared" si="97"/>
        <v>Very High</v>
      </c>
      <c r="AR618" t="str">
        <f t="shared" si="98"/>
        <v>Long</v>
      </c>
      <c r="AS618">
        <f t="shared" si="99"/>
        <v>0</v>
      </c>
    </row>
    <row r="619" spans="1:4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s="20">
        <v>5933</v>
      </c>
      <c r="T619">
        <v>5197</v>
      </c>
      <c r="U619">
        <v>9</v>
      </c>
      <c r="V619" t="s">
        <v>42</v>
      </c>
      <c r="W619" t="s">
        <v>43</v>
      </c>
      <c r="X619" s="19">
        <v>12</v>
      </c>
      <c r="Y619">
        <v>3</v>
      </c>
      <c r="Z619">
        <v>4</v>
      </c>
      <c r="AA619">
        <v>80</v>
      </c>
      <c r="AB619">
        <v>0</v>
      </c>
      <c r="AC619">
        <v>10</v>
      </c>
      <c r="AD619">
        <v>2</v>
      </c>
      <c r="AE619">
        <v>2</v>
      </c>
      <c r="AF619">
        <v>5</v>
      </c>
      <c r="AG619">
        <v>2</v>
      </c>
      <c r="AH619">
        <v>2</v>
      </c>
      <c r="AI619">
        <v>3</v>
      </c>
      <c r="AJ619">
        <f t="shared" si="90"/>
        <v>0</v>
      </c>
      <c r="AK619">
        <f t="shared" si="91"/>
        <v>0</v>
      </c>
      <c r="AL619">
        <f t="shared" si="92"/>
        <v>1</v>
      </c>
      <c r="AM619">
        <f t="shared" si="93"/>
        <v>3</v>
      </c>
      <c r="AN619">
        <f t="shared" si="94"/>
        <v>11866</v>
      </c>
      <c r="AO619">
        <f t="shared" si="95"/>
        <v>0.45454545454545453</v>
      </c>
      <c r="AP619" t="str">
        <f t="shared" si="96"/>
        <v>40-49</v>
      </c>
      <c r="AQ619" t="str">
        <f t="shared" si="97"/>
        <v>High</v>
      </c>
      <c r="AR619" t="str">
        <f t="shared" si="98"/>
        <v>Short</v>
      </c>
      <c r="AS619">
        <f t="shared" si="99"/>
        <v>0</v>
      </c>
    </row>
    <row r="620" spans="1:4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s="20">
        <v>3424</v>
      </c>
      <c r="T620">
        <v>21632</v>
      </c>
      <c r="U620">
        <v>7</v>
      </c>
      <c r="V620" t="s">
        <v>42</v>
      </c>
      <c r="W620" t="s">
        <v>43</v>
      </c>
      <c r="X620" s="19">
        <v>13</v>
      </c>
      <c r="Y620">
        <v>3</v>
      </c>
      <c r="Z620">
        <v>3</v>
      </c>
      <c r="AA620">
        <v>80</v>
      </c>
      <c r="AB620">
        <v>0</v>
      </c>
      <c r="AC620">
        <v>6</v>
      </c>
      <c r="AD620">
        <v>3</v>
      </c>
      <c r="AE620">
        <v>2</v>
      </c>
      <c r="AF620">
        <v>4</v>
      </c>
      <c r="AG620">
        <v>3</v>
      </c>
      <c r="AH620">
        <v>0</v>
      </c>
      <c r="AI620">
        <v>1</v>
      </c>
      <c r="AJ620">
        <f t="shared" si="90"/>
        <v>0</v>
      </c>
      <c r="AK620">
        <f t="shared" si="91"/>
        <v>0</v>
      </c>
      <c r="AL620">
        <f t="shared" si="92"/>
        <v>1</v>
      </c>
      <c r="AM620">
        <f t="shared" si="93"/>
        <v>1.75</v>
      </c>
      <c r="AN620">
        <f t="shared" si="94"/>
        <v>8217.6</v>
      </c>
      <c r="AO620">
        <f t="shared" si="95"/>
        <v>0.5714285714285714</v>
      </c>
      <c r="AP620" t="str">
        <f t="shared" si="96"/>
        <v>Under 30</v>
      </c>
      <c r="AQ620" t="str">
        <f t="shared" si="97"/>
        <v>Medium</v>
      </c>
      <c r="AR620" t="str">
        <f t="shared" si="98"/>
        <v>Short</v>
      </c>
      <c r="AS620">
        <f t="shared" si="99"/>
        <v>0</v>
      </c>
    </row>
    <row r="621" spans="1:4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s="20">
        <v>4037</v>
      </c>
      <c r="T621">
        <v>21816</v>
      </c>
      <c r="U621">
        <v>1</v>
      </c>
      <c r="V621" t="s">
        <v>42</v>
      </c>
      <c r="W621" t="s">
        <v>43</v>
      </c>
      <c r="X621" s="19">
        <v>22</v>
      </c>
      <c r="Y621">
        <v>4</v>
      </c>
      <c r="Z621">
        <v>1</v>
      </c>
      <c r="AA621">
        <v>80</v>
      </c>
      <c r="AB621">
        <v>1</v>
      </c>
      <c r="AC621">
        <v>9</v>
      </c>
      <c r="AD621">
        <v>5</v>
      </c>
      <c r="AE621">
        <v>3</v>
      </c>
      <c r="AF621">
        <v>9</v>
      </c>
      <c r="AG621">
        <v>8</v>
      </c>
      <c r="AH621">
        <v>0</v>
      </c>
      <c r="AI621">
        <v>8</v>
      </c>
      <c r="AJ621">
        <f t="shared" si="90"/>
        <v>0</v>
      </c>
      <c r="AK621">
        <f t="shared" si="91"/>
        <v>0</v>
      </c>
      <c r="AL621">
        <f t="shared" si="92"/>
        <v>1</v>
      </c>
      <c r="AM621">
        <f t="shared" si="93"/>
        <v>1.5</v>
      </c>
      <c r="AN621">
        <f t="shared" si="94"/>
        <v>4844.3999999999996</v>
      </c>
      <c r="AO621">
        <f t="shared" si="95"/>
        <v>0.9</v>
      </c>
      <c r="AP621" t="str">
        <f t="shared" si="96"/>
        <v>30-39</v>
      </c>
      <c r="AQ621" t="str">
        <f t="shared" si="97"/>
        <v>Medium</v>
      </c>
      <c r="AR621" t="str">
        <f t="shared" si="98"/>
        <v>Short</v>
      </c>
      <c r="AS621">
        <f t="shared" si="99"/>
        <v>0</v>
      </c>
    </row>
    <row r="622" spans="1:4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s="20">
        <v>2559</v>
      </c>
      <c r="T622">
        <v>17852</v>
      </c>
      <c r="U622">
        <v>1</v>
      </c>
      <c r="V622" t="s">
        <v>42</v>
      </c>
      <c r="W622" t="s">
        <v>43</v>
      </c>
      <c r="X622" s="19">
        <v>11</v>
      </c>
      <c r="Y622">
        <v>3</v>
      </c>
      <c r="Z622">
        <v>4</v>
      </c>
      <c r="AA622">
        <v>80</v>
      </c>
      <c r="AB622">
        <v>0</v>
      </c>
      <c r="AC622">
        <v>6</v>
      </c>
      <c r="AD622">
        <v>3</v>
      </c>
      <c r="AE622">
        <v>2</v>
      </c>
      <c r="AF622">
        <v>6</v>
      </c>
      <c r="AG622">
        <v>5</v>
      </c>
      <c r="AH622">
        <v>1</v>
      </c>
      <c r="AI622">
        <v>1</v>
      </c>
      <c r="AJ622">
        <f t="shared" si="90"/>
        <v>0</v>
      </c>
      <c r="AK622">
        <f t="shared" si="91"/>
        <v>0</v>
      </c>
      <c r="AL622">
        <f t="shared" si="92"/>
        <v>0</v>
      </c>
      <c r="AM622">
        <f t="shared" si="93"/>
        <v>2.5</v>
      </c>
      <c r="AN622">
        <f t="shared" si="94"/>
        <v>4386.8571428571431</v>
      </c>
      <c r="AO622">
        <f t="shared" si="95"/>
        <v>0.8571428571428571</v>
      </c>
      <c r="AP622" t="str">
        <f t="shared" si="96"/>
        <v>30-39</v>
      </c>
      <c r="AQ622" t="str">
        <f t="shared" si="97"/>
        <v>Low</v>
      </c>
      <c r="AR622" t="str">
        <f t="shared" si="98"/>
        <v>Long</v>
      </c>
      <c r="AS622">
        <f t="shared" si="99"/>
        <v>0</v>
      </c>
    </row>
    <row r="623" spans="1:4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s="20">
        <v>6201</v>
      </c>
      <c r="T623">
        <v>2823</v>
      </c>
      <c r="U623">
        <v>1</v>
      </c>
      <c r="V623" t="s">
        <v>42</v>
      </c>
      <c r="W623" t="s">
        <v>35</v>
      </c>
      <c r="X623" s="19">
        <v>14</v>
      </c>
      <c r="Y623">
        <v>3</v>
      </c>
      <c r="Z623">
        <v>4</v>
      </c>
      <c r="AA623">
        <v>80</v>
      </c>
      <c r="AB623">
        <v>1</v>
      </c>
      <c r="AC623">
        <v>18</v>
      </c>
      <c r="AD623">
        <v>1</v>
      </c>
      <c r="AE623">
        <v>2</v>
      </c>
      <c r="AF623">
        <v>18</v>
      </c>
      <c r="AG623">
        <v>14</v>
      </c>
      <c r="AH623">
        <v>4</v>
      </c>
      <c r="AI623">
        <v>11</v>
      </c>
      <c r="AJ623">
        <f t="shared" si="90"/>
        <v>0</v>
      </c>
      <c r="AK623">
        <f t="shared" si="91"/>
        <v>1</v>
      </c>
      <c r="AL623">
        <f t="shared" si="92"/>
        <v>1</v>
      </c>
      <c r="AM623">
        <f t="shared" si="93"/>
        <v>3</v>
      </c>
      <c r="AN623">
        <f t="shared" si="94"/>
        <v>3916.4210526315787</v>
      </c>
      <c r="AO623">
        <f t="shared" si="95"/>
        <v>0.94736842105263153</v>
      </c>
      <c r="AP623" t="str">
        <f t="shared" si="96"/>
        <v>30-39</v>
      </c>
      <c r="AQ623" t="str">
        <f t="shared" si="97"/>
        <v>High</v>
      </c>
      <c r="AR623" t="str">
        <f t="shared" si="98"/>
        <v>Short</v>
      </c>
      <c r="AS623">
        <f t="shared" si="99"/>
        <v>0</v>
      </c>
    </row>
    <row r="624" spans="1:4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s="20">
        <v>4403</v>
      </c>
      <c r="T624">
        <v>9250</v>
      </c>
      <c r="U624">
        <v>2</v>
      </c>
      <c r="V624" t="s">
        <v>42</v>
      </c>
      <c r="W624" t="s">
        <v>43</v>
      </c>
      <c r="X624" s="19">
        <v>11</v>
      </c>
      <c r="Y624">
        <v>3</v>
      </c>
      <c r="Z624">
        <v>3</v>
      </c>
      <c r="AA624">
        <v>80</v>
      </c>
      <c r="AB624">
        <v>1</v>
      </c>
      <c r="AC624">
        <v>8</v>
      </c>
      <c r="AD624">
        <v>3</v>
      </c>
      <c r="AE624">
        <v>2</v>
      </c>
      <c r="AF624">
        <v>5</v>
      </c>
      <c r="AG624">
        <v>2</v>
      </c>
      <c r="AH624">
        <v>0</v>
      </c>
      <c r="AI624">
        <v>3</v>
      </c>
      <c r="AJ624">
        <f t="shared" si="90"/>
        <v>0</v>
      </c>
      <c r="AK624">
        <f t="shared" si="91"/>
        <v>0</v>
      </c>
      <c r="AL624">
        <f t="shared" si="92"/>
        <v>1</v>
      </c>
      <c r="AM624">
        <f t="shared" si="93"/>
        <v>2.75</v>
      </c>
      <c r="AN624">
        <f t="shared" si="94"/>
        <v>8806</v>
      </c>
      <c r="AO624">
        <f t="shared" si="95"/>
        <v>0.55555555555555558</v>
      </c>
      <c r="AP624" t="str">
        <f t="shared" si="96"/>
        <v>30-39</v>
      </c>
      <c r="AQ624" t="str">
        <f t="shared" si="97"/>
        <v>Medium</v>
      </c>
      <c r="AR624" t="str">
        <f t="shared" si="98"/>
        <v>Medium</v>
      </c>
      <c r="AS624">
        <f t="shared" si="99"/>
        <v>0</v>
      </c>
    </row>
    <row r="625" spans="1:4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s="20">
        <v>3761</v>
      </c>
      <c r="T625">
        <v>2373</v>
      </c>
      <c r="U625">
        <v>9</v>
      </c>
      <c r="V625" t="s">
        <v>42</v>
      </c>
      <c r="W625" t="s">
        <v>43</v>
      </c>
      <c r="X625" s="19">
        <v>12</v>
      </c>
      <c r="Y625">
        <v>3</v>
      </c>
      <c r="Z625">
        <v>2</v>
      </c>
      <c r="AA625">
        <v>80</v>
      </c>
      <c r="AB625">
        <v>1</v>
      </c>
      <c r="AC625">
        <v>10</v>
      </c>
      <c r="AD625">
        <v>3</v>
      </c>
      <c r="AE625">
        <v>2</v>
      </c>
      <c r="AF625">
        <v>5</v>
      </c>
      <c r="AG625">
        <v>4</v>
      </c>
      <c r="AH625">
        <v>0</v>
      </c>
      <c r="AI625">
        <v>3</v>
      </c>
      <c r="AJ625">
        <f t="shared" si="90"/>
        <v>0</v>
      </c>
      <c r="AK625">
        <f t="shared" si="91"/>
        <v>0</v>
      </c>
      <c r="AL625">
        <f t="shared" si="92"/>
        <v>1</v>
      </c>
      <c r="AM625">
        <f t="shared" si="93"/>
        <v>2.5</v>
      </c>
      <c r="AN625">
        <f t="shared" si="94"/>
        <v>7522</v>
      </c>
      <c r="AO625">
        <f t="shared" si="95"/>
        <v>0.45454545454545453</v>
      </c>
      <c r="AP625" t="str">
        <f t="shared" si="96"/>
        <v>30-39</v>
      </c>
      <c r="AQ625" t="str">
        <f t="shared" si="97"/>
        <v>Medium</v>
      </c>
      <c r="AR625" t="str">
        <f t="shared" si="98"/>
        <v>Short</v>
      </c>
      <c r="AS625">
        <f t="shared" si="99"/>
        <v>1</v>
      </c>
    </row>
    <row r="626" spans="1:4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s="20">
        <v>10934</v>
      </c>
      <c r="T626">
        <v>20715</v>
      </c>
      <c r="U626">
        <v>7</v>
      </c>
      <c r="V626" t="s">
        <v>42</v>
      </c>
      <c r="W626" t="s">
        <v>35</v>
      </c>
      <c r="X626" s="19">
        <v>18</v>
      </c>
      <c r="Y626">
        <v>3</v>
      </c>
      <c r="Z626">
        <v>4</v>
      </c>
      <c r="AA626">
        <v>80</v>
      </c>
      <c r="AB626">
        <v>1</v>
      </c>
      <c r="AC626">
        <v>35</v>
      </c>
      <c r="AD626">
        <v>3</v>
      </c>
      <c r="AE626">
        <v>3</v>
      </c>
      <c r="AF626">
        <v>5</v>
      </c>
      <c r="AG626">
        <v>2</v>
      </c>
      <c r="AH626">
        <v>0</v>
      </c>
      <c r="AI626">
        <v>4</v>
      </c>
      <c r="AJ626">
        <f t="shared" si="90"/>
        <v>0</v>
      </c>
      <c r="AK626">
        <f t="shared" si="91"/>
        <v>1</v>
      </c>
      <c r="AL626">
        <f t="shared" si="92"/>
        <v>0</v>
      </c>
      <c r="AM626">
        <f t="shared" si="93"/>
        <v>3</v>
      </c>
      <c r="AN626">
        <f t="shared" si="94"/>
        <v>21868</v>
      </c>
      <c r="AO626">
        <f t="shared" si="95"/>
        <v>0.1388888888888889</v>
      </c>
      <c r="AP626" t="str">
        <f t="shared" si="96"/>
        <v>50+</v>
      </c>
      <c r="AQ626" t="str">
        <f t="shared" si="97"/>
        <v>Very High</v>
      </c>
      <c r="AR626" t="str">
        <f t="shared" si="98"/>
        <v>Medium</v>
      </c>
      <c r="AS626">
        <f t="shared" si="99"/>
        <v>0</v>
      </c>
    </row>
    <row r="627" spans="1:4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s="20">
        <v>10761</v>
      </c>
      <c r="T627">
        <v>19239</v>
      </c>
      <c r="U627">
        <v>4</v>
      </c>
      <c r="V627" t="s">
        <v>42</v>
      </c>
      <c r="W627" t="s">
        <v>35</v>
      </c>
      <c r="X627" s="19">
        <v>12</v>
      </c>
      <c r="Y627">
        <v>3</v>
      </c>
      <c r="Z627">
        <v>3</v>
      </c>
      <c r="AA627">
        <v>80</v>
      </c>
      <c r="AB627">
        <v>1</v>
      </c>
      <c r="AC627">
        <v>18</v>
      </c>
      <c r="AD627">
        <v>2</v>
      </c>
      <c r="AE627">
        <v>3</v>
      </c>
      <c r="AF627">
        <v>5</v>
      </c>
      <c r="AG627">
        <v>4</v>
      </c>
      <c r="AH627">
        <v>0</v>
      </c>
      <c r="AI627">
        <v>2</v>
      </c>
      <c r="AJ627">
        <f t="shared" si="90"/>
        <v>0</v>
      </c>
      <c r="AK627">
        <f t="shared" si="91"/>
        <v>1</v>
      </c>
      <c r="AL627">
        <f t="shared" si="92"/>
        <v>1</v>
      </c>
      <c r="AM627">
        <f t="shared" si="93"/>
        <v>2.75</v>
      </c>
      <c r="AN627">
        <f t="shared" si="94"/>
        <v>21522</v>
      </c>
      <c r="AO627">
        <f t="shared" si="95"/>
        <v>0.26315789473684209</v>
      </c>
      <c r="AP627" t="str">
        <f t="shared" si="96"/>
        <v>40-49</v>
      </c>
      <c r="AQ627" t="str">
        <f t="shared" si="97"/>
        <v>Very High</v>
      </c>
      <c r="AR627" t="str">
        <f t="shared" si="98"/>
        <v>Medium</v>
      </c>
      <c r="AS627">
        <f t="shared" si="99"/>
        <v>0</v>
      </c>
    </row>
    <row r="628" spans="1:4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s="20">
        <v>5175</v>
      </c>
      <c r="T628">
        <v>22162</v>
      </c>
      <c r="U628">
        <v>5</v>
      </c>
      <c r="V628" t="s">
        <v>42</v>
      </c>
      <c r="W628" t="s">
        <v>43</v>
      </c>
      <c r="X628" s="19">
        <v>12</v>
      </c>
      <c r="Y628">
        <v>3</v>
      </c>
      <c r="Z628">
        <v>3</v>
      </c>
      <c r="AA628">
        <v>80</v>
      </c>
      <c r="AB628">
        <v>1</v>
      </c>
      <c r="AC628">
        <v>9</v>
      </c>
      <c r="AD628">
        <v>3</v>
      </c>
      <c r="AE628">
        <v>2</v>
      </c>
      <c r="AF628">
        <v>5</v>
      </c>
      <c r="AG628">
        <v>3</v>
      </c>
      <c r="AH628">
        <v>1</v>
      </c>
      <c r="AI628">
        <v>3</v>
      </c>
      <c r="AJ628">
        <f t="shared" si="90"/>
        <v>0</v>
      </c>
      <c r="AK628">
        <f t="shared" si="91"/>
        <v>0</v>
      </c>
      <c r="AL628">
        <f t="shared" si="92"/>
        <v>0</v>
      </c>
      <c r="AM628">
        <f t="shared" si="93"/>
        <v>2.75</v>
      </c>
      <c r="AN628">
        <f t="shared" si="94"/>
        <v>10350</v>
      </c>
      <c r="AO628">
        <f t="shared" si="95"/>
        <v>0.5</v>
      </c>
      <c r="AP628" t="str">
        <f t="shared" si="96"/>
        <v>30-39</v>
      </c>
      <c r="AQ628" t="str">
        <f t="shared" si="97"/>
        <v>High</v>
      </c>
      <c r="AR628" t="str">
        <f t="shared" si="98"/>
        <v>Medium</v>
      </c>
      <c r="AS628">
        <f t="shared" si="99"/>
        <v>0</v>
      </c>
    </row>
    <row r="629" spans="1:4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s="20">
        <v>13826</v>
      </c>
      <c r="T629">
        <v>19028</v>
      </c>
      <c r="U629">
        <v>3</v>
      </c>
      <c r="V629" t="s">
        <v>42</v>
      </c>
      <c r="W629" t="s">
        <v>43</v>
      </c>
      <c r="X629" s="19">
        <v>22</v>
      </c>
      <c r="Y629">
        <v>4</v>
      </c>
      <c r="Z629">
        <v>3</v>
      </c>
      <c r="AA629">
        <v>80</v>
      </c>
      <c r="AB629">
        <v>0</v>
      </c>
      <c r="AC629">
        <v>31</v>
      </c>
      <c r="AD629">
        <v>3</v>
      </c>
      <c r="AE629">
        <v>3</v>
      </c>
      <c r="AF629">
        <v>9</v>
      </c>
      <c r="AG629">
        <v>8</v>
      </c>
      <c r="AH629">
        <v>0</v>
      </c>
      <c r="AI629">
        <v>0</v>
      </c>
      <c r="AJ629">
        <f t="shared" si="90"/>
        <v>0</v>
      </c>
      <c r="AK629">
        <f t="shared" si="91"/>
        <v>0</v>
      </c>
      <c r="AL629">
        <f t="shared" si="92"/>
        <v>0</v>
      </c>
      <c r="AM629">
        <f t="shared" si="93"/>
        <v>3.25</v>
      </c>
      <c r="AN629">
        <f t="shared" si="94"/>
        <v>16591.2</v>
      </c>
      <c r="AO629">
        <f t="shared" si="95"/>
        <v>0.28125</v>
      </c>
      <c r="AP629" t="str">
        <f t="shared" si="96"/>
        <v>50+</v>
      </c>
      <c r="AQ629" t="str">
        <f t="shared" si="97"/>
        <v>Very High</v>
      </c>
      <c r="AR629" t="str">
        <f t="shared" si="98"/>
        <v>Long</v>
      </c>
      <c r="AS629">
        <f t="shared" si="99"/>
        <v>1</v>
      </c>
    </row>
    <row r="630" spans="1:4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s="20">
        <v>6334</v>
      </c>
      <c r="T630">
        <v>24558</v>
      </c>
      <c r="U630">
        <v>4</v>
      </c>
      <c r="V630" t="s">
        <v>42</v>
      </c>
      <c r="W630" t="s">
        <v>43</v>
      </c>
      <c r="X630" s="19">
        <v>19</v>
      </c>
      <c r="Y630">
        <v>3</v>
      </c>
      <c r="Z630">
        <v>4</v>
      </c>
      <c r="AA630">
        <v>80</v>
      </c>
      <c r="AB630">
        <v>2</v>
      </c>
      <c r="AC630">
        <v>9</v>
      </c>
      <c r="AD630">
        <v>2</v>
      </c>
      <c r="AE630">
        <v>3</v>
      </c>
      <c r="AF630">
        <v>1</v>
      </c>
      <c r="AG630">
        <v>0</v>
      </c>
      <c r="AH630">
        <v>0</v>
      </c>
      <c r="AI630">
        <v>0</v>
      </c>
      <c r="AJ630">
        <f t="shared" si="90"/>
        <v>0</v>
      </c>
      <c r="AK630">
        <f t="shared" si="91"/>
        <v>0</v>
      </c>
      <c r="AL630">
        <f t="shared" si="92"/>
        <v>1</v>
      </c>
      <c r="AM630">
        <f t="shared" si="93"/>
        <v>3.5</v>
      </c>
      <c r="AN630">
        <f t="shared" si="94"/>
        <v>38004</v>
      </c>
      <c r="AO630">
        <f t="shared" si="95"/>
        <v>0.1</v>
      </c>
      <c r="AP630" t="str">
        <f t="shared" si="96"/>
        <v>30-39</v>
      </c>
      <c r="AQ630" t="str">
        <f t="shared" si="97"/>
        <v>High</v>
      </c>
      <c r="AR630" t="str">
        <f t="shared" si="98"/>
        <v>Long</v>
      </c>
      <c r="AS630">
        <f t="shared" si="99"/>
        <v>0</v>
      </c>
    </row>
    <row r="631" spans="1:4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s="20">
        <v>4936</v>
      </c>
      <c r="T631">
        <v>23965</v>
      </c>
      <c r="U631">
        <v>1</v>
      </c>
      <c r="V631" t="s">
        <v>42</v>
      </c>
      <c r="W631" t="s">
        <v>43</v>
      </c>
      <c r="X631" s="19">
        <v>13</v>
      </c>
      <c r="Y631">
        <v>3</v>
      </c>
      <c r="Z631">
        <v>4</v>
      </c>
      <c r="AA631">
        <v>80</v>
      </c>
      <c r="AB631">
        <v>1</v>
      </c>
      <c r="AC631">
        <v>6</v>
      </c>
      <c r="AD631">
        <v>6</v>
      </c>
      <c r="AE631">
        <v>3</v>
      </c>
      <c r="AF631">
        <v>5</v>
      </c>
      <c r="AG631">
        <v>1</v>
      </c>
      <c r="AH631">
        <v>0</v>
      </c>
      <c r="AI631">
        <v>4</v>
      </c>
      <c r="AJ631">
        <f t="shared" si="90"/>
        <v>0</v>
      </c>
      <c r="AK631">
        <f t="shared" si="91"/>
        <v>0</v>
      </c>
      <c r="AL631">
        <f t="shared" si="92"/>
        <v>1</v>
      </c>
      <c r="AM631">
        <f t="shared" si="93"/>
        <v>3.25</v>
      </c>
      <c r="AN631">
        <f t="shared" si="94"/>
        <v>9872</v>
      </c>
      <c r="AO631">
        <f t="shared" si="95"/>
        <v>0.7142857142857143</v>
      </c>
      <c r="AP631" t="str">
        <f t="shared" si="96"/>
        <v>Under 30</v>
      </c>
      <c r="AQ631" t="str">
        <f t="shared" si="97"/>
        <v>High</v>
      </c>
      <c r="AR631" t="str">
        <f t="shared" si="98"/>
        <v>Medium</v>
      </c>
      <c r="AS631">
        <f t="shared" si="99"/>
        <v>0</v>
      </c>
    </row>
    <row r="632" spans="1:4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s="20">
        <v>4775</v>
      </c>
      <c r="T632">
        <v>19146</v>
      </c>
      <c r="U632">
        <v>6</v>
      </c>
      <c r="V632" t="s">
        <v>42</v>
      </c>
      <c r="W632" t="s">
        <v>43</v>
      </c>
      <c r="X632" s="19">
        <v>22</v>
      </c>
      <c r="Y632">
        <v>4</v>
      </c>
      <c r="Z632">
        <v>1</v>
      </c>
      <c r="AA632">
        <v>80</v>
      </c>
      <c r="AB632">
        <v>2</v>
      </c>
      <c r="AC632">
        <v>4</v>
      </c>
      <c r="AD632">
        <v>2</v>
      </c>
      <c r="AE632">
        <v>1</v>
      </c>
      <c r="AF632">
        <v>2</v>
      </c>
      <c r="AG632">
        <v>2</v>
      </c>
      <c r="AH632">
        <v>2</v>
      </c>
      <c r="AI632">
        <v>2</v>
      </c>
      <c r="AJ632">
        <f t="shared" si="90"/>
        <v>0</v>
      </c>
      <c r="AK632">
        <f t="shared" si="91"/>
        <v>0</v>
      </c>
      <c r="AL632">
        <f t="shared" si="92"/>
        <v>1</v>
      </c>
      <c r="AM632">
        <f t="shared" si="93"/>
        <v>2.5</v>
      </c>
      <c r="AN632">
        <f t="shared" si="94"/>
        <v>19100</v>
      </c>
      <c r="AO632">
        <f t="shared" si="95"/>
        <v>0.4</v>
      </c>
      <c r="AP632" t="str">
        <f t="shared" si="96"/>
        <v>Under 30</v>
      </c>
      <c r="AQ632" t="str">
        <f t="shared" si="97"/>
        <v>Medium</v>
      </c>
      <c r="AR632" t="str">
        <f t="shared" si="98"/>
        <v>Short</v>
      </c>
      <c r="AS632">
        <f t="shared" si="99"/>
        <v>0</v>
      </c>
    </row>
    <row r="633" spans="1:4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s="20">
        <v>2818</v>
      </c>
      <c r="T633">
        <v>5044</v>
      </c>
      <c r="U633">
        <v>2</v>
      </c>
      <c r="V633" t="s">
        <v>42</v>
      </c>
      <c r="W633" t="s">
        <v>35</v>
      </c>
      <c r="X633" s="19">
        <v>24</v>
      </c>
      <c r="Y633">
        <v>4</v>
      </c>
      <c r="Z633">
        <v>3</v>
      </c>
      <c r="AA633">
        <v>80</v>
      </c>
      <c r="AB633">
        <v>1</v>
      </c>
      <c r="AC633">
        <v>10</v>
      </c>
      <c r="AD633">
        <v>2</v>
      </c>
      <c r="AE633">
        <v>2</v>
      </c>
      <c r="AF633">
        <v>3</v>
      </c>
      <c r="AG633">
        <v>2</v>
      </c>
      <c r="AH633">
        <v>0</v>
      </c>
      <c r="AI633">
        <v>2</v>
      </c>
      <c r="AJ633">
        <f t="shared" si="90"/>
        <v>0</v>
      </c>
      <c r="AK633">
        <f t="shared" si="91"/>
        <v>1</v>
      </c>
      <c r="AL633">
        <f t="shared" si="92"/>
        <v>1</v>
      </c>
      <c r="AM633">
        <f t="shared" si="93"/>
        <v>2.5</v>
      </c>
      <c r="AN633">
        <f t="shared" si="94"/>
        <v>8454</v>
      </c>
      <c r="AO633">
        <f t="shared" si="95"/>
        <v>0.27272727272727271</v>
      </c>
      <c r="AP633" t="str">
        <f t="shared" si="96"/>
        <v>40-49</v>
      </c>
      <c r="AQ633" t="str">
        <f t="shared" si="97"/>
        <v>Low</v>
      </c>
      <c r="AR633" t="str">
        <f t="shared" si="98"/>
        <v>Medium</v>
      </c>
      <c r="AS633">
        <f t="shared" si="99"/>
        <v>0</v>
      </c>
    </row>
    <row r="634" spans="1:4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s="20">
        <v>2515</v>
      </c>
      <c r="T634">
        <v>9068</v>
      </c>
      <c r="U634">
        <v>5</v>
      </c>
      <c r="V634" t="s">
        <v>42</v>
      </c>
      <c r="W634" t="s">
        <v>35</v>
      </c>
      <c r="X634" s="19">
        <v>14</v>
      </c>
      <c r="Y634">
        <v>3</v>
      </c>
      <c r="Z634">
        <v>4</v>
      </c>
      <c r="AA634">
        <v>80</v>
      </c>
      <c r="AB634">
        <v>0</v>
      </c>
      <c r="AC634">
        <v>8</v>
      </c>
      <c r="AD634">
        <v>2</v>
      </c>
      <c r="AE634">
        <v>3</v>
      </c>
      <c r="AF634">
        <v>2</v>
      </c>
      <c r="AG634">
        <v>1</v>
      </c>
      <c r="AH634">
        <v>2</v>
      </c>
      <c r="AI634">
        <v>2</v>
      </c>
      <c r="AJ634">
        <f t="shared" si="90"/>
        <v>0</v>
      </c>
      <c r="AK634">
        <f t="shared" si="91"/>
        <v>1</v>
      </c>
      <c r="AL634">
        <f t="shared" si="92"/>
        <v>1</v>
      </c>
      <c r="AM634">
        <f t="shared" si="93"/>
        <v>3.25</v>
      </c>
      <c r="AN634">
        <f t="shared" si="94"/>
        <v>10060</v>
      </c>
      <c r="AO634">
        <f t="shared" si="95"/>
        <v>0.22222222222222221</v>
      </c>
      <c r="AP634" t="str">
        <f t="shared" si="96"/>
        <v>40-49</v>
      </c>
      <c r="AQ634" t="str">
        <f t="shared" si="97"/>
        <v>Low</v>
      </c>
      <c r="AR634" t="str">
        <f t="shared" si="98"/>
        <v>Short</v>
      </c>
      <c r="AS634">
        <f t="shared" si="99"/>
        <v>1</v>
      </c>
    </row>
    <row r="635" spans="1:4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s="20">
        <v>2342</v>
      </c>
      <c r="T635">
        <v>8635</v>
      </c>
      <c r="U635">
        <v>0</v>
      </c>
      <c r="V635" t="s">
        <v>42</v>
      </c>
      <c r="W635" t="s">
        <v>43</v>
      </c>
      <c r="X635" s="19">
        <v>21</v>
      </c>
      <c r="Y635">
        <v>4</v>
      </c>
      <c r="Z635">
        <v>3</v>
      </c>
      <c r="AA635">
        <v>80</v>
      </c>
      <c r="AB635">
        <v>0</v>
      </c>
      <c r="AC635">
        <v>6</v>
      </c>
      <c r="AD635">
        <v>3</v>
      </c>
      <c r="AE635">
        <v>3</v>
      </c>
      <c r="AF635">
        <v>5</v>
      </c>
      <c r="AG635">
        <v>4</v>
      </c>
      <c r="AH635">
        <v>0</v>
      </c>
      <c r="AI635">
        <v>3</v>
      </c>
      <c r="AJ635">
        <f t="shared" si="90"/>
        <v>0</v>
      </c>
      <c r="AK635">
        <f t="shared" si="91"/>
        <v>0</v>
      </c>
      <c r="AL635">
        <f t="shared" si="92"/>
        <v>1</v>
      </c>
      <c r="AM635">
        <f t="shared" si="93"/>
        <v>2</v>
      </c>
      <c r="AN635">
        <f t="shared" si="94"/>
        <v>4684</v>
      </c>
      <c r="AO635">
        <f t="shared" si="95"/>
        <v>0.7142857142857143</v>
      </c>
      <c r="AP635" t="str">
        <f t="shared" si="96"/>
        <v>30-39</v>
      </c>
      <c r="AQ635" t="str">
        <f t="shared" si="97"/>
        <v>Low</v>
      </c>
      <c r="AR635" t="str">
        <f t="shared" si="98"/>
        <v>Medium</v>
      </c>
      <c r="AS635">
        <f t="shared" si="99"/>
        <v>0</v>
      </c>
    </row>
    <row r="636" spans="1:4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s="20">
        <v>4194</v>
      </c>
      <c r="T636">
        <v>14363</v>
      </c>
      <c r="U636">
        <v>1</v>
      </c>
      <c r="V636" t="s">
        <v>42</v>
      </c>
      <c r="W636" t="s">
        <v>35</v>
      </c>
      <c r="X636" s="19">
        <v>18</v>
      </c>
      <c r="Y636">
        <v>3</v>
      </c>
      <c r="Z636">
        <v>4</v>
      </c>
      <c r="AA636">
        <v>80</v>
      </c>
      <c r="AB636">
        <v>0</v>
      </c>
      <c r="AC636">
        <v>5</v>
      </c>
      <c r="AD636">
        <v>3</v>
      </c>
      <c r="AE636">
        <v>3</v>
      </c>
      <c r="AF636">
        <v>5</v>
      </c>
      <c r="AG636">
        <v>3</v>
      </c>
      <c r="AH636">
        <v>0</v>
      </c>
      <c r="AI636">
        <v>3</v>
      </c>
      <c r="AJ636">
        <f t="shared" si="90"/>
        <v>0</v>
      </c>
      <c r="AK636">
        <f t="shared" si="91"/>
        <v>1</v>
      </c>
      <c r="AL636">
        <f t="shared" si="92"/>
        <v>1</v>
      </c>
      <c r="AM636">
        <f t="shared" si="93"/>
        <v>2.75</v>
      </c>
      <c r="AN636">
        <f t="shared" si="94"/>
        <v>8388</v>
      </c>
      <c r="AO636">
        <f t="shared" si="95"/>
        <v>0.83333333333333337</v>
      </c>
      <c r="AP636" t="str">
        <f t="shared" si="96"/>
        <v>Under 30</v>
      </c>
      <c r="AQ636" t="str">
        <f t="shared" si="97"/>
        <v>Medium</v>
      </c>
      <c r="AR636" t="str">
        <f t="shared" si="98"/>
        <v>Short</v>
      </c>
      <c r="AS636">
        <f t="shared" si="99"/>
        <v>0</v>
      </c>
    </row>
    <row r="637" spans="1:4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s="20">
        <v>10685</v>
      </c>
      <c r="T637">
        <v>23457</v>
      </c>
      <c r="U637">
        <v>1</v>
      </c>
      <c r="V637" t="s">
        <v>42</v>
      </c>
      <c r="W637" t="s">
        <v>35</v>
      </c>
      <c r="X637" s="19">
        <v>20</v>
      </c>
      <c r="Y637">
        <v>4</v>
      </c>
      <c r="Z637">
        <v>2</v>
      </c>
      <c r="AA637">
        <v>80</v>
      </c>
      <c r="AB637">
        <v>1</v>
      </c>
      <c r="AC637">
        <v>17</v>
      </c>
      <c r="AD637">
        <v>2</v>
      </c>
      <c r="AE637">
        <v>3</v>
      </c>
      <c r="AF637">
        <v>17</v>
      </c>
      <c r="AG637">
        <v>14</v>
      </c>
      <c r="AH637">
        <v>5</v>
      </c>
      <c r="AI637">
        <v>15</v>
      </c>
      <c r="AJ637">
        <f t="shared" si="90"/>
        <v>0</v>
      </c>
      <c r="AK637">
        <f t="shared" si="91"/>
        <v>1</v>
      </c>
      <c r="AL637">
        <f t="shared" si="92"/>
        <v>0</v>
      </c>
      <c r="AM637">
        <f t="shared" si="93"/>
        <v>3</v>
      </c>
      <c r="AN637">
        <f t="shared" si="94"/>
        <v>7123.333333333333</v>
      </c>
      <c r="AO637">
        <f t="shared" si="95"/>
        <v>0.94444444444444442</v>
      </c>
      <c r="AP637" t="str">
        <f t="shared" si="96"/>
        <v>30-39</v>
      </c>
      <c r="AQ637" t="str">
        <f t="shared" si="97"/>
        <v>Very High</v>
      </c>
      <c r="AR637" t="str">
        <f t="shared" si="98"/>
        <v>Medium</v>
      </c>
      <c r="AS637">
        <f t="shared" si="99"/>
        <v>0</v>
      </c>
    </row>
    <row r="638" spans="1:4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s="20">
        <v>2022</v>
      </c>
      <c r="T638">
        <v>16612</v>
      </c>
      <c r="U638">
        <v>1</v>
      </c>
      <c r="V638" t="s">
        <v>42</v>
      </c>
      <c r="W638" t="s">
        <v>35</v>
      </c>
      <c r="X638" s="19">
        <v>19</v>
      </c>
      <c r="Y638">
        <v>3</v>
      </c>
      <c r="Z638">
        <v>1</v>
      </c>
      <c r="AA638">
        <v>80</v>
      </c>
      <c r="AB638">
        <v>1</v>
      </c>
      <c r="AC638">
        <v>10</v>
      </c>
      <c r="AD638">
        <v>3</v>
      </c>
      <c r="AE638">
        <v>2</v>
      </c>
      <c r="AF638">
        <v>10</v>
      </c>
      <c r="AG638">
        <v>2</v>
      </c>
      <c r="AH638">
        <v>7</v>
      </c>
      <c r="AI638">
        <v>8</v>
      </c>
      <c r="AJ638">
        <f t="shared" si="90"/>
        <v>1</v>
      </c>
      <c r="AK638">
        <f t="shared" si="91"/>
        <v>1</v>
      </c>
      <c r="AL638">
        <f t="shared" si="92"/>
        <v>0</v>
      </c>
      <c r="AM638">
        <f t="shared" si="93"/>
        <v>2.25</v>
      </c>
      <c r="AN638">
        <f t="shared" si="94"/>
        <v>2205.818181818182</v>
      </c>
      <c r="AO638">
        <f t="shared" si="95"/>
        <v>0.90909090909090906</v>
      </c>
      <c r="AP638" t="str">
        <f t="shared" si="96"/>
        <v>30-39</v>
      </c>
      <c r="AQ638" t="str">
        <f t="shared" si="97"/>
        <v>Low</v>
      </c>
      <c r="AR638" t="str">
        <f t="shared" si="98"/>
        <v>Long</v>
      </c>
      <c r="AS638">
        <f t="shared" si="99"/>
        <v>1</v>
      </c>
    </row>
    <row r="639" spans="1:4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s="20">
        <v>2314</v>
      </c>
      <c r="T639">
        <v>9148</v>
      </c>
      <c r="U639">
        <v>0</v>
      </c>
      <c r="V639" t="s">
        <v>42</v>
      </c>
      <c r="W639" t="s">
        <v>43</v>
      </c>
      <c r="X639" s="19">
        <v>12</v>
      </c>
      <c r="Y639">
        <v>3</v>
      </c>
      <c r="Z639">
        <v>2</v>
      </c>
      <c r="AA639">
        <v>80</v>
      </c>
      <c r="AB639">
        <v>1</v>
      </c>
      <c r="AC639">
        <v>4</v>
      </c>
      <c r="AD639">
        <v>2</v>
      </c>
      <c r="AE639">
        <v>3</v>
      </c>
      <c r="AF639">
        <v>3</v>
      </c>
      <c r="AG639">
        <v>0</v>
      </c>
      <c r="AH639">
        <v>0</v>
      </c>
      <c r="AI639">
        <v>2</v>
      </c>
      <c r="AJ639">
        <f t="shared" si="90"/>
        <v>0</v>
      </c>
      <c r="AK639">
        <f t="shared" si="91"/>
        <v>0</v>
      </c>
      <c r="AL639">
        <f t="shared" si="92"/>
        <v>1</v>
      </c>
      <c r="AM639">
        <f t="shared" si="93"/>
        <v>3.25</v>
      </c>
      <c r="AN639">
        <f t="shared" si="94"/>
        <v>6942</v>
      </c>
      <c r="AO639">
        <f t="shared" si="95"/>
        <v>0.6</v>
      </c>
      <c r="AP639" t="str">
        <f t="shared" si="96"/>
        <v>30-39</v>
      </c>
      <c r="AQ639" t="str">
        <f t="shared" si="97"/>
        <v>Low</v>
      </c>
      <c r="AR639" t="str">
        <f t="shared" si="98"/>
        <v>Short</v>
      </c>
      <c r="AS639">
        <f t="shared" si="99"/>
        <v>0</v>
      </c>
    </row>
    <row r="640" spans="1:4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s="20">
        <v>4256</v>
      </c>
      <c r="T640">
        <v>18154</v>
      </c>
      <c r="U640">
        <v>1</v>
      </c>
      <c r="V640" t="s">
        <v>42</v>
      </c>
      <c r="W640" t="s">
        <v>43</v>
      </c>
      <c r="X640" s="19">
        <v>12</v>
      </c>
      <c r="Y640">
        <v>3</v>
      </c>
      <c r="Z640">
        <v>1</v>
      </c>
      <c r="AA640">
        <v>80</v>
      </c>
      <c r="AB640">
        <v>0</v>
      </c>
      <c r="AC640">
        <v>5</v>
      </c>
      <c r="AD640">
        <v>1</v>
      </c>
      <c r="AE640">
        <v>4</v>
      </c>
      <c r="AF640">
        <v>5</v>
      </c>
      <c r="AG640">
        <v>2</v>
      </c>
      <c r="AH640">
        <v>0</v>
      </c>
      <c r="AI640">
        <v>3</v>
      </c>
      <c r="AJ640">
        <f t="shared" si="90"/>
        <v>0</v>
      </c>
      <c r="AK640">
        <f t="shared" si="91"/>
        <v>0</v>
      </c>
      <c r="AL640">
        <f t="shared" si="92"/>
        <v>1</v>
      </c>
      <c r="AM640">
        <f t="shared" si="93"/>
        <v>2.25</v>
      </c>
      <c r="AN640">
        <f t="shared" si="94"/>
        <v>8512</v>
      </c>
      <c r="AO640">
        <f t="shared" si="95"/>
        <v>0.83333333333333337</v>
      </c>
      <c r="AP640" t="str">
        <f t="shared" si="96"/>
        <v>Under 30</v>
      </c>
      <c r="AQ640" t="str">
        <f t="shared" si="97"/>
        <v>Medium</v>
      </c>
      <c r="AR640" t="str">
        <f t="shared" si="98"/>
        <v>Short</v>
      </c>
      <c r="AS640">
        <f t="shared" si="99"/>
        <v>0</v>
      </c>
    </row>
    <row r="641" spans="1:4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s="20">
        <v>3580</v>
      </c>
      <c r="T641">
        <v>10554</v>
      </c>
      <c r="U641">
        <v>2</v>
      </c>
      <c r="V641" t="s">
        <v>42</v>
      </c>
      <c r="W641" t="s">
        <v>43</v>
      </c>
      <c r="X641" s="19">
        <v>16</v>
      </c>
      <c r="Y641">
        <v>3</v>
      </c>
      <c r="Z641">
        <v>2</v>
      </c>
      <c r="AA641">
        <v>80</v>
      </c>
      <c r="AB641">
        <v>1</v>
      </c>
      <c r="AC641">
        <v>7</v>
      </c>
      <c r="AD641">
        <v>2</v>
      </c>
      <c r="AE641">
        <v>3</v>
      </c>
      <c r="AF641">
        <v>4</v>
      </c>
      <c r="AG641">
        <v>2</v>
      </c>
      <c r="AH641">
        <v>0</v>
      </c>
      <c r="AI641">
        <v>2</v>
      </c>
      <c r="AJ641">
        <f t="shared" si="90"/>
        <v>0</v>
      </c>
      <c r="AK641">
        <f t="shared" si="91"/>
        <v>0</v>
      </c>
      <c r="AL641">
        <f t="shared" si="92"/>
        <v>0</v>
      </c>
      <c r="AM641">
        <f t="shared" si="93"/>
        <v>2.25</v>
      </c>
      <c r="AN641">
        <f t="shared" si="94"/>
        <v>8592</v>
      </c>
      <c r="AO641">
        <f t="shared" si="95"/>
        <v>0.5</v>
      </c>
      <c r="AP641" t="str">
        <f t="shared" si="96"/>
        <v>40-49</v>
      </c>
      <c r="AQ641" t="str">
        <f t="shared" si="97"/>
        <v>Medium</v>
      </c>
      <c r="AR641" t="str">
        <f t="shared" si="98"/>
        <v>Short</v>
      </c>
      <c r="AS641">
        <f t="shared" si="99"/>
        <v>0</v>
      </c>
    </row>
    <row r="642" spans="1:4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s="20">
        <v>3162</v>
      </c>
      <c r="T642">
        <v>10778</v>
      </c>
      <c r="U642">
        <v>0</v>
      </c>
      <c r="V642" t="s">
        <v>42</v>
      </c>
      <c r="W642" t="s">
        <v>43</v>
      </c>
      <c r="X642" s="19">
        <v>17</v>
      </c>
      <c r="Y642">
        <v>3</v>
      </c>
      <c r="Z642">
        <v>4</v>
      </c>
      <c r="AA642">
        <v>80</v>
      </c>
      <c r="AB642">
        <v>0</v>
      </c>
      <c r="AC642">
        <v>6</v>
      </c>
      <c r="AD642">
        <v>2</v>
      </c>
      <c r="AE642">
        <v>2</v>
      </c>
      <c r="AF642">
        <v>5</v>
      </c>
      <c r="AG642">
        <v>2</v>
      </c>
      <c r="AH642">
        <v>3</v>
      </c>
      <c r="AI642">
        <v>4</v>
      </c>
      <c r="AJ642">
        <f t="shared" si="90"/>
        <v>0</v>
      </c>
      <c r="AK642">
        <f t="shared" si="91"/>
        <v>0</v>
      </c>
      <c r="AL642">
        <f t="shared" si="92"/>
        <v>1</v>
      </c>
      <c r="AM642">
        <f t="shared" si="93"/>
        <v>2.75</v>
      </c>
      <c r="AN642">
        <f t="shared" si="94"/>
        <v>6324</v>
      </c>
      <c r="AO642">
        <f t="shared" si="95"/>
        <v>0.7142857142857143</v>
      </c>
      <c r="AP642" t="str">
        <f t="shared" si="96"/>
        <v>Under 30</v>
      </c>
      <c r="AQ642" t="str">
        <f t="shared" si="97"/>
        <v>Medium</v>
      </c>
      <c r="AR642" t="str">
        <f t="shared" si="98"/>
        <v>Short</v>
      </c>
      <c r="AS642">
        <f t="shared" si="99"/>
        <v>0</v>
      </c>
    </row>
    <row r="643" spans="1:4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s="20">
        <v>6524</v>
      </c>
      <c r="T643">
        <v>8891</v>
      </c>
      <c r="U643">
        <v>1</v>
      </c>
      <c r="V643" t="s">
        <v>42</v>
      </c>
      <c r="W643" t="s">
        <v>43</v>
      </c>
      <c r="X643" s="19">
        <v>14</v>
      </c>
      <c r="Y643">
        <v>3</v>
      </c>
      <c r="Z643">
        <v>4</v>
      </c>
      <c r="AA643">
        <v>80</v>
      </c>
      <c r="AB643">
        <v>1</v>
      </c>
      <c r="AC643">
        <v>10</v>
      </c>
      <c r="AD643">
        <v>3</v>
      </c>
      <c r="AE643">
        <v>3</v>
      </c>
      <c r="AF643">
        <v>10</v>
      </c>
      <c r="AG643">
        <v>8</v>
      </c>
      <c r="AH643">
        <v>5</v>
      </c>
      <c r="AI643">
        <v>3</v>
      </c>
      <c r="AJ643">
        <f t="shared" ref="AJ643:AJ706" si="100">IF(B643="Yes",1,0)</f>
        <v>0</v>
      </c>
      <c r="AK643">
        <f t="shared" ref="AK643:AK706" si="101">IF(W643="Yes",1,0)</f>
        <v>0</v>
      </c>
      <c r="AL643">
        <f t="shared" ref="AL643:AL706" si="102">IF(L643="Male",1,0)</f>
        <v>1</v>
      </c>
      <c r="AM643">
        <f t="shared" ref="AM643:AM706" si="103">AVERAGE(K643,Q643,Z643,AE643)</f>
        <v>2.75</v>
      </c>
      <c r="AN643">
        <f t="shared" ref="AN643:AN706" si="104">(S643*12)/(AF643+1)</f>
        <v>7117.090909090909</v>
      </c>
      <c r="AO643">
        <f t="shared" ref="AO643:AO706" si="105">AF643/(AC643+1)</f>
        <v>0.90909090909090906</v>
      </c>
      <c r="AP643" t="str">
        <f t="shared" ref="AP643:AP706" si="106">IF(A643&lt;30,"Under 30",IF(A643&lt;40,"30-39",IF(A643&lt;50,"40-49","50+")))</f>
        <v>30-39</v>
      </c>
      <c r="AQ643" t="str">
        <f t="shared" ref="AQ643:AQ706" si="107">IF(S643&lt;=$AV$1,"Low",IF(S643&lt;=$AV$2,"Medium",IF(S643&lt;=$AV$3,"High","Very High")))</f>
        <v>High</v>
      </c>
      <c r="AR643" t="str">
        <f t="shared" ref="AR643:AR706" si="108">IF(F643&lt;=5,"Short",IF(F643&lt;=15,"Medium","Long"))</f>
        <v>Short</v>
      </c>
      <c r="AS643">
        <f t="shared" ref="AS643:AS706" si="109">IF(C643="Travel_Frequently",1,0)</f>
        <v>1</v>
      </c>
    </row>
    <row r="644" spans="1:4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s="20">
        <v>2899</v>
      </c>
      <c r="T644">
        <v>12102</v>
      </c>
      <c r="U644">
        <v>0</v>
      </c>
      <c r="V644" t="s">
        <v>42</v>
      </c>
      <c r="W644" t="s">
        <v>43</v>
      </c>
      <c r="X644" s="19">
        <v>19</v>
      </c>
      <c r="Y644">
        <v>3</v>
      </c>
      <c r="Z644">
        <v>4</v>
      </c>
      <c r="AA644">
        <v>80</v>
      </c>
      <c r="AB644">
        <v>1</v>
      </c>
      <c r="AC644">
        <v>3</v>
      </c>
      <c r="AD644">
        <v>3</v>
      </c>
      <c r="AE644">
        <v>3</v>
      </c>
      <c r="AF644">
        <v>2</v>
      </c>
      <c r="AG644">
        <v>2</v>
      </c>
      <c r="AH644">
        <v>1</v>
      </c>
      <c r="AI644">
        <v>2</v>
      </c>
      <c r="AJ644">
        <f t="shared" si="100"/>
        <v>0</v>
      </c>
      <c r="AK644">
        <f t="shared" si="101"/>
        <v>0</v>
      </c>
      <c r="AL644">
        <f t="shared" si="102"/>
        <v>1</v>
      </c>
      <c r="AM644">
        <f t="shared" si="103"/>
        <v>2.75</v>
      </c>
      <c r="AN644">
        <f t="shared" si="104"/>
        <v>11596</v>
      </c>
      <c r="AO644">
        <f t="shared" si="105"/>
        <v>0.5</v>
      </c>
      <c r="AP644" t="str">
        <f t="shared" si="106"/>
        <v>30-39</v>
      </c>
      <c r="AQ644" t="str">
        <f t="shared" si="107"/>
        <v>Low</v>
      </c>
      <c r="AR644" t="str">
        <f t="shared" si="108"/>
        <v>Medium</v>
      </c>
      <c r="AS644">
        <f t="shared" si="109"/>
        <v>0</v>
      </c>
    </row>
    <row r="645" spans="1:4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s="20">
        <v>5231</v>
      </c>
      <c r="T645">
        <v>23726</v>
      </c>
      <c r="U645">
        <v>2</v>
      </c>
      <c r="V645" t="s">
        <v>42</v>
      </c>
      <c r="W645" t="s">
        <v>35</v>
      </c>
      <c r="X645" s="19">
        <v>13</v>
      </c>
      <c r="Y645">
        <v>3</v>
      </c>
      <c r="Z645">
        <v>2</v>
      </c>
      <c r="AA645">
        <v>80</v>
      </c>
      <c r="AB645">
        <v>1</v>
      </c>
      <c r="AC645">
        <v>17</v>
      </c>
      <c r="AD645">
        <v>1</v>
      </c>
      <c r="AE645">
        <v>2</v>
      </c>
      <c r="AF645">
        <v>5</v>
      </c>
      <c r="AG645">
        <v>3</v>
      </c>
      <c r="AH645">
        <v>1</v>
      </c>
      <c r="AI645">
        <v>3</v>
      </c>
      <c r="AJ645">
        <f t="shared" si="100"/>
        <v>0</v>
      </c>
      <c r="AK645">
        <f t="shared" si="101"/>
        <v>1</v>
      </c>
      <c r="AL645">
        <f t="shared" si="102"/>
        <v>0</v>
      </c>
      <c r="AM645">
        <f t="shared" si="103"/>
        <v>2.75</v>
      </c>
      <c r="AN645">
        <f t="shared" si="104"/>
        <v>10462</v>
      </c>
      <c r="AO645">
        <f t="shared" si="105"/>
        <v>0.27777777777777779</v>
      </c>
      <c r="AP645" t="str">
        <f t="shared" si="106"/>
        <v>40-49</v>
      </c>
      <c r="AQ645" t="str">
        <f t="shared" si="107"/>
        <v>High</v>
      </c>
      <c r="AR645" t="str">
        <f t="shared" si="108"/>
        <v>Short</v>
      </c>
      <c r="AS645">
        <f t="shared" si="109"/>
        <v>0</v>
      </c>
    </row>
    <row r="646" spans="1:4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s="20">
        <v>2356</v>
      </c>
      <c r="T646">
        <v>14871</v>
      </c>
      <c r="U646">
        <v>3</v>
      </c>
      <c r="V646" t="s">
        <v>42</v>
      </c>
      <c r="W646" t="s">
        <v>35</v>
      </c>
      <c r="X646" s="19">
        <v>19</v>
      </c>
      <c r="Y646">
        <v>3</v>
      </c>
      <c r="Z646">
        <v>2</v>
      </c>
      <c r="AA646">
        <v>80</v>
      </c>
      <c r="AB646">
        <v>1</v>
      </c>
      <c r="AC646">
        <v>8</v>
      </c>
      <c r="AD646">
        <v>2</v>
      </c>
      <c r="AE646">
        <v>3</v>
      </c>
      <c r="AF646">
        <v>6</v>
      </c>
      <c r="AG646">
        <v>4</v>
      </c>
      <c r="AH646">
        <v>0</v>
      </c>
      <c r="AI646">
        <v>2</v>
      </c>
      <c r="AJ646">
        <f t="shared" si="100"/>
        <v>0</v>
      </c>
      <c r="AK646">
        <f t="shared" si="101"/>
        <v>1</v>
      </c>
      <c r="AL646">
        <f t="shared" si="102"/>
        <v>1</v>
      </c>
      <c r="AM646">
        <f t="shared" si="103"/>
        <v>3.25</v>
      </c>
      <c r="AN646">
        <f t="shared" si="104"/>
        <v>4038.8571428571427</v>
      </c>
      <c r="AO646">
        <f t="shared" si="105"/>
        <v>0.66666666666666663</v>
      </c>
      <c r="AP646" t="str">
        <f t="shared" si="106"/>
        <v>30-39</v>
      </c>
      <c r="AQ646" t="str">
        <f t="shared" si="107"/>
        <v>Low</v>
      </c>
      <c r="AR646" t="str">
        <f t="shared" si="108"/>
        <v>Medium</v>
      </c>
      <c r="AS646">
        <f t="shared" si="109"/>
        <v>0</v>
      </c>
    </row>
    <row r="647" spans="1:4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s="20">
        <v>2800</v>
      </c>
      <c r="T647">
        <v>23522</v>
      </c>
      <c r="U647">
        <v>6</v>
      </c>
      <c r="V647" t="s">
        <v>42</v>
      </c>
      <c r="W647" t="s">
        <v>35</v>
      </c>
      <c r="X647" s="19">
        <v>19</v>
      </c>
      <c r="Y647">
        <v>3</v>
      </c>
      <c r="Z647">
        <v>3</v>
      </c>
      <c r="AA647">
        <v>80</v>
      </c>
      <c r="AB647">
        <v>3</v>
      </c>
      <c r="AC647">
        <v>5</v>
      </c>
      <c r="AD647">
        <v>3</v>
      </c>
      <c r="AE647">
        <v>3</v>
      </c>
      <c r="AF647">
        <v>3</v>
      </c>
      <c r="AG647">
        <v>2</v>
      </c>
      <c r="AH647">
        <v>0</v>
      </c>
      <c r="AI647">
        <v>2</v>
      </c>
      <c r="AJ647">
        <f t="shared" si="100"/>
        <v>1</v>
      </c>
      <c r="AK647">
        <f t="shared" si="101"/>
        <v>1</v>
      </c>
      <c r="AL647">
        <f t="shared" si="102"/>
        <v>0</v>
      </c>
      <c r="AM647">
        <f t="shared" si="103"/>
        <v>2.75</v>
      </c>
      <c r="AN647">
        <f t="shared" si="104"/>
        <v>8400</v>
      </c>
      <c r="AO647">
        <f t="shared" si="105"/>
        <v>0.5</v>
      </c>
      <c r="AP647" t="str">
        <f t="shared" si="106"/>
        <v>Under 30</v>
      </c>
      <c r="AQ647" t="str">
        <f t="shared" si="107"/>
        <v>Low</v>
      </c>
      <c r="AR647" t="str">
        <f t="shared" si="108"/>
        <v>Short</v>
      </c>
      <c r="AS647">
        <f t="shared" si="109"/>
        <v>0</v>
      </c>
    </row>
    <row r="648" spans="1:4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s="20">
        <v>11836</v>
      </c>
      <c r="T648">
        <v>22789</v>
      </c>
      <c r="U648">
        <v>5</v>
      </c>
      <c r="V648" t="s">
        <v>42</v>
      </c>
      <c r="W648" t="s">
        <v>43</v>
      </c>
      <c r="X648" s="19">
        <v>14</v>
      </c>
      <c r="Y648">
        <v>3</v>
      </c>
      <c r="Z648">
        <v>3</v>
      </c>
      <c r="AA648">
        <v>80</v>
      </c>
      <c r="AB648">
        <v>1</v>
      </c>
      <c r="AC648">
        <v>28</v>
      </c>
      <c r="AD648">
        <v>3</v>
      </c>
      <c r="AE648">
        <v>3</v>
      </c>
      <c r="AF648">
        <v>2</v>
      </c>
      <c r="AG648">
        <v>0</v>
      </c>
      <c r="AH648">
        <v>2</v>
      </c>
      <c r="AI648">
        <v>2</v>
      </c>
      <c r="AJ648">
        <f t="shared" si="100"/>
        <v>0</v>
      </c>
      <c r="AK648">
        <f t="shared" si="101"/>
        <v>0</v>
      </c>
      <c r="AL648">
        <f t="shared" si="102"/>
        <v>1</v>
      </c>
      <c r="AM648">
        <f t="shared" si="103"/>
        <v>2.75</v>
      </c>
      <c r="AN648">
        <f t="shared" si="104"/>
        <v>47344</v>
      </c>
      <c r="AO648">
        <f t="shared" si="105"/>
        <v>6.8965517241379309E-2</v>
      </c>
      <c r="AP648" t="str">
        <f t="shared" si="106"/>
        <v>50+</v>
      </c>
      <c r="AQ648" t="str">
        <f t="shared" si="107"/>
        <v>Very High</v>
      </c>
      <c r="AR648" t="str">
        <f t="shared" si="108"/>
        <v>Medium</v>
      </c>
      <c r="AS648">
        <f t="shared" si="109"/>
        <v>0</v>
      </c>
    </row>
    <row r="649" spans="1:4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s="20">
        <v>10903</v>
      </c>
      <c r="T649">
        <v>9129</v>
      </c>
      <c r="U649">
        <v>3</v>
      </c>
      <c r="V649" t="s">
        <v>42</v>
      </c>
      <c r="W649" t="s">
        <v>43</v>
      </c>
      <c r="X649" s="19">
        <v>16</v>
      </c>
      <c r="Y649">
        <v>3</v>
      </c>
      <c r="Z649">
        <v>1</v>
      </c>
      <c r="AA649">
        <v>80</v>
      </c>
      <c r="AB649">
        <v>0</v>
      </c>
      <c r="AC649">
        <v>16</v>
      </c>
      <c r="AD649">
        <v>2</v>
      </c>
      <c r="AE649">
        <v>3</v>
      </c>
      <c r="AF649">
        <v>13</v>
      </c>
      <c r="AG649">
        <v>10</v>
      </c>
      <c r="AH649">
        <v>4</v>
      </c>
      <c r="AI649">
        <v>8</v>
      </c>
      <c r="AJ649">
        <f t="shared" si="100"/>
        <v>0</v>
      </c>
      <c r="AK649">
        <f t="shared" si="101"/>
        <v>0</v>
      </c>
      <c r="AL649">
        <f t="shared" si="102"/>
        <v>1</v>
      </c>
      <c r="AM649">
        <f t="shared" si="103"/>
        <v>2.5</v>
      </c>
      <c r="AN649">
        <f t="shared" si="104"/>
        <v>9345.4285714285706</v>
      </c>
      <c r="AO649">
        <f t="shared" si="105"/>
        <v>0.76470588235294112</v>
      </c>
      <c r="AP649" t="str">
        <f t="shared" si="106"/>
        <v>30-39</v>
      </c>
      <c r="AQ649" t="str">
        <f t="shared" si="107"/>
        <v>Very High</v>
      </c>
      <c r="AR649" t="str">
        <f t="shared" si="108"/>
        <v>Long</v>
      </c>
      <c r="AS649">
        <f t="shared" si="109"/>
        <v>0</v>
      </c>
    </row>
    <row r="650" spans="1:4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s="20">
        <v>2973</v>
      </c>
      <c r="T650">
        <v>21222</v>
      </c>
      <c r="U650">
        <v>5</v>
      </c>
      <c r="V650" t="s">
        <v>42</v>
      </c>
      <c r="W650" t="s">
        <v>43</v>
      </c>
      <c r="X650" s="19">
        <v>15</v>
      </c>
      <c r="Y650">
        <v>3</v>
      </c>
      <c r="Z650">
        <v>2</v>
      </c>
      <c r="AA650">
        <v>80</v>
      </c>
      <c r="AB650">
        <v>1</v>
      </c>
      <c r="AC650">
        <v>10</v>
      </c>
      <c r="AD650">
        <v>3</v>
      </c>
      <c r="AE650">
        <v>3</v>
      </c>
      <c r="AF650">
        <v>5</v>
      </c>
      <c r="AG650">
        <v>4</v>
      </c>
      <c r="AH650">
        <v>0</v>
      </c>
      <c r="AI650">
        <v>0</v>
      </c>
      <c r="AJ650">
        <f t="shared" si="100"/>
        <v>0</v>
      </c>
      <c r="AK650">
        <f t="shared" si="101"/>
        <v>0</v>
      </c>
      <c r="AL650">
        <f t="shared" si="102"/>
        <v>0</v>
      </c>
      <c r="AM650">
        <f t="shared" si="103"/>
        <v>3</v>
      </c>
      <c r="AN650">
        <f t="shared" si="104"/>
        <v>5946</v>
      </c>
      <c r="AO650">
        <f t="shared" si="105"/>
        <v>0.45454545454545453</v>
      </c>
      <c r="AP650" t="str">
        <f t="shared" si="106"/>
        <v>30-39</v>
      </c>
      <c r="AQ650" t="str">
        <f t="shared" si="107"/>
        <v>Medium</v>
      </c>
      <c r="AR650" t="str">
        <f t="shared" si="108"/>
        <v>Long</v>
      </c>
      <c r="AS650">
        <f t="shared" si="109"/>
        <v>1</v>
      </c>
    </row>
    <row r="651" spans="1:4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s="20">
        <v>14275</v>
      </c>
      <c r="T651">
        <v>20206</v>
      </c>
      <c r="U651">
        <v>6</v>
      </c>
      <c r="V651" t="s">
        <v>42</v>
      </c>
      <c r="W651" t="s">
        <v>43</v>
      </c>
      <c r="X651" s="19">
        <v>18</v>
      </c>
      <c r="Y651">
        <v>3</v>
      </c>
      <c r="Z651">
        <v>3</v>
      </c>
      <c r="AA651">
        <v>80</v>
      </c>
      <c r="AB651">
        <v>0</v>
      </c>
      <c r="AC651">
        <v>33</v>
      </c>
      <c r="AD651">
        <v>0</v>
      </c>
      <c r="AE651">
        <v>3</v>
      </c>
      <c r="AF651">
        <v>12</v>
      </c>
      <c r="AG651">
        <v>9</v>
      </c>
      <c r="AH651">
        <v>3</v>
      </c>
      <c r="AI651">
        <v>8</v>
      </c>
      <c r="AJ651">
        <f t="shared" si="100"/>
        <v>0</v>
      </c>
      <c r="AK651">
        <f t="shared" si="101"/>
        <v>0</v>
      </c>
      <c r="AL651">
        <f t="shared" si="102"/>
        <v>0</v>
      </c>
      <c r="AM651">
        <f t="shared" si="103"/>
        <v>3.5</v>
      </c>
      <c r="AN651">
        <f t="shared" si="104"/>
        <v>13176.923076923076</v>
      </c>
      <c r="AO651">
        <f t="shared" si="105"/>
        <v>0.35294117647058826</v>
      </c>
      <c r="AP651" t="str">
        <f t="shared" si="106"/>
        <v>50+</v>
      </c>
      <c r="AQ651" t="str">
        <f t="shared" si="107"/>
        <v>Very High</v>
      </c>
      <c r="AR651" t="str">
        <f t="shared" si="108"/>
        <v>Long</v>
      </c>
      <c r="AS651">
        <f t="shared" si="109"/>
        <v>0</v>
      </c>
    </row>
    <row r="652" spans="1:4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s="20">
        <v>5562</v>
      </c>
      <c r="T652">
        <v>21782</v>
      </c>
      <c r="U652">
        <v>4</v>
      </c>
      <c r="V652" t="s">
        <v>42</v>
      </c>
      <c r="W652" t="s">
        <v>43</v>
      </c>
      <c r="X652" s="19">
        <v>13</v>
      </c>
      <c r="Y652">
        <v>3</v>
      </c>
      <c r="Z652">
        <v>2</v>
      </c>
      <c r="AA652">
        <v>80</v>
      </c>
      <c r="AB652">
        <v>1</v>
      </c>
      <c r="AC652">
        <v>12</v>
      </c>
      <c r="AD652">
        <v>2</v>
      </c>
      <c r="AE652">
        <v>2</v>
      </c>
      <c r="AF652">
        <v>5</v>
      </c>
      <c r="AG652">
        <v>2</v>
      </c>
      <c r="AH652">
        <v>2</v>
      </c>
      <c r="AI652">
        <v>2</v>
      </c>
      <c r="AJ652">
        <f t="shared" si="100"/>
        <v>0</v>
      </c>
      <c r="AK652">
        <f t="shared" si="101"/>
        <v>0</v>
      </c>
      <c r="AL652">
        <f t="shared" si="102"/>
        <v>0</v>
      </c>
      <c r="AM652">
        <f t="shared" si="103"/>
        <v>3</v>
      </c>
      <c r="AN652">
        <f t="shared" si="104"/>
        <v>11124</v>
      </c>
      <c r="AO652">
        <f t="shared" si="105"/>
        <v>0.38461538461538464</v>
      </c>
      <c r="AP652" t="str">
        <f t="shared" si="106"/>
        <v>40-49</v>
      </c>
      <c r="AQ652" t="str">
        <f t="shared" si="107"/>
        <v>High</v>
      </c>
      <c r="AR652" t="str">
        <f t="shared" si="108"/>
        <v>Short</v>
      </c>
      <c r="AS652">
        <f t="shared" si="109"/>
        <v>1</v>
      </c>
    </row>
    <row r="653" spans="1:4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s="20">
        <v>4537</v>
      </c>
      <c r="T653">
        <v>17783</v>
      </c>
      <c r="U653">
        <v>0</v>
      </c>
      <c r="V653" t="s">
        <v>42</v>
      </c>
      <c r="W653" t="s">
        <v>35</v>
      </c>
      <c r="X653" s="19">
        <v>22</v>
      </c>
      <c r="Y653">
        <v>4</v>
      </c>
      <c r="Z653">
        <v>1</v>
      </c>
      <c r="AA653">
        <v>80</v>
      </c>
      <c r="AB653">
        <v>1</v>
      </c>
      <c r="AC653">
        <v>8</v>
      </c>
      <c r="AD653">
        <v>2</v>
      </c>
      <c r="AE653">
        <v>3</v>
      </c>
      <c r="AF653">
        <v>7</v>
      </c>
      <c r="AG653">
        <v>6</v>
      </c>
      <c r="AH653">
        <v>7</v>
      </c>
      <c r="AI653">
        <v>7</v>
      </c>
      <c r="AJ653">
        <f t="shared" si="100"/>
        <v>0</v>
      </c>
      <c r="AK653">
        <f t="shared" si="101"/>
        <v>1</v>
      </c>
      <c r="AL653">
        <f t="shared" si="102"/>
        <v>0</v>
      </c>
      <c r="AM653">
        <f t="shared" si="103"/>
        <v>2.75</v>
      </c>
      <c r="AN653">
        <f t="shared" si="104"/>
        <v>6805.5</v>
      </c>
      <c r="AO653">
        <f t="shared" si="105"/>
        <v>0.77777777777777779</v>
      </c>
      <c r="AP653" t="str">
        <f t="shared" si="106"/>
        <v>40-49</v>
      </c>
      <c r="AQ653" t="str">
        <f t="shared" si="107"/>
        <v>Medium</v>
      </c>
      <c r="AR653" t="str">
        <f t="shared" si="108"/>
        <v>Short</v>
      </c>
      <c r="AS653">
        <f t="shared" si="109"/>
        <v>0</v>
      </c>
    </row>
    <row r="654" spans="1:4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s="20">
        <v>7642</v>
      </c>
      <c r="T654">
        <v>4814</v>
      </c>
      <c r="U654">
        <v>1</v>
      </c>
      <c r="V654" t="s">
        <v>42</v>
      </c>
      <c r="W654" t="s">
        <v>35</v>
      </c>
      <c r="X654" s="19">
        <v>13</v>
      </c>
      <c r="Y654">
        <v>3</v>
      </c>
      <c r="Z654">
        <v>4</v>
      </c>
      <c r="AA654">
        <v>80</v>
      </c>
      <c r="AB654">
        <v>0</v>
      </c>
      <c r="AC654">
        <v>10</v>
      </c>
      <c r="AD654">
        <v>2</v>
      </c>
      <c r="AE654">
        <v>3</v>
      </c>
      <c r="AF654">
        <v>10</v>
      </c>
      <c r="AG654">
        <v>0</v>
      </c>
      <c r="AH654">
        <v>0</v>
      </c>
      <c r="AI654">
        <v>9</v>
      </c>
      <c r="AJ654">
        <f t="shared" si="100"/>
        <v>0</v>
      </c>
      <c r="AK654">
        <f t="shared" si="101"/>
        <v>1</v>
      </c>
      <c r="AL654">
        <f t="shared" si="102"/>
        <v>1</v>
      </c>
      <c r="AM654">
        <f t="shared" si="103"/>
        <v>2.5</v>
      </c>
      <c r="AN654">
        <f t="shared" si="104"/>
        <v>8336.7272727272721</v>
      </c>
      <c r="AO654">
        <f t="shared" si="105"/>
        <v>0.90909090909090906</v>
      </c>
      <c r="AP654" t="str">
        <f t="shared" si="106"/>
        <v>30-39</v>
      </c>
      <c r="AQ654" t="str">
        <f t="shared" si="107"/>
        <v>High</v>
      </c>
      <c r="AR654" t="str">
        <f t="shared" si="108"/>
        <v>Long</v>
      </c>
      <c r="AS654">
        <f t="shared" si="109"/>
        <v>0</v>
      </c>
    </row>
    <row r="655" spans="1:4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s="20">
        <v>17924</v>
      </c>
      <c r="T655">
        <v>4544</v>
      </c>
      <c r="U655">
        <v>1</v>
      </c>
      <c r="V655" t="s">
        <v>42</v>
      </c>
      <c r="W655" t="s">
        <v>43</v>
      </c>
      <c r="X655" s="19">
        <v>11</v>
      </c>
      <c r="Y655">
        <v>3</v>
      </c>
      <c r="Z655">
        <v>4</v>
      </c>
      <c r="AA655">
        <v>80</v>
      </c>
      <c r="AB655">
        <v>1</v>
      </c>
      <c r="AC655">
        <v>31</v>
      </c>
      <c r="AD655">
        <v>3</v>
      </c>
      <c r="AE655">
        <v>3</v>
      </c>
      <c r="AF655">
        <v>31</v>
      </c>
      <c r="AG655">
        <v>6</v>
      </c>
      <c r="AH655">
        <v>14</v>
      </c>
      <c r="AI655">
        <v>7</v>
      </c>
      <c r="AJ655">
        <f t="shared" si="100"/>
        <v>0</v>
      </c>
      <c r="AK655">
        <f t="shared" si="101"/>
        <v>0</v>
      </c>
      <c r="AL655">
        <f t="shared" si="102"/>
        <v>1</v>
      </c>
      <c r="AM655">
        <f t="shared" si="103"/>
        <v>2.25</v>
      </c>
      <c r="AN655">
        <f t="shared" si="104"/>
        <v>6721.5</v>
      </c>
      <c r="AO655">
        <f t="shared" si="105"/>
        <v>0.96875</v>
      </c>
      <c r="AP655" t="str">
        <f t="shared" si="106"/>
        <v>50+</v>
      </c>
      <c r="AQ655" t="str">
        <f t="shared" si="107"/>
        <v>Very High</v>
      </c>
      <c r="AR655" t="str">
        <f t="shared" si="108"/>
        <v>Short</v>
      </c>
      <c r="AS655">
        <f t="shared" si="109"/>
        <v>0</v>
      </c>
    </row>
    <row r="656" spans="1:4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s="20">
        <v>5204</v>
      </c>
      <c r="T656">
        <v>7790</v>
      </c>
      <c r="U656">
        <v>8</v>
      </c>
      <c r="V656" t="s">
        <v>42</v>
      </c>
      <c r="W656" t="s">
        <v>43</v>
      </c>
      <c r="X656" s="19">
        <v>11</v>
      </c>
      <c r="Y656">
        <v>3</v>
      </c>
      <c r="Z656">
        <v>3</v>
      </c>
      <c r="AA656">
        <v>80</v>
      </c>
      <c r="AB656">
        <v>2</v>
      </c>
      <c r="AC656">
        <v>13</v>
      </c>
      <c r="AD656">
        <v>2</v>
      </c>
      <c r="AE656">
        <v>3</v>
      </c>
      <c r="AF656">
        <v>5</v>
      </c>
      <c r="AG656">
        <v>4</v>
      </c>
      <c r="AH656">
        <v>0</v>
      </c>
      <c r="AI656">
        <v>4</v>
      </c>
      <c r="AJ656">
        <f t="shared" si="100"/>
        <v>0</v>
      </c>
      <c r="AK656">
        <f t="shared" si="101"/>
        <v>0</v>
      </c>
      <c r="AL656">
        <f t="shared" si="102"/>
        <v>0</v>
      </c>
      <c r="AM656">
        <f t="shared" si="103"/>
        <v>3.5</v>
      </c>
      <c r="AN656">
        <f t="shared" si="104"/>
        <v>10408</v>
      </c>
      <c r="AO656">
        <f t="shared" si="105"/>
        <v>0.35714285714285715</v>
      </c>
      <c r="AP656" t="str">
        <f t="shared" si="106"/>
        <v>30-39</v>
      </c>
      <c r="AQ656" t="str">
        <f t="shared" si="107"/>
        <v>High</v>
      </c>
      <c r="AR656" t="str">
        <f t="shared" si="108"/>
        <v>Short</v>
      </c>
      <c r="AS656">
        <f t="shared" si="109"/>
        <v>0</v>
      </c>
    </row>
    <row r="657" spans="1:4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s="20">
        <v>2277</v>
      </c>
      <c r="T657">
        <v>22650</v>
      </c>
      <c r="U657">
        <v>3</v>
      </c>
      <c r="V657" t="s">
        <v>42</v>
      </c>
      <c r="W657" t="s">
        <v>35</v>
      </c>
      <c r="X657" s="19">
        <v>11</v>
      </c>
      <c r="Y657">
        <v>3</v>
      </c>
      <c r="Z657">
        <v>3</v>
      </c>
      <c r="AA657">
        <v>80</v>
      </c>
      <c r="AB657">
        <v>1</v>
      </c>
      <c r="AC657">
        <v>7</v>
      </c>
      <c r="AD657">
        <v>4</v>
      </c>
      <c r="AE657">
        <v>4</v>
      </c>
      <c r="AF657">
        <v>4</v>
      </c>
      <c r="AG657">
        <v>3</v>
      </c>
      <c r="AH657">
        <v>0</v>
      </c>
      <c r="AI657">
        <v>3</v>
      </c>
      <c r="AJ657">
        <f t="shared" si="100"/>
        <v>0</v>
      </c>
      <c r="AK657">
        <f t="shared" si="101"/>
        <v>1</v>
      </c>
      <c r="AL657">
        <f t="shared" si="102"/>
        <v>1</v>
      </c>
      <c r="AM657">
        <f t="shared" si="103"/>
        <v>3.25</v>
      </c>
      <c r="AN657">
        <f t="shared" si="104"/>
        <v>5464.8</v>
      </c>
      <c r="AO657">
        <f t="shared" si="105"/>
        <v>0.5</v>
      </c>
      <c r="AP657" t="str">
        <f t="shared" si="106"/>
        <v>30-39</v>
      </c>
      <c r="AQ657" t="str">
        <f t="shared" si="107"/>
        <v>Low</v>
      </c>
      <c r="AR657" t="str">
        <f t="shared" si="108"/>
        <v>Short</v>
      </c>
      <c r="AS657">
        <f t="shared" si="109"/>
        <v>0</v>
      </c>
    </row>
    <row r="658" spans="1:4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s="20">
        <v>2795</v>
      </c>
      <c r="T658">
        <v>18016</v>
      </c>
      <c r="U658">
        <v>1</v>
      </c>
      <c r="V658" t="s">
        <v>42</v>
      </c>
      <c r="W658" t="s">
        <v>35</v>
      </c>
      <c r="X658" s="19">
        <v>24</v>
      </c>
      <c r="Y658">
        <v>4</v>
      </c>
      <c r="Z658">
        <v>3</v>
      </c>
      <c r="AA658">
        <v>80</v>
      </c>
      <c r="AB658">
        <v>0</v>
      </c>
      <c r="AC658">
        <v>1</v>
      </c>
      <c r="AD658">
        <v>2</v>
      </c>
      <c r="AE658">
        <v>1</v>
      </c>
      <c r="AF658">
        <v>1</v>
      </c>
      <c r="AG658">
        <v>0</v>
      </c>
      <c r="AH658">
        <v>0</v>
      </c>
      <c r="AI658">
        <v>1</v>
      </c>
      <c r="AJ658">
        <f t="shared" si="100"/>
        <v>1</v>
      </c>
      <c r="AK658">
        <f t="shared" si="101"/>
        <v>1</v>
      </c>
      <c r="AL658">
        <f t="shared" si="102"/>
        <v>1</v>
      </c>
      <c r="AM658">
        <f t="shared" si="103"/>
        <v>2.25</v>
      </c>
      <c r="AN658">
        <f t="shared" si="104"/>
        <v>16770</v>
      </c>
      <c r="AO658">
        <f t="shared" si="105"/>
        <v>0.5</v>
      </c>
      <c r="AP658" t="str">
        <f t="shared" si="106"/>
        <v>30-39</v>
      </c>
      <c r="AQ658" t="str">
        <f t="shared" si="107"/>
        <v>Low</v>
      </c>
      <c r="AR658" t="str">
        <f t="shared" si="108"/>
        <v>Long</v>
      </c>
      <c r="AS658">
        <f t="shared" si="109"/>
        <v>0</v>
      </c>
    </row>
    <row r="659" spans="1:4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s="20">
        <v>2532</v>
      </c>
      <c r="T659">
        <v>6054</v>
      </c>
      <c r="U659">
        <v>6</v>
      </c>
      <c r="V659" t="s">
        <v>42</v>
      </c>
      <c r="W659" t="s">
        <v>43</v>
      </c>
      <c r="X659" s="19">
        <v>14</v>
      </c>
      <c r="Y659">
        <v>3</v>
      </c>
      <c r="Z659">
        <v>3</v>
      </c>
      <c r="AA659">
        <v>80</v>
      </c>
      <c r="AB659">
        <v>3</v>
      </c>
      <c r="AC659">
        <v>8</v>
      </c>
      <c r="AD659">
        <v>5</v>
      </c>
      <c r="AE659">
        <v>3</v>
      </c>
      <c r="AF659">
        <v>4</v>
      </c>
      <c r="AG659">
        <v>3</v>
      </c>
      <c r="AH659">
        <v>0</v>
      </c>
      <c r="AI659">
        <v>3</v>
      </c>
      <c r="AJ659">
        <f t="shared" si="100"/>
        <v>0</v>
      </c>
      <c r="AK659">
        <f t="shared" si="101"/>
        <v>0</v>
      </c>
      <c r="AL659">
        <f t="shared" si="102"/>
        <v>0</v>
      </c>
      <c r="AM659">
        <f t="shared" si="103"/>
        <v>2.75</v>
      </c>
      <c r="AN659">
        <f t="shared" si="104"/>
        <v>6076.8</v>
      </c>
      <c r="AO659">
        <f t="shared" si="105"/>
        <v>0.44444444444444442</v>
      </c>
      <c r="AP659" t="str">
        <f t="shared" si="106"/>
        <v>Under 30</v>
      </c>
      <c r="AQ659" t="str">
        <f t="shared" si="107"/>
        <v>Low</v>
      </c>
      <c r="AR659" t="str">
        <f t="shared" si="108"/>
        <v>Medium</v>
      </c>
      <c r="AS659">
        <f t="shared" si="109"/>
        <v>0</v>
      </c>
    </row>
    <row r="660" spans="1:4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s="20">
        <v>2559</v>
      </c>
      <c r="T660">
        <v>7508</v>
      </c>
      <c r="U660">
        <v>1</v>
      </c>
      <c r="V660" t="s">
        <v>42</v>
      </c>
      <c r="W660" t="s">
        <v>35</v>
      </c>
      <c r="X660" s="19">
        <v>13</v>
      </c>
      <c r="Y660">
        <v>3</v>
      </c>
      <c r="Z660">
        <v>4</v>
      </c>
      <c r="AA660">
        <v>80</v>
      </c>
      <c r="AB660">
        <v>0</v>
      </c>
      <c r="AC660">
        <v>8</v>
      </c>
      <c r="AD660">
        <v>0</v>
      </c>
      <c r="AE660">
        <v>3</v>
      </c>
      <c r="AF660">
        <v>8</v>
      </c>
      <c r="AG660">
        <v>7</v>
      </c>
      <c r="AH660">
        <v>7</v>
      </c>
      <c r="AI660">
        <v>1</v>
      </c>
      <c r="AJ660">
        <f t="shared" si="100"/>
        <v>0</v>
      </c>
      <c r="AK660">
        <f t="shared" si="101"/>
        <v>1</v>
      </c>
      <c r="AL660">
        <f t="shared" si="102"/>
        <v>1</v>
      </c>
      <c r="AM660">
        <f t="shared" si="103"/>
        <v>2.5</v>
      </c>
      <c r="AN660">
        <f t="shared" si="104"/>
        <v>3412</v>
      </c>
      <c r="AO660">
        <f t="shared" si="105"/>
        <v>0.88888888888888884</v>
      </c>
      <c r="AP660" t="str">
        <f t="shared" si="106"/>
        <v>40-49</v>
      </c>
      <c r="AQ660" t="str">
        <f t="shared" si="107"/>
        <v>Low</v>
      </c>
      <c r="AR660" t="str">
        <f t="shared" si="108"/>
        <v>Medium</v>
      </c>
      <c r="AS660">
        <f t="shared" si="109"/>
        <v>0</v>
      </c>
    </row>
    <row r="661" spans="1:4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s="20">
        <v>4908</v>
      </c>
      <c r="T661">
        <v>24252</v>
      </c>
      <c r="U661">
        <v>1</v>
      </c>
      <c r="V661" t="s">
        <v>42</v>
      </c>
      <c r="W661" t="s">
        <v>43</v>
      </c>
      <c r="X661" s="19">
        <v>14</v>
      </c>
      <c r="Y661">
        <v>3</v>
      </c>
      <c r="Z661">
        <v>2</v>
      </c>
      <c r="AA661">
        <v>80</v>
      </c>
      <c r="AB661">
        <v>0</v>
      </c>
      <c r="AC661">
        <v>4</v>
      </c>
      <c r="AD661">
        <v>3</v>
      </c>
      <c r="AE661">
        <v>3</v>
      </c>
      <c r="AF661">
        <v>4</v>
      </c>
      <c r="AG661">
        <v>2</v>
      </c>
      <c r="AH661">
        <v>0</v>
      </c>
      <c r="AI661">
        <v>2</v>
      </c>
      <c r="AJ661">
        <f t="shared" si="100"/>
        <v>0</v>
      </c>
      <c r="AK661">
        <f t="shared" si="101"/>
        <v>0</v>
      </c>
      <c r="AL661">
        <f t="shared" si="102"/>
        <v>1</v>
      </c>
      <c r="AM661">
        <f t="shared" si="103"/>
        <v>2.5</v>
      </c>
      <c r="AN661">
        <f t="shared" si="104"/>
        <v>11779.2</v>
      </c>
      <c r="AO661">
        <f t="shared" si="105"/>
        <v>0.8</v>
      </c>
      <c r="AP661" t="str">
        <f t="shared" si="106"/>
        <v>Under 30</v>
      </c>
      <c r="AQ661" t="str">
        <f t="shared" si="107"/>
        <v>Medium</v>
      </c>
      <c r="AR661" t="str">
        <f t="shared" si="108"/>
        <v>Short</v>
      </c>
      <c r="AS661">
        <f t="shared" si="109"/>
        <v>0</v>
      </c>
    </row>
    <row r="662" spans="1:4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s="20">
        <v>2380</v>
      </c>
      <c r="T662">
        <v>13384</v>
      </c>
      <c r="U662">
        <v>9</v>
      </c>
      <c r="V662" t="s">
        <v>42</v>
      </c>
      <c r="W662" t="s">
        <v>35</v>
      </c>
      <c r="X662" s="19">
        <v>14</v>
      </c>
      <c r="Y662">
        <v>3</v>
      </c>
      <c r="Z662">
        <v>4</v>
      </c>
      <c r="AA662">
        <v>80</v>
      </c>
      <c r="AB662">
        <v>1</v>
      </c>
      <c r="AC662">
        <v>10</v>
      </c>
      <c r="AD662">
        <v>3</v>
      </c>
      <c r="AE662">
        <v>2</v>
      </c>
      <c r="AF662">
        <v>1</v>
      </c>
      <c r="AG662">
        <v>0</v>
      </c>
      <c r="AH662">
        <v>0</v>
      </c>
      <c r="AI662">
        <v>0</v>
      </c>
      <c r="AJ662">
        <f t="shared" si="100"/>
        <v>1</v>
      </c>
      <c r="AK662">
        <f t="shared" si="101"/>
        <v>1</v>
      </c>
      <c r="AL662">
        <f t="shared" si="102"/>
        <v>1</v>
      </c>
      <c r="AM662">
        <f t="shared" si="103"/>
        <v>3.5</v>
      </c>
      <c r="AN662">
        <f t="shared" si="104"/>
        <v>14280</v>
      </c>
      <c r="AO662">
        <f t="shared" si="105"/>
        <v>9.0909090909090912E-2</v>
      </c>
      <c r="AP662" t="str">
        <f t="shared" si="106"/>
        <v>50+</v>
      </c>
      <c r="AQ662" t="str">
        <f t="shared" si="107"/>
        <v>Low</v>
      </c>
      <c r="AR662" t="str">
        <f t="shared" si="108"/>
        <v>Short</v>
      </c>
      <c r="AS662">
        <f t="shared" si="109"/>
        <v>1</v>
      </c>
    </row>
    <row r="663" spans="1:4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s="20">
        <v>4765</v>
      </c>
      <c r="T663">
        <v>23814</v>
      </c>
      <c r="U663">
        <v>4</v>
      </c>
      <c r="V663" t="s">
        <v>42</v>
      </c>
      <c r="W663" t="s">
        <v>43</v>
      </c>
      <c r="X663" s="19">
        <v>21</v>
      </c>
      <c r="Y663">
        <v>4</v>
      </c>
      <c r="Z663">
        <v>3</v>
      </c>
      <c r="AA663">
        <v>80</v>
      </c>
      <c r="AB663">
        <v>1</v>
      </c>
      <c r="AC663">
        <v>4</v>
      </c>
      <c r="AD663">
        <v>2</v>
      </c>
      <c r="AE663">
        <v>4</v>
      </c>
      <c r="AF663">
        <v>1</v>
      </c>
      <c r="AG663">
        <v>0</v>
      </c>
      <c r="AH663">
        <v>0</v>
      </c>
      <c r="AI663">
        <v>0</v>
      </c>
      <c r="AJ663">
        <f t="shared" si="100"/>
        <v>0</v>
      </c>
      <c r="AK663">
        <f t="shared" si="101"/>
        <v>0</v>
      </c>
      <c r="AL663">
        <f t="shared" si="102"/>
        <v>0</v>
      </c>
      <c r="AM663">
        <f t="shared" si="103"/>
        <v>2.5</v>
      </c>
      <c r="AN663">
        <f t="shared" si="104"/>
        <v>28590</v>
      </c>
      <c r="AO663">
        <f t="shared" si="105"/>
        <v>0.2</v>
      </c>
      <c r="AP663" t="str">
        <f t="shared" si="106"/>
        <v>40-49</v>
      </c>
      <c r="AQ663" t="str">
        <f t="shared" si="107"/>
        <v>Medium</v>
      </c>
      <c r="AR663" t="str">
        <f t="shared" si="108"/>
        <v>Medium</v>
      </c>
      <c r="AS663">
        <f t="shared" si="109"/>
        <v>0</v>
      </c>
    </row>
    <row r="664" spans="1:4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s="20">
        <v>2044</v>
      </c>
      <c r="T664">
        <v>22052</v>
      </c>
      <c r="U664">
        <v>1</v>
      </c>
      <c r="V664" t="s">
        <v>42</v>
      </c>
      <c r="W664" t="s">
        <v>43</v>
      </c>
      <c r="X664" s="19">
        <v>13</v>
      </c>
      <c r="Y664">
        <v>3</v>
      </c>
      <c r="Z664">
        <v>4</v>
      </c>
      <c r="AA664">
        <v>80</v>
      </c>
      <c r="AB664">
        <v>0</v>
      </c>
      <c r="AC664">
        <v>2</v>
      </c>
      <c r="AD664">
        <v>3</v>
      </c>
      <c r="AE664">
        <v>2</v>
      </c>
      <c r="AF664">
        <v>2</v>
      </c>
      <c r="AG664">
        <v>2</v>
      </c>
      <c r="AH664">
        <v>0</v>
      </c>
      <c r="AI664">
        <v>2</v>
      </c>
      <c r="AJ664">
        <f t="shared" si="100"/>
        <v>1</v>
      </c>
      <c r="AK664">
        <f t="shared" si="101"/>
        <v>0</v>
      </c>
      <c r="AL664">
        <f t="shared" si="102"/>
        <v>0</v>
      </c>
      <c r="AM664">
        <f t="shared" si="103"/>
        <v>3</v>
      </c>
      <c r="AN664">
        <f t="shared" si="104"/>
        <v>8176</v>
      </c>
      <c r="AO664">
        <f t="shared" si="105"/>
        <v>0.66666666666666663</v>
      </c>
      <c r="AP664" t="str">
        <f t="shared" si="106"/>
        <v>Under 30</v>
      </c>
      <c r="AQ664" t="str">
        <f t="shared" si="107"/>
        <v>Low</v>
      </c>
      <c r="AR664" t="str">
        <f t="shared" si="108"/>
        <v>Short</v>
      </c>
      <c r="AS664">
        <f t="shared" si="109"/>
        <v>0</v>
      </c>
    </row>
    <row r="665" spans="1:4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s="20">
        <v>2693</v>
      </c>
      <c r="T665">
        <v>8870</v>
      </c>
      <c r="U665">
        <v>1</v>
      </c>
      <c r="V665" t="s">
        <v>42</v>
      </c>
      <c r="W665" t="s">
        <v>43</v>
      </c>
      <c r="X665" s="19">
        <v>19</v>
      </c>
      <c r="Y665">
        <v>3</v>
      </c>
      <c r="Z665">
        <v>1</v>
      </c>
      <c r="AA665">
        <v>80</v>
      </c>
      <c r="AB665">
        <v>0</v>
      </c>
      <c r="AC665">
        <v>1</v>
      </c>
      <c r="AD665">
        <v>3</v>
      </c>
      <c r="AE665">
        <v>2</v>
      </c>
      <c r="AF665">
        <v>1</v>
      </c>
      <c r="AG665">
        <v>0</v>
      </c>
      <c r="AH665">
        <v>0</v>
      </c>
      <c r="AI665">
        <v>0</v>
      </c>
      <c r="AJ665">
        <f t="shared" si="100"/>
        <v>1</v>
      </c>
      <c r="AK665">
        <f t="shared" si="101"/>
        <v>0</v>
      </c>
      <c r="AL665">
        <f t="shared" si="102"/>
        <v>0</v>
      </c>
      <c r="AM665">
        <f t="shared" si="103"/>
        <v>2.75</v>
      </c>
      <c r="AN665">
        <f t="shared" si="104"/>
        <v>16158</v>
      </c>
      <c r="AO665">
        <f t="shared" si="105"/>
        <v>0.5</v>
      </c>
      <c r="AP665" t="str">
        <f t="shared" si="106"/>
        <v>Under 30</v>
      </c>
      <c r="AQ665" t="str">
        <f t="shared" si="107"/>
        <v>Low</v>
      </c>
      <c r="AR665" t="str">
        <f t="shared" si="108"/>
        <v>Long</v>
      </c>
      <c r="AS665">
        <f t="shared" si="109"/>
        <v>0</v>
      </c>
    </row>
    <row r="666" spans="1:4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s="20">
        <v>6586</v>
      </c>
      <c r="T666">
        <v>4821</v>
      </c>
      <c r="U666">
        <v>0</v>
      </c>
      <c r="V666" t="s">
        <v>42</v>
      </c>
      <c r="W666" t="s">
        <v>35</v>
      </c>
      <c r="X666" s="19">
        <v>17</v>
      </c>
      <c r="Y666">
        <v>3</v>
      </c>
      <c r="Z666">
        <v>1</v>
      </c>
      <c r="AA666">
        <v>80</v>
      </c>
      <c r="AB666">
        <v>1</v>
      </c>
      <c r="AC666">
        <v>17</v>
      </c>
      <c r="AD666">
        <v>2</v>
      </c>
      <c r="AE666">
        <v>2</v>
      </c>
      <c r="AF666">
        <v>16</v>
      </c>
      <c r="AG666">
        <v>8</v>
      </c>
      <c r="AH666">
        <v>4</v>
      </c>
      <c r="AI666">
        <v>11</v>
      </c>
      <c r="AJ666">
        <f t="shared" si="100"/>
        <v>0</v>
      </c>
      <c r="AK666">
        <f t="shared" si="101"/>
        <v>1</v>
      </c>
      <c r="AL666">
        <f t="shared" si="102"/>
        <v>1</v>
      </c>
      <c r="AM666">
        <f t="shared" si="103"/>
        <v>2.5</v>
      </c>
      <c r="AN666">
        <f t="shared" si="104"/>
        <v>4648.9411764705883</v>
      </c>
      <c r="AO666">
        <f t="shared" si="105"/>
        <v>0.88888888888888884</v>
      </c>
      <c r="AP666" t="str">
        <f t="shared" si="106"/>
        <v>30-39</v>
      </c>
      <c r="AQ666" t="str">
        <f t="shared" si="107"/>
        <v>High</v>
      </c>
      <c r="AR666" t="str">
        <f t="shared" si="108"/>
        <v>Medium</v>
      </c>
      <c r="AS666">
        <f t="shared" si="109"/>
        <v>0</v>
      </c>
    </row>
    <row r="667" spans="1:4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s="20">
        <v>3294</v>
      </c>
      <c r="T667">
        <v>13137</v>
      </c>
      <c r="U667">
        <v>1</v>
      </c>
      <c r="V667" t="s">
        <v>42</v>
      </c>
      <c r="W667" t="s">
        <v>35</v>
      </c>
      <c r="X667" s="19">
        <v>18</v>
      </c>
      <c r="Y667">
        <v>3</v>
      </c>
      <c r="Z667">
        <v>1</v>
      </c>
      <c r="AA667">
        <v>80</v>
      </c>
      <c r="AB667">
        <v>0</v>
      </c>
      <c r="AC667">
        <v>3</v>
      </c>
      <c r="AD667">
        <v>3</v>
      </c>
      <c r="AE667">
        <v>2</v>
      </c>
      <c r="AF667">
        <v>3</v>
      </c>
      <c r="AG667">
        <v>2</v>
      </c>
      <c r="AH667">
        <v>1</v>
      </c>
      <c r="AI667">
        <v>2</v>
      </c>
      <c r="AJ667">
        <f t="shared" si="100"/>
        <v>0</v>
      </c>
      <c r="AK667">
        <f t="shared" si="101"/>
        <v>1</v>
      </c>
      <c r="AL667">
        <f t="shared" si="102"/>
        <v>0</v>
      </c>
      <c r="AM667">
        <f t="shared" si="103"/>
        <v>2.75</v>
      </c>
      <c r="AN667">
        <f t="shared" si="104"/>
        <v>9882</v>
      </c>
      <c r="AO667">
        <f t="shared" si="105"/>
        <v>0.75</v>
      </c>
      <c r="AP667" t="str">
        <f t="shared" si="106"/>
        <v>40-49</v>
      </c>
      <c r="AQ667" t="str">
        <f t="shared" si="107"/>
        <v>Medium</v>
      </c>
      <c r="AR667" t="str">
        <f t="shared" si="108"/>
        <v>Short</v>
      </c>
      <c r="AS667">
        <f t="shared" si="109"/>
        <v>0</v>
      </c>
    </row>
    <row r="668" spans="1:4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s="20">
        <v>4171</v>
      </c>
      <c r="T668">
        <v>10022</v>
      </c>
      <c r="U668">
        <v>0</v>
      </c>
      <c r="V668" t="s">
        <v>42</v>
      </c>
      <c r="W668" t="s">
        <v>35</v>
      </c>
      <c r="X668" s="19">
        <v>19</v>
      </c>
      <c r="Y668">
        <v>3</v>
      </c>
      <c r="Z668">
        <v>1</v>
      </c>
      <c r="AA668">
        <v>80</v>
      </c>
      <c r="AB668">
        <v>1</v>
      </c>
      <c r="AC668">
        <v>4</v>
      </c>
      <c r="AD668">
        <v>3</v>
      </c>
      <c r="AE668">
        <v>4</v>
      </c>
      <c r="AF668">
        <v>3</v>
      </c>
      <c r="AG668">
        <v>2</v>
      </c>
      <c r="AH668">
        <v>0</v>
      </c>
      <c r="AI668">
        <v>2</v>
      </c>
      <c r="AJ668">
        <f t="shared" si="100"/>
        <v>1</v>
      </c>
      <c r="AK668">
        <f t="shared" si="101"/>
        <v>1</v>
      </c>
      <c r="AL668">
        <f t="shared" si="102"/>
        <v>0</v>
      </c>
      <c r="AM668">
        <f t="shared" si="103"/>
        <v>2.5</v>
      </c>
      <c r="AN668">
        <f t="shared" si="104"/>
        <v>12513</v>
      </c>
      <c r="AO668">
        <f t="shared" si="105"/>
        <v>0.6</v>
      </c>
      <c r="AP668" t="str">
        <f t="shared" si="106"/>
        <v>Under 30</v>
      </c>
      <c r="AQ668" t="str">
        <f t="shared" si="107"/>
        <v>Medium</v>
      </c>
      <c r="AR668" t="str">
        <f t="shared" si="108"/>
        <v>Short</v>
      </c>
      <c r="AS668">
        <f t="shared" si="109"/>
        <v>0</v>
      </c>
    </row>
    <row r="669" spans="1:4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s="20">
        <v>2778</v>
      </c>
      <c r="T669">
        <v>17725</v>
      </c>
      <c r="U669">
        <v>4</v>
      </c>
      <c r="V669" t="s">
        <v>42</v>
      </c>
      <c r="W669" t="s">
        <v>35</v>
      </c>
      <c r="X669" s="19">
        <v>13</v>
      </c>
      <c r="Y669">
        <v>3</v>
      </c>
      <c r="Z669">
        <v>3</v>
      </c>
      <c r="AA669">
        <v>80</v>
      </c>
      <c r="AB669">
        <v>1</v>
      </c>
      <c r="AC669">
        <v>10</v>
      </c>
      <c r="AD669">
        <v>1</v>
      </c>
      <c r="AE669">
        <v>2</v>
      </c>
      <c r="AF669">
        <v>7</v>
      </c>
      <c r="AG669">
        <v>7</v>
      </c>
      <c r="AH669">
        <v>1</v>
      </c>
      <c r="AI669">
        <v>0</v>
      </c>
      <c r="AJ669">
        <f t="shared" si="100"/>
        <v>1</v>
      </c>
      <c r="AK669">
        <f t="shared" si="101"/>
        <v>1</v>
      </c>
      <c r="AL669">
        <f t="shared" si="102"/>
        <v>0</v>
      </c>
      <c r="AM669">
        <f t="shared" si="103"/>
        <v>2.75</v>
      </c>
      <c r="AN669">
        <f t="shared" si="104"/>
        <v>4167</v>
      </c>
      <c r="AO669">
        <f t="shared" si="105"/>
        <v>0.63636363636363635</v>
      </c>
      <c r="AP669" t="str">
        <f t="shared" si="106"/>
        <v>40-49</v>
      </c>
      <c r="AQ669" t="str">
        <f t="shared" si="107"/>
        <v>Low</v>
      </c>
      <c r="AR669" t="str">
        <f t="shared" si="108"/>
        <v>Short</v>
      </c>
      <c r="AS669">
        <f t="shared" si="109"/>
        <v>0</v>
      </c>
    </row>
    <row r="670" spans="1:4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s="20">
        <v>2377</v>
      </c>
      <c r="T670">
        <v>9834</v>
      </c>
      <c r="U670">
        <v>5</v>
      </c>
      <c r="V670" t="s">
        <v>42</v>
      </c>
      <c r="W670" t="s">
        <v>43</v>
      </c>
      <c r="X670" s="19">
        <v>18</v>
      </c>
      <c r="Y670">
        <v>3</v>
      </c>
      <c r="Z670">
        <v>2</v>
      </c>
      <c r="AA670">
        <v>80</v>
      </c>
      <c r="AB670">
        <v>1</v>
      </c>
      <c r="AC670">
        <v>6</v>
      </c>
      <c r="AD670">
        <v>2</v>
      </c>
      <c r="AE670">
        <v>3</v>
      </c>
      <c r="AF670">
        <v>2</v>
      </c>
      <c r="AG670">
        <v>2</v>
      </c>
      <c r="AH670">
        <v>2</v>
      </c>
      <c r="AI670">
        <v>2</v>
      </c>
      <c r="AJ670">
        <f t="shared" si="100"/>
        <v>0</v>
      </c>
      <c r="AK670">
        <f t="shared" si="101"/>
        <v>0</v>
      </c>
      <c r="AL670">
        <f t="shared" si="102"/>
        <v>0</v>
      </c>
      <c r="AM670">
        <f t="shared" si="103"/>
        <v>2.75</v>
      </c>
      <c r="AN670">
        <f t="shared" si="104"/>
        <v>9508</v>
      </c>
      <c r="AO670">
        <f t="shared" si="105"/>
        <v>0.2857142857142857</v>
      </c>
      <c r="AP670" t="str">
        <f t="shared" si="106"/>
        <v>Under 30</v>
      </c>
      <c r="AQ670" t="str">
        <f t="shared" si="107"/>
        <v>Low</v>
      </c>
      <c r="AR670" t="str">
        <f t="shared" si="108"/>
        <v>Medium</v>
      </c>
      <c r="AS670">
        <f t="shared" si="109"/>
        <v>0</v>
      </c>
    </row>
    <row r="671" spans="1:4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s="20">
        <v>2404</v>
      </c>
      <c r="T671">
        <v>4303</v>
      </c>
      <c r="U671">
        <v>7</v>
      </c>
      <c r="V671" t="s">
        <v>42</v>
      </c>
      <c r="W671" t="s">
        <v>35</v>
      </c>
      <c r="X671" s="19">
        <v>21</v>
      </c>
      <c r="Y671">
        <v>4</v>
      </c>
      <c r="Z671">
        <v>4</v>
      </c>
      <c r="AA671">
        <v>80</v>
      </c>
      <c r="AB671">
        <v>0</v>
      </c>
      <c r="AC671">
        <v>8</v>
      </c>
      <c r="AD671">
        <v>2</v>
      </c>
      <c r="AE671">
        <v>1</v>
      </c>
      <c r="AF671">
        <v>2</v>
      </c>
      <c r="AG671">
        <v>2</v>
      </c>
      <c r="AH671">
        <v>2</v>
      </c>
      <c r="AI671">
        <v>2</v>
      </c>
      <c r="AJ671">
        <f t="shared" si="100"/>
        <v>1</v>
      </c>
      <c r="AK671">
        <f t="shared" si="101"/>
        <v>1</v>
      </c>
      <c r="AL671">
        <f t="shared" si="102"/>
        <v>1</v>
      </c>
      <c r="AM671">
        <f t="shared" si="103"/>
        <v>2.5</v>
      </c>
      <c r="AN671">
        <f t="shared" si="104"/>
        <v>9616</v>
      </c>
      <c r="AO671">
        <f t="shared" si="105"/>
        <v>0.22222222222222221</v>
      </c>
      <c r="AP671" t="str">
        <f t="shared" si="106"/>
        <v>30-39</v>
      </c>
      <c r="AQ671" t="str">
        <f t="shared" si="107"/>
        <v>Low</v>
      </c>
      <c r="AR671" t="str">
        <f t="shared" si="108"/>
        <v>Medium</v>
      </c>
      <c r="AS671">
        <f t="shared" si="109"/>
        <v>0</v>
      </c>
    </row>
    <row r="672" spans="1:4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s="20">
        <v>2674</v>
      </c>
      <c r="T672">
        <v>17808</v>
      </c>
      <c r="U672">
        <v>1</v>
      </c>
      <c r="V672" t="s">
        <v>42</v>
      </c>
      <c r="W672" t="s">
        <v>43</v>
      </c>
      <c r="X672" s="19">
        <v>19</v>
      </c>
      <c r="Y672">
        <v>3</v>
      </c>
      <c r="Z672">
        <v>3</v>
      </c>
      <c r="AA672">
        <v>80</v>
      </c>
      <c r="AB672">
        <v>0</v>
      </c>
      <c r="AC672">
        <v>1</v>
      </c>
      <c r="AD672">
        <v>2</v>
      </c>
      <c r="AE672">
        <v>3</v>
      </c>
      <c r="AF672">
        <v>1</v>
      </c>
      <c r="AG672">
        <v>1</v>
      </c>
      <c r="AH672">
        <v>0</v>
      </c>
      <c r="AI672">
        <v>0</v>
      </c>
      <c r="AJ672">
        <f t="shared" si="100"/>
        <v>0</v>
      </c>
      <c r="AK672">
        <f t="shared" si="101"/>
        <v>0</v>
      </c>
      <c r="AL672">
        <f t="shared" si="102"/>
        <v>0</v>
      </c>
      <c r="AM672">
        <f t="shared" si="103"/>
        <v>2.75</v>
      </c>
      <c r="AN672">
        <f t="shared" si="104"/>
        <v>16044</v>
      </c>
      <c r="AO672">
        <f t="shared" si="105"/>
        <v>0.5</v>
      </c>
      <c r="AP672" t="str">
        <f t="shared" si="106"/>
        <v>Under 30</v>
      </c>
      <c r="AQ672" t="str">
        <f t="shared" si="107"/>
        <v>Low</v>
      </c>
      <c r="AR672" t="str">
        <f t="shared" si="108"/>
        <v>Short</v>
      </c>
      <c r="AS672">
        <f t="shared" si="109"/>
        <v>0</v>
      </c>
    </row>
    <row r="673" spans="1:4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s="20">
        <v>2008</v>
      </c>
      <c r="T673">
        <v>6896</v>
      </c>
      <c r="U673">
        <v>1</v>
      </c>
      <c r="V673" t="s">
        <v>42</v>
      </c>
      <c r="W673" t="s">
        <v>43</v>
      </c>
      <c r="X673" s="19">
        <v>14</v>
      </c>
      <c r="Y673">
        <v>3</v>
      </c>
      <c r="Z673">
        <v>2</v>
      </c>
      <c r="AA673">
        <v>80</v>
      </c>
      <c r="AB673">
        <v>2</v>
      </c>
      <c r="AC673">
        <v>1</v>
      </c>
      <c r="AD673">
        <v>3</v>
      </c>
      <c r="AE673">
        <v>3</v>
      </c>
      <c r="AF673">
        <v>1</v>
      </c>
      <c r="AG673">
        <v>0</v>
      </c>
      <c r="AH673">
        <v>1</v>
      </c>
      <c r="AI673">
        <v>0</v>
      </c>
      <c r="AJ673">
        <f t="shared" si="100"/>
        <v>0</v>
      </c>
      <c r="AK673">
        <f t="shared" si="101"/>
        <v>0</v>
      </c>
      <c r="AL673">
        <f t="shared" si="102"/>
        <v>1</v>
      </c>
      <c r="AM673">
        <f t="shared" si="103"/>
        <v>2.25</v>
      </c>
      <c r="AN673">
        <f t="shared" si="104"/>
        <v>12048</v>
      </c>
      <c r="AO673">
        <f t="shared" si="105"/>
        <v>0.5</v>
      </c>
      <c r="AP673" t="str">
        <f t="shared" si="106"/>
        <v>30-39</v>
      </c>
      <c r="AQ673" t="str">
        <f t="shared" si="107"/>
        <v>Low</v>
      </c>
      <c r="AR673" t="str">
        <f t="shared" si="108"/>
        <v>Medium</v>
      </c>
      <c r="AS673">
        <f t="shared" si="109"/>
        <v>0</v>
      </c>
    </row>
    <row r="674" spans="1:4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s="20">
        <v>6244</v>
      </c>
      <c r="T674">
        <v>7824</v>
      </c>
      <c r="U674">
        <v>7</v>
      </c>
      <c r="V674" t="s">
        <v>42</v>
      </c>
      <c r="W674" t="s">
        <v>43</v>
      </c>
      <c r="X674" s="19">
        <v>17</v>
      </c>
      <c r="Y674">
        <v>3</v>
      </c>
      <c r="Z674">
        <v>1</v>
      </c>
      <c r="AA674">
        <v>80</v>
      </c>
      <c r="AB674">
        <v>0</v>
      </c>
      <c r="AC674">
        <v>10</v>
      </c>
      <c r="AD674">
        <v>6</v>
      </c>
      <c r="AE674">
        <v>3</v>
      </c>
      <c r="AF674">
        <v>5</v>
      </c>
      <c r="AG674">
        <v>4</v>
      </c>
      <c r="AH674">
        <v>0</v>
      </c>
      <c r="AI674">
        <v>3</v>
      </c>
      <c r="AJ674">
        <f t="shared" si="100"/>
        <v>0</v>
      </c>
      <c r="AK674">
        <f t="shared" si="101"/>
        <v>0</v>
      </c>
      <c r="AL674">
        <f t="shared" si="102"/>
        <v>0</v>
      </c>
      <c r="AM674">
        <f t="shared" si="103"/>
        <v>2.5</v>
      </c>
      <c r="AN674">
        <f t="shared" si="104"/>
        <v>12488</v>
      </c>
      <c r="AO674">
        <f t="shared" si="105"/>
        <v>0.45454545454545453</v>
      </c>
      <c r="AP674" t="str">
        <f t="shared" si="106"/>
        <v>40-49</v>
      </c>
      <c r="AQ674" t="str">
        <f t="shared" si="107"/>
        <v>High</v>
      </c>
      <c r="AR674" t="str">
        <f t="shared" si="108"/>
        <v>Medium</v>
      </c>
      <c r="AS674">
        <f t="shared" si="109"/>
        <v>0</v>
      </c>
    </row>
    <row r="675" spans="1:4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s="20">
        <v>2799</v>
      </c>
      <c r="T675">
        <v>3339</v>
      </c>
      <c r="U675">
        <v>3</v>
      </c>
      <c r="V675" t="s">
        <v>42</v>
      </c>
      <c r="W675" t="s">
        <v>35</v>
      </c>
      <c r="X675" s="19">
        <v>11</v>
      </c>
      <c r="Y675">
        <v>3</v>
      </c>
      <c r="Z675">
        <v>2</v>
      </c>
      <c r="AA675">
        <v>80</v>
      </c>
      <c r="AB675">
        <v>0</v>
      </c>
      <c r="AC675">
        <v>6</v>
      </c>
      <c r="AD675">
        <v>1</v>
      </c>
      <c r="AE675">
        <v>3</v>
      </c>
      <c r="AF675">
        <v>3</v>
      </c>
      <c r="AG675">
        <v>2</v>
      </c>
      <c r="AH675">
        <v>0</v>
      </c>
      <c r="AI675">
        <v>2</v>
      </c>
      <c r="AJ675">
        <f t="shared" si="100"/>
        <v>0</v>
      </c>
      <c r="AK675">
        <f t="shared" si="101"/>
        <v>1</v>
      </c>
      <c r="AL675">
        <f t="shared" si="102"/>
        <v>1</v>
      </c>
      <c r="AM675">
        <f t="shared" si="103"/>
        <v>2.25</v>
      </c>
      <c r="AN675">
        <f t="shared" si="104"/>
        <v>8397</v>
      </c>
      <c r="AO675">
        <f t="shared" si="105"/>
        <v>0.42857142857142855</v>
      </c>
      <c r="AP675" t="str">
        <f t="shared" si="106"/>
        <v>30-39</v>
      </c>
      <c r="AQ675" t="str">
        <f t="shared" si="107"/>
        <v>Low</v>
      </c>
      <c r="AR675" t="str">
        <f t="shared" si="108"/>
        <v>Short</v>
      </c>
      <c r="AS675">
        <f t="shared" si="109"/>
        <v>0</v>
      </c>
    </row>
    <row r="676" spans="1:4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s="20">
        <v>10552</v>
      </c>
      <c r="T676">
        <v>9255</v>
      </c>
      <c r="U676">
        <v>2</v>
      </c>
      <c r="V676" t="s">
        <v>42</v>
      </c>
      <c r="W676" t="s">
        <v>35</v>
      </c>
      <c r="X676" s="19">
        <v>13</v>
      </c>
      <c r="Y676">
        <v>3</v>
      </c>
      <c r="Z676">
        <v>4</v>
      </c>
      <c r="AA676">
        <v>80</v>
      </c>
      <c r="AB676">
        <v>1</v>
      </c>
      <c r="AC676">
        <v>24</v>
      </c>
      <c r="AD676">
        <v>3</v>
      </c>
      <c r="AE676">
        <v>3</v>
      </c>
      <c r="AF676">
        <v>6</v>
      </c>
      <c r="AG676">
        <v>0</v>
      </c>
      <c r="AH676">
        <v>0</v>
      </c>
      <c r="AI676">
        <v>4</v>
      </c>
      <c r="AJ676">
        <f t="shared" si="100"/>
        <v>0</v>
      </c>
      <c r="AK676">
        <f t="shared" si="101"/>
        <v>1</v>
      </c>
      <c r="AL676">
        <f t="shared" si="102"/>
        <v>0</v>
      </c>
      <c r="AM676">
        <f t="shared" si="103"/>
        <v>3</v>
      </c>
      <c r="AN676">
        <f t="shared" si="104"/>
        <v>18089.142857142859</v>
      </c>
      <c r="AO676">
        <f t="shared" si="105"/>
        <v>0.24</v>
      </c>
      <c r="AP676" t="str">
        <f t="shared" si="106"/>
        <v>50+</v>
      </c>
      <c r="AQ676" t="str">
        <f t="shared" si="107"/>
        <v>Very High</v>
      </c>
      <c r="AR676" t="str">
        <f t="shared" si="108"/>
        <v>Short</v>
      </c>
      <c r="AS676">
        <f t="shared" si="109"/>
        <v>0</v>
      </c>
    </row>
    <row r="677" spans="1:45" x14ac:dyDescent="0.3">
      <c r="A677">
        <v>31</v>
      </c>
      <c r="B677" t="s">
        <v>43</v>
      </c>
      <c r="C677" t="s">
        <v>36</v>
      </c>
      <c r="D677">
        <v>154</v>
      </c>
      <c r="E677" t="s">
        <v>37</v>
      </c>
      <c r="F677">
        <v>7</v>
      </c>
      <c r="G677">
        <v>4</v>
      </c>
      <c r="H677" t="s">
        <v>38</v>
      </c>
      <c r="I677">
        <v>1</v>
      </c>
      <c r="J677">
        <v>941</v>
      </c>
      <c r="K677">
        <v>3</v>
      </c>
      <c r="L677" t="s">
        <v>46</v>
      </c>
      <c r="M677">
        <v>41</v>
      </c>
      <c r="N677">
        <v>2</v>
      </c>
      <c r="O677">
        <v>1</v>
      </c>
      <c r="P677" t="s">
        <v>57</v>
      </c>
      <c r="Q677">
        <v>3</v>
      </c>
      <c r="R677" t="s">
        <v>48</v>
      </c>
      <c r="S677" s="20">
        <v>2329</v>
      </c>
      <c r="T677">
        <v>11737</v>
      </c>
      <c r="U677">
        <v>3</v>
      </c>
      <c r="V677" t="s">
        <v>42</v>
      </c>
      <c r="W677" t="s">
        <v>43</v>
      </c>
      <c r="X677" s="19">
        <v>15</v>
      </c>
      <c r="Y677">
        <v>3</v>
      </c>
      <c r="Z677">
        <v>2</v>
      </c>
      <c r="AA677">
        <v>80</v>
      </c>
      <c r="AB677">
        <v>0</v>
      </c>
      <c r="AC677">
        <v>13</v>
      </c>
      <c r="AD677">
        <v>2</v>
      </c>
      <c r="AE677">
        <v>4</v>
      </c>
      <c r="AF677">
        <v>7</v>
      </c>
      <c r="AG677">
        <v>7</v>
      </c>
      <c r="AH677">
        <v>5</v>
      </c>
      <c r="AI677">
        <v>2</v>
      </c>
      <c r="AJ677">
        <f t="shared" si="100"/>
        <v>0</v>
      </c>
      <c r="AK677">
        <f t="shared" si="101"/>
        <v>0</v>
      </c>
      <c r="AL677">
        <f t="shared" si="102"/>
        <v>1</v>
      </c>
      <c r="AM677">
        <f t="shared" si="103"/>
        <v>3</v>
      </c>
      <c r="AN677">
        <f t="shared" si="104"/>
        <v>3493.5</v>
      </c>
      <c r="AO677">
        <f t="shared" si="105"/>
        <v>0.5</v>
      </c>
      <c r="AP677" t="str">
        <f t="shared" si="106"/>
        <v>30-39</v>
      </c>
      <c r="AQ677" t="str">
        <f t="shared" si="107"/>
        <v>Low</v>
      </c>
      <c r="AR677" t="str">
        <f t="shared" si="108"/>
        <v>Medium</v>
      </c>
      <c r="AS677">
        <f t="shared" si="109"/>
        <v>0</v>
      </c>
    </row>
    <row r="678" spans="1:4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s="20">
        <v>4014</v>
      </c>
      <c r="T678">
        <v>19170</v>
      </c>
      <c r="U678">
        <v>1</v>
      </c>
      <c r="V678" t="s">
        <v>42</v>
      </c>
      <c r="W678" t="s">
        <v>35</v>
      </c>
      <c r="X678" s="19">
        <v>25</v>
      </c>
      <c r="Y678">
        <v>4</v>
      </c>
      <c r="Z678">
        <v>4</v>
      </c>
      <c r="AA678">
        <v>80</v>
      </c>
      <c r="AB678">
        <v>1</v>
      </c>
      <c r="AC678">
        <v>10</v>
      </c>
      <c r="AD678">
        <v>2</v>
      </c>
      <c r="AE678">
        <v>1</v>
      </c>
      <c r="AF678">
        <v>10</v>
      </c>
      <c r="AG678">
        <v>6</v>
      </c>
      <c r="AH678">
        <v>0</v>
      </c>
      <c r="AI678">
        <v>7</v>
      </c>
      <c r="AJ678">
        <f t="shared" si="100"/>
        <v>0</v>
      </c>
      <c r="AK678">
        <f t="shared" si="101"/>
        <v>1</v>
      </c>
      <c r="AL678">
        <f t="shared" si="102"/>
        <v>0</v>
      </c>
      <c r="AM678">
        <f t="shared" si="103"/>
        <v>3.25</v>
      </c>
      <c r="AN678">
        <f t="shared" si="104"/>
        <v>4378.909090909091</v>
      </c>
      <c r="AO678">
        <f t="shared" si="105"/>
        <v>0.90909090909090906</v>
      </c>
      <c r="AP678" t="str">
        <f t="shared" si="106"/>
        <v>30-39</v>
      </c>
      <c r="AQ678" t="str">
        <f t="shared" si="107"/>
        <v>Medium</v>
      </c>
      <c r="AR678" t="str">
        <f t="shared" si="108"/>
        <v>Long</v>
      </c>
      <c r="AS678">
        <f t="shared" si="109"/>
        <v>0</v>
      </c>
    </row>
    <row r="679" spans="1:4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s="20">
        <v>7403</v>
      </c>
      <c r="T679">
        <v>22477</v>
      </c>
      <c r="U679">
        <v>4</v>
      </c>
      <c r="V679" t="s">
        <v>42</v>
      </c>
      <c r="W679" t="s">
        <v>43</v>
      </c>
      <c r="X679" s="19">
        <v>11</v>
      </c>
      <c r="Y679">
        <v>3</v>
      </c>
      <c r="Z679">
        <v>3</v>
      </c>
      <c r="AA679">
        <v>80</v>
      </c>
      <c r="AB679">
        <v>1</v>
      </c>
      <c r="AC679">
        <v>29</v>
      </c>
      <c r="AD679">
        <v>3</v>
      </c>
      <c r="AE679">
        <v>2</v>
      </c>
      <c r="AF679">
        <v>26</v>
      </c>
      <c r="AG679">
        <v>9</v>
      </c>
      <c r="AH679">
        <v>1</v>
      </c>
      <c r="AI679">
        <v>7</v>
      </c>
      <c r="AJ679">
        <f t="shared" si="100"/>
        <v>0</v>
      </c>
      <c r="AK679">
        <f t="shared" si="101"/>
        <v>0</v>
      </c>
      <c r="AL679">
        <f t="shared" si="102"/>
        <v>0</v>
      </c>
      <c r="AM679">
        <f t="shared" si="103"/>
        <v>2</v>
      </c>
      <c r="AN679">
        <f t="shared" si="104"/>
        <v>3290.2222222222222</v>
      </c>
      <c r="AO679">
        <f t="shared" si="105"/>
        <v>0.8666666666666667</v>
      </c>
      <c r="AP679" t="str">
        <f t="shared" si="106"/>
        <v>40-49</v>
      </c>
      <c r="AQ679" t="str">
        <f t="shared" si="107"/>
        <v>High</v>
      </c>
      <c r="AR679" t="str">
        <f t="shared" si="108"/>
        <v>Medium</v>
      </c>
      <c r="AS679">
        <f t="shared" si="109"/>
        <v>0</v>
      </c>
    </row>
    <row r="680" spans="1:4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s="20">
        <v>2259</v>
      </c>
      <c r="T680">
        <v>5543</v>
      </c>
      <c r="U680">
        <v>4</v>
      </c>
      <c r="V680" t="s">
        <v>42</v>
      </c>
      <c r="W680" t="s">
        <v>43</v>
      </c>
      <c r="X680" s="19">
        <v>17</v>
      </c>
      <c r="Y680">
        <v>3</v>
      </c>
      <c r="Z680">
        <v>1</v>
      </c>
      <c r="AA680">
        <v>80</v>
      </c>
      <c r="AB680">
        <v>2</v>
      </c>
      <c r="AC680">
        <v>13</v>
      </c>
      <c r="AD680">
        <v>2</v>
      </c>
      <c r="AE680">
        <v>2</v>
      </c>
      <c r="AF680">
        <v>0</v>
      </c>
      <c r="AG680">
        <v>0</v>
      </c>
      <c r="AH680">
        <v>0</v>
      </c>
      <c r="AI680">
        <v>0</v>
      </c>
      <c r="AJ680">
        <f t="shared" si="100"/>
        <v>0</v>
      </c>
      <c r="AK680">
        <f t="shared" si="101"/>
        <v>0</v>
      </c>
      <c r="AL680">
        <f t="shared" si="102"/>
        <v>1</v>
      </c>
      <c r="AM680">
        <f t="shared" si="103"/>
        <v>2.5</v>
      </c>
      <c r="AN680">
        <f t="shared" si="104"/>
        <v>27108</v>
      </c>
      <c r="AO680">
        <f t="shared" si="105"/>
        <v>0</v>
      </c>
      <c r="AP680" t="str">
        <f t="shared" si="106"/>
        <v>40-49</v>
      </c>
      <c r="AQ680" t="str">
        <f t="shared" si="107"/>
        <v>Low</v>
      </c>
      <c r="AR680" t="str">
        <f t="shared" si="108"/>
        <v>Long</v>
      </c>
      <c r="AS680">
        <f t="shared" si="109"/>
        <v>0</v>
      </c>
    </row>
    <row r="681" spans="1:4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s="20">
        <v>6932</v>
      </c>
      <c r="T681">
        <v>24406</v>
      </c>
      <c r="U681">
        <v>1</v>
      </c>
      <c r="V681" t="s">
        <v>42</v>
      </c>
      <c r="W681" t="s">
        <v>43</v>
      </c>
      <c r="X681" s="19">
        <v>13</v>
      </c>
      <c r="Y681">
        <v>3</v>
      </c>
      <c r="Z681">
        <v>4</v>
      </c>
      <c r="AA681">
        <v>80</v>
      </c>
      <c r="AB681">
        <v>1</v>
      </c>
      <c r="AC681">
        <v>9</v>
      </c>
      <c r="AD681">
        <v>2</v>
      </c>
      <c r="AE681">
        <v>2</v>
      </c>
      <c r="AF681">
        <v>9</v>
      </c>
      <c r="AG681">
        <v>8</v>
      </c>
      <c r="AH681">
        <v>0</v>
      </c>
      <c r="AI681">
        <v>0</v>
      </c>
      <c r="AJ681">
        <f t="shared" si="100"/>
        <v>0</v>
      </c>
      <c r="AK681">
        <f t="shared" si="101"/>
        <v>0</v>
      </c>
      <c r="AL681">
        <f t="shared" si="102"/>
        <v>0</v>
      </c>
      <c r="AM681">
        <f t="shared" si="103"/>
        <v>3.25</v>
      </c>
      <c r="AN681">
        <f t="shared" si="104"/>
        <v>8318.4</v>
      </c>
      <c r="AO681">
        <f t="shared" si="105"/>
        <v>0.9</v>
      </c>
      <c r="AP681" t="str">
        <f t="shared" si="106"/>
        <v>30-39</v>
      </c>
      <c r="AQ681" t="str">
        <f t="shared" si="107"/>
        <v>High</v>
      </c>
      <c r="AR681" t="str">
        <f t="shared" si="108"/>
        <v>Long</v>
      </c>
      <c r="AS681">
        <f t="shared" si="109"/>
        <v>0</v>
      </c>
    </row>
    <row r="682" spans="1:4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s="20">
        <v>4678</v>
      </c>
      <c r="T682">
        <v>23293</v>
      </c>
      <c r="U682">
        <v>2</v>
      </c>
      <c r="V682" t="s">
        <v>42</v>
      </c>
      <c r="W682" t="s">
        <v>43</v>
      </c>
      <c r="X682" s="19">
        <v>18</v>
      </c>
      <c r="Y682">
        <v>3</v>
      </c>
      <c r="Z682">
        <v>3</v>
      </c>
      <c r="AA682">
        <v>80</v>
      </c>
      <c r="AB682">
        <v>0</v>
      </c>
      <c r="AC682">
        <v>8</v>
      </c>
      <c r="AD682">
        <v>6</v>
      </c>
      <c r="AE682">
        <v>3</v>
      </c>
      <c r="AF682">
        <v>6</v>
      </c>
      <c r="AG682">
        <v>2</v>
      </c>
      <c r="AH682">
        <v>0</v>
      </c>
      <c r="AI682">
        <v>1</v>
      </c>
      <c r="AJ682">
        <f t="shared" si="100"/>
        <v>0</v>
      </c>
      <c r="AK682">
        <f t="shared" si="101"/>
        <v>0</v>
      </c>
      <c r="AL682">
        <f t="shared" si="102"/>
        <v>1</v>
      </c>
      <c r="AM682">
        <f t="shared" si="103"/>
        <v>3</v>
      </c>
      <c r="AN682">
        <f t="shared" si="104"/>
        <v>8019.4285714285716</v>
      </c>
      <c r="AO682">
        <f t="shared" si="105"/>
        <v>0.66666666666666663</v>
      </c>
      <c r="AP682" t="str">
        <f t="shared" si="106"/>
        <v>30-39</v>
      </c>
      <c r="AQ682" t="str">
        <f t="shared" si="107"/>
        <v>Medium</v>
      </c>
      <c r="AR682" t="str">
        <f t="shared" si="108"/>
        <v>Medium</v>
      </c>
      <c r="AS682">
        <f t="shared" si="109"/>
        <v>0</v>
      </c>
    </row>
    <row r="683" spans="1:4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s="20">
        <v>13582</v>
      </c>
      <c r="T683">
        <v>16292</v>
      </c>
      <c r="U683">
        <v>1</v>
      </c>
      <c r="V683" t="s">
        <v>42</v>
      </c>
      <c r="W683" t="s">
        <v>43</v>
      </c>
      <c r="X683" s="19">
        <v>13</v>
      </c>
      <c r="Y683">
        <v>3</v>
      </c>
      <c r="Z683">
        <v>2</v>
      </c>
      <c r="AA683">
        <v>80</v>
      </c>
      <c r="AB683">
        <v>1</v>
      </c>
      <c r="AC683">
        <v>15</v>
      </c>
      <c r="AD683">
        <v>3</v>
      </c>
      <c r="AE683">
        <v>3</v>
      </c>
      <c r="AF683">
        <v>15</v>
      </c>
      <c r="AG683">
        <v>12</v>
      </c>
      <c r="AH683">
        <v>5</v>
      </c>
      <c r="AI683">
        <v>11</v>
      </c>
      <c r="AJ683">
        <f t="shared" si="100"/>
        <v>0</v>
      </c>
      <c r="AK683">
        <f t="shared" si="101"/>
        <v>0</v>
      </c>
      <c r="AL683">
        <f t="shared" si="102"/>
        <v>0</v>
      </c>
      <c r="AM683">
        <f t="shared" si="103"/>
        <v>2.5</v>
      </c>
      <c r="AN683">
        <f t="shared" si="104"/>
        <v>10186.5</v>
      </c>
      <c r="AO683">
        <f t="shared" si="105"/>
        <v>0.9375</v>
      </c>
      <c r="AP683" t="str">
        <f t="shared" si="106"/>
        <v>30-39</v>
      </c>
      <c r="AQ683" t="str">
        <f t="shared" si="107"/>
        <v>Very High</v>
      </c>
      <c r="AR683" t="str">
        <f t="shared" si="108"/>
        <v>Short</v>
      </c>
      <c r="AS683">
        <f t="shared" si="109"/>
        <v>0</v>
      </c>
    </row>
    <row r="684" spans="1:4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s="20">
        <v>2332</v>
      </c>
      <c r="T684">
        <v>3974</v>
      </c>
      <c r="U684">
        <v>6</v>
      </c>
      <c r="V684" t="s">
        <v>42</v>
      </c>
      <c r="W684" t="s">
        <v>43</v>
      </c>
      <c r="X684" s="19">
        <v>20</v>
      </c>
      <c r="Y684">
        <v>4</v>
      </c>
      <c r="Z684">
        <v>3</v>
      </c>
      <c r="AA684">
        <v>80</v>
      </c>
      <c r="AB684">
        <v>0</v>
      </c>
      <c r="AC684">
        <v>5</v>
      </c>
      <c r="AD684">
        <v>3</v>
      </c>
      <c r="AE684">
        <v>3</v>
      </c>
      <c r="AF684">
        <v>3</v>
      </c>
      <c r="AG684">
        <v>0</v>
      </c>
      <c r="AH684">
        <v>0</v>
      </c>
      <c r="AI684">
        <v>2</v>
      </c>
      <c r="AJ684">
        <f t="shared" si="100"/>
        <v>0</v>
      </c>
      <c r="AK684">
        <f t="shared" si="101"/>
        <v>0</v>
      </c>
      <c r="AL684">
        <f t="shared" si="102"/>
        <v>0</v>
      </c>
      <c r="AM684">
        <f t="shared" si="103"/>
        <v>2.75</v>
      </c>
      <c r="AN684">
        <f t="shared" si="104"/>
        <v>6996</v>
      </c>
      <c r="AO684">
        <f t="shared" si="105"/>
        <v>0.5</v>
      </c>
      <c r="AP684" t="str">
        <f t="shared" si="106"/>
        <v>30-39</v>
      </c>
      <c r="AQ684" t="str">
        <f t="shared" si="107"/>
        <v>Low</v>
      </c>
      <c r="AR684" t="str">
        <f t="shared" si="108"/>
        <v>Short</v>
      </c>
      <c r="AS684">
        <f t="shared" si="109"/>
        <v>0</v>
      </c>
    </row>
    <row r="685" spans="1:4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s="20">
        <v>2413</v>
      </c>
      <c r="T685">
        <v>18798</v>
      </c>
      <c r="U685">
        <v>1</v>
      </c>
      <c r="V685" t="s">
        <v>42</v>
      </c>
      <c r="W685" t="s">
        <v>35</v>
      </c>
      <c r="X685" s="19">
        <v>18</v>
      </c>
      <c r="Y685">
        <v>3</v>
      </c>
      <c r="Z685">
        <v>3</v>
      </c>
      <c r="AA685">
        <v>80</v>
      </c>
      <c r="AB685">
        <v>3</v>
      </c>
      <c r="AC685">
        <v>1</v>
      </c>
      <c r="AD685">
        <v>2</v>
      </c>
      <c r="AE685">
        <v>3</v>
      </c>
      <c r="AF685">
        <v>1</v>
      </c>
      <c r="AG685">
        <v>0</v>
      </c>
      <c r="AH685">
        <v>0</v>
      </c>
      <c r="AI685">
        <v>0</v>
      </c>
      <c r="AJ685">
        <f t="shared" si="100"/>
        <v>1</v>
      </c>
      <c r="AK685">
        <f t="shared" si="101"/>
        <v>1</v>
      </c>
      <c r="AL685">
        <f t="shared" si="102"/>
        <v>1</v>
      </c>
      <c r="AM685">
        <f t="shared" si="103"/>
        <v>2.75</v>
      </c>
      <c r="AN685">
        <f t="shared" si="104"/>
        <v>14478</v>
      </c>
      <c r="AO685">
        <f t="shared" si="105"/>
        <v>0.5</v>
      </c>
      <c r="AP685" t="str">
        <f t="shared" si="106"/>
        <v>Under 30</v>
      </c>
      <c r="AQ685" t="str">
        <f t="shared" si="107"/>
        <v>Low</v>
      </c>
      <c r="AR685" t="str">
        <f t="shared" si="108"/>
        <v>Long</v>
      </c>
      <c r="AS685">
        <f t="shared" si="109"/>
        <v>0</v>
      </c>
    </row>
    <row r="686" spans="1:4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s="20">
        <v>9705</v>
      </c>
      <c r="T686">
        <v>20652</v>
      </c>
      <c r="U686">
        <v>2</v>
      </c>
      <c r="V686" t="s">
        <v>42</v>
      </c>
      <c r="W686" t="s">
        <v>43</v>
      </c>
      <c r="X686" s="19">
        <v>12</v>
      </c>
      <c r="Y686">
        <v>3</v>
      </c>
      <c r="Z686">
        <v>2</v>
      </c>
      <c r="AA686">
        <v>80</v>
      </c>
      <c r="AB686">
        <v>1</v>
      </c>
      <c r="AC686">
        <v>11</v>
      </c>
      <c r="AD686">
        <v>2</v>
      </c>
      <c r="AE686">
        <v>2</v>
      </c>
      <c r="AF686">
        <v>1</v>
      </c>
      <c r="AG686">
        <v>0</v>
      </c>
      <c r="AH686">
        <v>0</v>
      </c>
      <c r="AI686">
        <v>0</v>
      </c>
      <c r="AJ686">
        <f t="shared" si="100"/>
        <v>0</v>
      </c>
      <c r="AK686">
        <f t="shared" si="101"/>
        <v>0</v>
      </c>
      <c r="AL686">
        <f t="shared" si="102"/>
        <v>1</v>
      </c>
      <c r="AM686">
        <f t="shared" si="103"/>
        <v>1.75</v>
      </c>
      <c r="AN686">
        <f t="shared" si="104"/>
        <v>58230</v>
      </c>
      <c r="AO686">
        <f t="shared" si="105"/>
        <v>8.3333333333333329E-2</v>
      </c>
      <c r="AP686" t="str">
        <f t="shared" si="106"/>
        <v>40-49</v>
      </c>
      <c r="AQ686" t="str">
        <f t="shared" si="107"/>
        <v>Very High</v>
      </c>
      <c r="AR686" t="str">
        <f t="shared" si="108"/>
        <v>Medium</v>
      </c>
      <c r="AS686">
        <f t="shared" si="109"/>
        <v>0</v>
      </c>
    </row>
    <row r="687" spans="1:4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s="20">
        <v>4294</v>
      </c>
      <c r="T687">
        <v>11148</v>
      </c>
      <c r="U687">
        <v>1</v>
      </c>
      <c r="V687" t="s">
        <v>42</v>
      </c>
      <c r="W687" t="s">
        <v>43</v>
      </c>
      <c r="X687" s="19">
        <v>12</v>
      </c>
      <c r="Y687">
        <v>3</v>
      </c>
      <c r="Z687">
        <v>2</v>
      </c>
      <c r="AA687">
        <v>80</v>
      </c>
      <c r="AB687">
        <v>0</v>
      </c>
      <c r="AC687">
        <v>7</v>
      </c>
      <c r="AD687">
        <v>2</v>
      </c>
      <c r="AE687">
        <v>3</v>
      </c>
      <c r="AF687">
        <v>7</v>
      </c>
      <c r="AG687">
        <v>7</v>
      </c>
      <c r="AH687">
        <v>0</v>
      </c>
      <c r="AI687">
        <v>7</v>
      </c>
      <c r="AJ687">
        <f t="shared" si="100"/>
        <v>0</v>
      </c>
      <c r="AK687">
        <f t="shared" si="101"/>
        <v>0</v>
      </c>
      <c r="AL687">
        <f t="shared" si="102"/>
        <v>1</v>
      </c>
      <c r="AM687">
        <f t="shared" si="103"/>
        <v>2.25</v>
      </c>
      <c r="AN687">
        <f t="shared" si="104"/>
        <v>6441</v>
      </c>
      <c r="AO687">
        <f t="shared" si="105"/>
        <v>0.875</v>
      </c>
      <c r="AP687" t="str">
        <f t="shared" si="106"/>
        <v>Under 30</v>
      </c>
      <c r="AQ687" t="str">
        <f t="shared" si="107"/>
        <v>Medium</v>
      </c>
      <c r="AR687" t="str">
        <f t="shared" si="108"/>
        <v>Short</v>
      </c>
      <c r="AS687">
        <f t="shared" si="109"/>
        <v>1</v>
      </c>
    </row>
    <row r="688" spans="1:4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s="20">
        <v>4721</v>
      </c>
      <c r="T688">
        <v>3119</v>
      </c>
      <c r="U688">
        <v>2</v>
      </c>
      <c r="V688" t="s">
        <v>42</v>
      </c>
      <c r="W688" t="s">
        <v>35</v>
      </c>
      <c r="X688" s="19">
        <v>13</v>
      </c>
      <c r="Y688">
        <v>3</v>
      </c>
      <c r="Z688">
        <v>3</v>
      </c>
      <c r="AA688">
        <v>80</v>
      </c>
      <c r="AB688">
        <v>0</v>
      </c>
      <c r="AC688">
        <v>20</v>
      </c>
      <c r="AD688">
        <v>3</v>
      </c>
      <c r="AE688">
        <v>3</v>
      </c>
      <c r="AF688">
        <v>18</v>
      </c>
      <c r="AG688">
        <v>13</v>
      </c>
      <c r="AH688">
        <v>2</v>
      </c>
      <c r="AI688">
        <v>17</v>
      </c>
      <c r="AJ688">
        <f t="shared" si="100"/>
        <v>0</v>
      </c>
      <c r="AK688">
        <f t="shared" si="101"/>
        <v>1</v>
      </c>
      <c r="AL688">
        <f t="shared" si="102"/>
        <v>1</v>
      </c>
      <c r="AM688">
        <f t="shared" si="103"/>
        <v>2.75</v>
      </c>
      <c r="AN688">
        <f t="shared" si="104"/>
        <v>2981.6842105263158</v>
      </c>
      <c r="AO688">
        <f t="shared" si="105"/>
        <v>0.8571428571428571</v>
      </c>
      <c r="AP688" t="str">
        <f t="shared" si="106"/>
        <v>40-49</v>
      </c>
      <c r="AQ688" t="str">
        <f t="shared" si="107"/>
        <v>Medium</v>
      </c>
      <c r="AR688" t="str">
        <f t="shared" si="108"/>
        <v>Medium</v>
      </c>
      <c r="AS688">
        <f t="shared" si="109"/>
        <v>0</v>
      </c>
    </row>
    <row r="689" spans="1:4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s="20">
        <v>2519</v>
      </c>
      <c r="T689">
        <v>12287</v>
      </c>
      <c r="U689">
        <v>4</v>
      </c>
      <c r="V689" t="s">
        <v>42</v>
      </c>
      <c r="W689" t="s">
        <v>43</v>
      </c>
      <c r="X689" s="19">
        <v>21</v>
      </c>
      <c r="Y689">
        <v>4</v>
      </c>
      <c r="Z689">
        <v>3</v>
      </c>
      <c r="AA689">
        <v>80</v>
      </c>
      <c r="AB689">
        <v>0</v>
      </c>
      <c r="AC689">
        <v>16</v>
      </c>
      <c r="AD689">
        <v>6</v>
      </c>
      <c r="AE689">
        <v>3</v>
      </c>
      <c r="AF689">
        <v>11</v>
      </c>
      <c r="AG689">
        <v>8</v>
      </c>
      <c r="AH689">
        <v>3</v>
      </c>
      <c r="AI689">
        <v>9</v>
      </c>
      <c r="AJ689">
        <f t="shared" si="100"/>
        <v>0</v>
      </c>
      <c r="AK689">
        <f t="shared" si="101"/>
        <v>0</v>
      </c>
      <c r="AL689">
        <f t="shared" si="102"/>
        <v>1</v>
      </c>
      <c r="AM689">
        <f t="shared" si="103"/>
        <v>3</v>
      </c>
      <c r="AN689">
        <f t="shared" si="104"/>
        <v>2519</v>
      </c>
      <c r="AO689">
        <f t="shared" si="105"/>
        <v>0.6470588235294118</v>
      </c>
      <c r="AP689" t="str">
        <f t="shared" si="106"/>
        <v>30-39</v>
      </c>
      <c r="AQ689" t="str">
        <f t="shared" si="107"/>
        <v>Low</v>
      </c>
      <c r="AR689" t="str">
        <f t="shared" si="108"/>
        <v>Short</v>
      </c>
      <c r="AS689">
        <f t="shared" si="109"/>
        <v>0</v>
      </c>
    </row>
    <row r="690" spans="1:4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s="20">
        <v>2121</v>
      </c>
      <c r="T690">
        <v>9947</v>
      </c>
      <c r="U690">
        <v>1</v>
      </c>
      <c r="V690" t="s">
        <v>42</v>
      </c>
      <c r="W690" t="s">
        <v>35</v>
      </c>
      <c r="X690" s="19">
        <v>13</v>
      </c>
      <c r="Y690">
        <v>3</v>
      </c>
      <c r="Z690">
        <v>2</v>
      </c>
      <c r="AA690">
        <v>80</v>
      </c>
      <c r="AB690">
        <v>0</v>
      </c>
      <c r="AC690">
        <v>1</v>
      </c>
      <c r="AD690">
        <v>3</v>
      </c>
      <c r="AE690">
        <v>4</v>
      </c>
      <c r="AF690">
        <v>1</v>
      </c>
      <c r="AG690">
        <v>0</v>
      </c>
      <c r="AH690">
        <v>0</v>
      </c>
      <c r="AI690">
        <v>0</v>
      </c>
      <c r="AJ690">
        <f t="shared" si="100"/>
        <v>1</v>
      </c>
      <c r="AK690">
        <f t="shared" si="101"/>
        <v>1</v>
      </c>
      <c r="AL690">
        <f t="shared" si="102"/>
        <v>1</v>
      </c>
      <c r="AM690">
        <f t="shared" si="103"/>
        <v>3</v>
      </c>
      <c r="AN690">
        <f t="shared" si="104"/>
        <v>12726</v>
      </c>
      <c r="AO690">
        <f t="shared" si="105"/>
        <v>0.5</v>
      </c>
      <c r="AP690" t="str">
        <f t="shared" si="106"/>
        <v>Under 30</v>
      </c>
      <c r="AQ690" t="str">
        <f t="shared" si="107"/>
        <v>Low</v>
      </c>
      <c r="AR690" t="str">
        <f t="shared" si="108"/>
        <v>Long</v>
      </c>
      <c r="AS690">
        <f t="shared" si="109"/>
        <v>0</v>
      </c>
    </row>
    <row r="691" spans="1:4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s="20">
        <v>2973</v>
      </c>
      <c r="T691">
        <v>13008</v>
      </c>
      <c r="U691">
        <v>1</v>
      </c>
      <c r="V691" t="s">
        <v>42</v>
      </c>
      <c r="W691" t="s">
        <v>43</v>
      </c>
      <c r="X691" s="19">
        <v>19</v>
      </c>
      <c r="Y691">
        <v>3</v>
      </c>
      <c r="Z691">
        <v>2</v>
      </c>
      <c r="AA691">
        <v>80</v>
      </c>
      <c r="AB691">
        <v>0</v>
      </c>
      <c r="AC691">
        <v>1</v>
      </c>
      <c r="AD691">
        <v>2</v>
      </c>
      <c r="AE691">
        <v>3</v>
      </c>
      <c r="AF691">
        <v>1</v>
      </c>
      <c r="AG691">
        <v>0</v>
      </c>
      <c r="AH691">
        <v>0</v>
      </c>
      <c r="AI691">
        <v>0</v>
      </c>
      <c r="AJ691">
        <f t="shared" si="100"/>
        <v>1</v>
      </c>
      <c r="AK691">
        <f t="shared" si="101"/>
        <v>0</v>
      </c>
      <c r="AL691">
        <f t="shared" si="102"/>
        <v>1</v>
      </c>
      <c r="AM691">
        <f t="shared" si="103"/>
        <v>1.75</v>
      </c>
      <c r="AN691">
        <f t="shared" si="104"/>
        <v>17838</v>
      </c>
      <c r="AO691">
        <f t="shared" si="105"/>
        <v>0.5</v>
      </c>
      <c r="AP691" t="str">
        <f t="shared" si="106"/>
        <v>Under 30</v>
      </c>
      <c r="AQ691" t="str">
        <f t="shared" si="107"/>
        <v>Medium</v>
      </c>
      <c r="AR691" t="str">
        <f t="shared" si="108"/>
        <v>Short</v>
      </c>
      <c r="AS691">
        <f t="shared" si="109"/>
        <v>0</v>
      </c>
    </row>
    <row r="692" spans="1:4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s="20">
        <v>5855</v>
      </c>
      <c r="T692">
        <v>17369</v>
      </c>
      <c r="U692">
        <v>0</v>
      </c>
      <c r="V692" t="s">
        <v>42</v>
      </c>
      <c r="W692" t="s">
        <v>35</v>
      </c>
      <c r="X692" s="19">
        <v>11</v>
      </c>
      <c r="Y692">
        <v>3</v>
      </c>
      <c r="Z692">
        <v>3</v>
      </c>
      <c r="AA692">
        <v>80</v>
      </c>
      <c r="AB692">
        <v>2</v>
      </c>
      <c r="AC692">
        <v>10</v>
      </c>
      <c r="AD692">
        <v>2</v>
      </c>
      <c r="AE692">
        <v>1</v>
      </c>
      <c r="AF692">
        <v>9</v>
      </c>
      <c r="AG692">
        <v>7</v>
      </c>
      <c r="AH692">
        <v>8</v>
      </c>
      <c r="AI692">
        <v>5</v>
      </c>
      <c r="AJ692">
        <f t="shared" si="100"/>
        <v>0</v>
      </c>
      <c r="AK692">
        <f t="shared" si="101"/>
        <v>1</v>
      </c>
      <c r="AL692">
        <f t="shared" si="102"/>
        <v>0</v>
      </c>
      <c r="AM692">
        <f t="shared" si="103"/>
        <v>3</v>
      </c>
      <c r="AN692">
        <f t="shared" si="104"/>
        <v>7026</v>
      </c>
      <c r="AO692">
        <f t="shared" si="105"/>
        <v>0.81818181818181823</v>
      </c>
      <c r="AP692" t="str">
        <f t="shared" si="106"/>
        <v>30-39</v>
      </c>
      <c r="AQ692" t="str">
        <f t="shared" si="107"/>
        <v>High</v>
      </c>
      <c r="AR692" t="str">
        <f t="shared" si="108"/>
        <v>Medium</v>
      </c>
      <c r="AS692">
        <f t="shared" si="109"/>
        <v>0</v>
      </c>
    </row>
    <row r="693" spans="1:4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s="20">
        <v>3617</v>
      </c>
      <c r="T693">
        <v>25063</v>
      </c>
      <c r="U693">
        <v>8</v>
      </c>
      <c r="V693" t="s">
        <v>42</v>
      </c>
      <c r="W693" t="s">
        <v>35</v>
      </c>
      <c r="X693" s="19">
        <v>14</v>
      </c>
      <c r="Y693">
        <v>3</v>
      </c>
      <c r="Z693">
        <v>4</v>
      </c>
      <c r="AA693">
        <v>80</v>
      </c>
      <c r="AB693">
        <v>1</v>
      </c>
      <c r="AC693">
        <v>3</v>
      </c>
      <c r="AD693">
        <v>2</v>
      </c>
      <c r="AE693">
        <v>3</v>
      </c>
      <c r="AF693">
        <v>1</v>
      </c>
      <c r="AG693">
        <v>1</v>
      </c>
      <c r="AH693">
        <v>0</v>
      </c>
      <c r="AI693">
        <v>0</v>
      </c>
      <c r="AJ693">
        <f t="shared" si="100"/>
        <v>0</v>
      </c>
      <c r="AK693">
        <f t="shared" si="101"/>
        <v>1</v>
      </c>
      <c r="AL693">
        <f t="shared" si="102"/>
        <v>1</v>
      </c>
      <c r="AM693">
        <f t="shared" si="103"/>
        <v>3.25</v>
      </c>
      <c r="AN693">
        <f t="shared" si="104"/>
        <v>21702</v>
      </c>
      <c r="AO693">
        <f t="shared" si="105"/>
        <v>0.25</v>
      </c>
      <c r="AP693" t="str">
        <f t="shared" si="106"/>
        <v>40-49</v>
      </c>
      <c r="AQ693" t="str">
        <f t="shared" si="107"/>
        <v>Medium</v>
      </c>
      <c r="AR693" t="str">
        <f t="shared" si="108"/>
        <v>Medium</v>
      </c>
      <c r="AS693">
        <f t="shared" si="109"/>
        <v>1</v>
      </c>
    </row>
    <row r="694" spans="1:4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s="20">
        <v>6725</v>
      </c>
      <c r="T694">
        <v>13554</v>
      </c>
      <c r="U694">
        <v>1</v>
      </c>
      <c r="V694" t="s">
        <v>42</v>
      </c>
      <c r="W694" t="s">
        <v>43</v>
      </c>
      <c r="X694" s="19">
        <v>12</v>
      </c>
      <c r="Y694">
        <v>3</v>
      </c>
      <c r="Z694">
        <v>3</v>
      </c>
      <c r="AA694">
        <v>80</v>
      </c>
      <c r="AB694">
        <v>1</v>
      </c>
      <c r="AC694">
        <v>8</v>
      </c>
      <c r="AD694">
        <v>2</v>
      </c>
      <c r="AE694">
        <v>4</v>
      </c>
      <c r="AF694">
        <v>8</v>
      </c>
      <c r="AG694">
        <v>7</v>
      </c>
      <c r="AH694">
        <v>6</v>
      </c>
      <c r="AI694">
        <v>3</v>
      </c>
      <c r="AJ694">
        <f t="shared" si="100"/>
        <v>0</v>
      </c>
      <c r="AK694">
        <f t="shared" si="101"/>
        <v>0</v>
      </c>
      <c r="AL694">
        <f t="shared" si="102"/>
        <v>0</v>
      </c>
      <c r="AM694">
        <f t="shared" si="103"/>
        <v>2.75</v>
      </c>
      <c r="AN694">
        <f t="shared" si="104"/>
        <v>8966.6666666666661</v>
      </c>
      <c r="AO694">
        <f t="shared" si="105"/>
        <v>0.88888888888888884</v>
      </c>
      <c r="AP694" t="str">
        <f t="shared" si="106"/>
        <v>30-39</v>
      </c>
      <c r="AQ694" t="str">
        <f t="shared" si="107"/>
        <v>High</v>
      </c>
      <c r="AR694" t="str">
        <f t="shared" si="108"/>
        <v>Short</v>
      </c>
      <c r="AS694">
        <f t="shared" si="109"/>
        <v>0</v>
      </c>
    </row>
    <row r="695" spans="1:4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s="20">
        <v>10325</v>
      </c>
      <c r="T695">
        <v>5518</v>
      </c>
      <c r="U695">
        <v>1</v>
      </c>
      <c r="V695" t="s">
        <v>42</v>
      </c>
      <c r="W695" t="s">
        <v>35</v>
      </c>
      <c r="X695" s="19">
        <v>11</v>
      </c>
      <c r="Y695">
        <v>3</v>
      </c>
      <c r="Z695">
        <v>1</v>
      </c>
      <c r="AA695">
        <v>80</v>
      </c>
      <c r="AB695">
        <v>1</v>
      </c>
      <c r="AC695">
        <v>16</v>
      </c>
      <c r="AD695">
        <v>6</v>
      </c>
      <c r="AE695">
        <v>3</v>
      </c>
      <c r="AF695">
        <v>16</v>
      </c>
      <c r="AG695">
        <v>7</v>
      </c>
      <c r="AH695">
        <v>3</v>
      </c>
      <c r="AI695">
        <v>7</v>
      </c>
      <c r="AJ695">
        <f t="shared" si="100"/>
        <v>1</v>
      </c>
      <c r="AK695">
        <f t="shared" si="101"/>
        <v>1</v>
      </c>
      <c r="AL695">
        <f t="shared" si="102"/>
        <v>1</v>
      </c>
      <c r="AM695">
        <f t="shared" si="103"/>
        <v>2.75</v>
      </c>
      <c r="AN695">
        <f t="shared" si="104"/>
        <v>7288.2352941176468</v>
      </c>
      <c r="AO695">
        <f t="shared" si="105"/>
        <v>0.94117647058823528</v>
      </c>
      <c r="AP695" t="str">
        <f t="shared" si="106"/>
        <v>30-39</v>
      </c>
      <c r="AQ695" t="str">
        <f t="shared" si="107"/>
        <v>Very High</v>
      </c>
      <c r="AR695" t="str">
        <f t="shared" si="108"/>
        <v>Short</v>
      </c>
      <c r="AS695">
        <f t="shared" si="109"/>
        <v>0</v>
      </c>
    </row>
    <row r="696" spans="1:4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s="20">
        <v>6949</v>
      </c>
      <c r="T696">
        <v>12291</v>
      </c>
      <c r="U696">
        <v>0</v>
      </c>
      <c r="V696" t="s">
        <v>42</v>
      </c>
      <c r="W696" t="s">
        <v>43</v>
      </c>
      <c r="X696" s="19">
        <v>14</v>
      </c>
      <c r="Y696">
        <v>3</v>
      </c>
      <c r="Z696">
        <v>1</v>
      </c>
      <c r="AA696">
        <v>80</v>
      </c>
      <c r="AB696">
        <v>0</v>
      </c>
      <c r="AC696">
        <v>6</v>
      </c>
      <c r="AD696">
        <v>3</v>
      </c>
      <c r="AE696">
        <v>3</v>
      </c>
      <c r="AF696">
        <v>5</v>
      </c>
      <c r="AG696">
        <v>0</v>
      </c>
      <c r="AH696">
        <v>1</v>
      </c>
      <c r="AI696">
        <v>4</v>
      </c>
      <c r="AJ696">
        <f t="shared" si="100"/>
        <v>0</v>
      </c>
      <c r="AK696">
        <f t="shared" si="101"/>
        <v>0</v>
      </c>
      <c r="AL696">
        <f t="shared" si="102"/>
        <v>0</v>
      </c>
      <c r="AM696">
        <f t="shared" si="103"/>
        <v>2.5</v>
      </c>
      <c r="AN696">
        <f t="shared" si="104"/>
        <v>13898</v>
      </c>
      <c r="AO696">
        <f t="shared" si="105"/>
        <v>0.7142857142857143</v>
      </c>
      <c r="AP696" t="str">
        <f t="shared" si="106"/>
        <v>30-39</v>
      </c>
      <c r="AQ696" t="str">
        <f t="shared" si="107"/>
        <v>High</v>
      </c>
      <c r="AR696" t="str">
        <f t="shared" si="108"/>
        <v>Short</v>
      </c>
      <c r="AS696">
        <f t="shared" si="109"/>
        <v>0</v>
      </c>
    </row>
    <row r="697" spans="1:4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s="20">
        <v>10609</v>
      </c>
      <c r="T697">
        <v>14922</v>
      </c>
      <c r="U697">
        <v>5</v>
      </c>
      <c r="V697" t="s">
        <v>42</v>
      </c>
      <c r="W697" t="s">
        <v>43</v>
      </c>
      <c r="X697" s="19">
        <v>11</v>
      </c>
      <c r="Y697">
        <v>3</v>
      </c>
      <c r="Z697">
        <v>3</v>
      </c>
      <c r="AA697">
        <v>80</v>
      </c>
      <c r="AB697">
        <v>0</v>
      </c>
      <c r="AC697">
        <v>17</v>
      </c>
      <c r="AD697">
        <v>2</v>
      </c>
      <c r="AE697">
        <v>1</v>
      </c>
      <c r="AF697">
        <v>14</v>
      </c>
      <c r="AG697">
        <v>1</v>
      </c>
      <c r="AH697">
        <v>11</v>
      </c>
      <c r="AI697">
        <v>7</v>
      </c>
      <c r="AJ697">
        <f t="shared" si="100"/>
        <v>1</v>
      </c>
      <c r="AK697">
        <f t="shared" si="101"/>
        <v>0</v>
      </c>
      <c r="AL697">
        <f t="shared" si="102"/>
        <v>1</v>
      </c>
      <c r="AM697">
        <f t="shared" si="103"/>
        <v>2</v>
      </c>
      <c r="AN697">
        <f t="shared" si="104"/>
        <v>8487.2000000000007</v>
      </c>
      <c r="AO697">
        <f t="shared" si="105"/>
        <v>0.77777777777777779</v>
      </c>
      <c r="AP697" t="str">
        <f t="shared" si="106"/>
        <v>30-39</v>
      </c>
      <c r="AQ697" t="str">
        <f t="shared" si="107"/>
        <v>Very High</v>
      </c>
      <c r="AR697" t="str">
        <f t="shared" si="108"/>
        <v>Short</v>
      </c>
      <c r="AS697">
        <f t="shared" si="109"/>
        <v>0</v>
      </c>
    </row>
    <row r="698" spans="1:4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s="20">
        <v>4447</v>
      </c>
      <c r="T698">
        <v>23163</v>
      </c>
      <c r="U698">
        <v>1</v>
      </c>
      <c r="V698" t="s">
        <v>42</v>
      </c>
      <c r="W698" t="s">
        <v>43</v>
      </c>
      <c r="X698" s="19">
        <v>12</v>
      </c>
      <c r="Y698">
        <v>3</v>
      </c>
      <c r="Z698">
        <v>2</v>
      </c>
      <c r="AA698">
        <v>80</v>
      </c>
      <c r="AB698">
        <v>0</v>
      </c>
      <c r="AC698">
        <v>9</v>
      </c>
      <c r="AD698">
        <v>5</v>
      </c>
      <c r="AE698">
        <v>2</v>
      </c>
      <c r="AF698">
        <v>9</v>
      </c>
      <c r="AG698">
        <v>7</v>
      </c>
      <c r="AH698">
        <v>0</v>
      </c>
      <c r="AI698">
        <v>8</v>
      </c>
      <c r="AJ698">
        <f t="shared" si="100"/>
        <v>0</v>
      </c>
      <c r="AK698">
        <f t="shared" si="101"/>
        <v>0</v>
      </c>
      <c r="AL698">
        <f t="shared" si="102"/>
        <v>1</v>
      </c>
      <c r="AM698">
        <f t="shared" si="103"/>
        <v>2.25</v>
      </c>
      <c r="AN698">
        <f t="shared" si="104"/>
        <v>5336.4</v>
      </c>
      <c r="AO698">
        <f t="shared" si="105"/>
        <v>0.9</v>
      </c>
      <c r="AP698" t="str">
        <f t="shared" si="106"/>
        <v>40-49</v>
      </c>
      <c r="AQ698" t="str">
        <f t="shared" si="107"/>
        <v>Medium</v>
      </c>
      <c r="AR698" t="str">
        <f t="shared" si="108"/>
        <v>Short</v>
      </c>
      <c r="AS698">
        <f t="shared" si="109"/>
        <v>0</v>
      </c>
    </row>
    <row r="699" spans="1:4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s="20">
        <v>2157</v>
      </c>
      <c r="T699">
        <v>18203</v>
      </c>
      <c r="U699">
        <v>1</v>
      </c>
      <c r="V699" t="s">
        <v>42</v>
      </c>
      <c r="W699" t="s">
        <v>43</v>
      </c>
      <c r="X699" s="19">
        <v>15</v>
      </c>
      <c r="Y699">
        <v>3</v>
      </c>
      <c r="Z699">
        <v>2</v>
      </c>
      <c r="AA699">
        <v>80</v>
      </c>
      <c r="AB699">
        <v>1</v>
      </c>
      <c r="AC699">
        <v>3</v>
      </c>
      <c r="AD699">
        <v>5</v>
      </c>
      <c r="AE699">
        <v>3</v>
      </c>
      <c r="AF699">
        <v>3</v>
      </c>
      <c r="AG699">
        <v>1</v>
      </c>
      <c r="AH699">
        <v>0</v>
      </c>
      <c r="AI699">
        <v>2</v>
      </c>
      <c r="AJ699">
        <f t="shared" si="100"/>
        <v>0</v>
      </c>
      <c r="AK699">
        <f t="shared" si="101"/>
        <v>0</v>
      </c>
      <c r="AL699">
        <f t="shared" si="102"/>
        <v>0</v>
      </c>
      <c r="AM699">
        <f t="shared" si="103"/>
        <v>3</v>
      </c>
      <c r="AN699">
        <f t="shared" si="104"/>
        <v>6471</v>
      </c>
      <c r="AO699">
        <f t="shared" si="105"/>
        <v>0.75</v>
      </c>
      <c r="AP699" t="str">
        <f t="shared" si="106"/>
        <v>Under 30</v>
      </c>
      <c r="AQ699" t="str">
        <f t="shared" si="107"/>
        <v>Low</v>
      </c>
      <c r="AR699" t="str">
        <f t="shared" si="108"/>
        <v>Long</v>
      </c>
      <c r="AS699">
        <f t="shared" si="109"/>
        <v>1</v>
      </c>
    </row>
    <row r="700" spans="1:4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s="20">
        <v>4601</v>
      </c>
      <c r="T700">
        <v>6179</v>
      </c>
      <c r="U700">
        <v>1</v>
      </c>
      <c r="V700" t="s">
        <v>42</v>
      </c>
      <c r="W700" t="s">
        <v>43</v>
      </c>
      <c r="X700" s="19">
        <v>16</v>
      </c>
      <c r="Y700">
        <v>3</v>
      </c>
      <c r="Z700">
        <v>2</v>
      </c>
      <c r="AA700">
        <v>80</v>
      </c>
      <c r="AB700">
        <v>0</v>
      </c>
      <c r="AC700">
        <v>5</v>
      </c>
      <c r="AD700">
        <v>3</v>
      </c>
      <c r="AE700">
        <v>3</v>
      </c>
      <c r="AF700">
        <v>5</v>
      </c>
      <c r="AG700">
        <v>2</v>
      </c>
      <c r="AH700">
        <v>1</v>
      </c>
      <c r="AI700">
        <v>0</v>
      </c>
      <c r="AJ700">
        <f t="shared" si="100"/>
        <v>0</v>
      </c>
      <c r="AK700">
        <f t="shared" si="101"/>
        <v>0</v>
      </c>
      <c r="AL700">
        <f t="shared" si="102"/>
        <v>0</v>
      </c>
      <c r="AM700">
        <f t="shared" si="103"/>
        <v>2.75</v>
      </c>
      <c r="AN700">
        <f t="shared" si="104"/>
        <v>9202</v>
      </c>
      <c r="AO700">
        <f t="shared" si="105"/>
        <v>0.83333333333333337</v>
      </c>
      <c r="AP700" t="str">
        <f t="shared" si="106"/>
        <v>30-39</v>
      </c>
      <c r="AQ700" t="str">
        <f t="shared" si="107"/>
        <v>Medium</v>
      </c>
      <c r="AR700" t="str">
        <f t="shared" si="108"/>
        <v>Long</v>
      </c>
      <c r="AS700">
        <f t="shared" si="109"/>
        <v>0</v>
      </c>
    </row>
    <row r="701" spans="1:4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s="20">
        <v>17099</v>
      </c>
      <c r="T701">
        <v>13829</v>
      </c>
      <c r="U701">
        <v>2</v>
      </c>
      <c r="V701" t="s">
        <v>42</v>
      </c>
      <c r="W701" t="s">
        <v>43</v>
      </c>
      <c r="X701" s="19">
        <v>15</v>
      </c>
      <c r="Y701">
        <v>3</v>
      </c>
      <c r="Z701">
        <v>2</v>
      </c>
      <c r="AA701">
        <v>80</v>
      </c>
      <c r="AB701">
        <v>1</v>
      </c>
      <c r="AC701">
        <v>26</v>
      </c>
      <c r="AD701">
        <v>2</v>
      </c>
      <c r="AE701">
        <v>2</v>
      </c>
      <c r="AF701">
        <v>9</v>
      </c>
      <c r="AG701">
        <v>8</v>
      </c>
      <c r="AH701">
        <v>7</v>
      </c>
      <c r="AI701">
        <v>8</v>
      </c>
      <c r="AJ701">
        <f t="shared" si="100"/>
        <v>0</v>
      </c>
      <c r="AK701">
        <f t="shared" si="101"/>
        <v>0</v>
      </c>
      <c r="AL701">
        <f t="shared" si="102"/>
        <v>1</v>
      </c>
      <c r="AM701">
        <f t="shared" si="103"/>
        <v>3</v>
      </c>
      <c r="AN701">
        <f t="shared" si="104"/>
        <v>20518.8</v>
      </c>
      <c r="AO701">
        <f t="shared" si="105"/>
        <v>0.33333333333333331</v>
      </c>
      <c r="AP701" t="str">
        <f t="shared" si="106"/>
        <v>50+</v>
      </c>
      <c r="AQ701" t="str">
        <f t="shared" si="107"/>
        <v>Very High</v>
      </c>
      <c r="AR701" t="str">
        <f t="shared" si="108"/>
        <v>Short</v>
      </c>
      <c r="AS701">
        <f t="shared" si="109"/>
        <v>0</v>
      </c>
    </row>
    <row r="702" spans="1:45" x14ac:dyDescent="0.3">
      <c r="A702">
        <v>36</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s="20">
        <v>2479</v>
      </c>
      <c r="T702">
        <v>26227</v>
      </c>
      <c r="U702">
        <v>4</v>
      </c>
      <c r="V702" t="s">
        <v>42</v>
      </c>
      <c r="W702" t="s">
        <v>43</v>
      </c>
      <c r="X702" s="19">
        <v>24</v>
      </c>
      <c r="Y702">
        <v>4</v>
      </c>
      <c r="Z702">
        <v>1</v>
      </c>
      <c r="AA702">
        <v>80</v>
      </c>
      <c r="AB702">
        <v>0</v>
      </c>
      <c r="AC702">
        <v>7</v>
      </c>
      <c r="AD702">
        <v>4</v>
      </c>
      <c r="AE702">
        <v>3</v>
      </c>
      <c r="AF702">
        <v>1</v>
      </c>
      <c r="AG702">
        <v>0</v>
      </c>
      <c r="AH702">
        <v>0</v>
      </c>
      <c r="AI702">
        <v>0</v>
      </c>
      <c r="AJ702">
        <f t="shared" si="100"/>
        <v>1</v>
      </c>
      <c r="AK702">
        <f t="shared" si="101"/>
        <v>0</v>
      </c>
      <c r="AL702">
        <f t="shared" si="102"/>
        <v>1</v>
      </c>
      <c r="AM702">
        <f t="shared" si="103"/>
        <v>2.75</v>
      </c>
      <c r="AN702">
        <f t="shared" si="104"/>
        <v>14874</v>
      </c>
      <c r="AO702">
        <f t="shared" si="105"/>
        <v>0.125</v>
      </c>
      <c r="AP702" t="str">
        <f t="shared" si="106"/>
        <v>30-39</v>
      </c>
      <c r="AQ702" t="str">
        <f t="shared" si="107"/>
        <v>Low</v>
      </c>
      <c r="AR702" t="str">
        <f t="shared" si="108"/>
        <v>Short</v>
      </c>
      <c r="AS702">
        <f t="shared" si="109"/>
        <v>0</v>
      </c>
    </row>
    <row r="703" spans="1:4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s="20">
        <v>14852</v>
      </c>
      <c r="T703">
        <v>13938</v>
      </c>
      <c r="U703">
        <v>6</v>
      </c>
      <c r="V703" t="s">
        <v>42</v>
      </c>
      <c r="W703" t="s">
        <v>43</v>
      </c>
      <c r="X703" s="19">
        <v>13</v>
      </c>
      <c r="Y703">
        <v>3</v>
      </c>
      <c r="Z703">
        <v>3</v>
      </c>
      <c r="AA703">
        <v>80</v>
      </c>
      <c r="AB703">
        <v>1</v>
      </c>
      <c r="AC703">
        <v>22</v>
      </c>
      <c r="AD703">
        <v>3</v>
      </c>
      <c r="AE703">
        <v>4</v>
      </c>
      <c r="AF703">
        <v>17</v>
      </c>
      <c r="AG703">
        <v>13</v>
      </c>
      <c r="AH703">
        <v>15</v>
      </c>
      <c r="AI703">
        <v>2</v>
      </c>
      <c r="AJ703">
        <f t="shared" si="100"/>
        <v>0</v>
      </c>
      <c r="AK703">
        <f t="shared" si="101"/>
        <v>0</v>
      </c>
      <c r="AL703">
        <f t="shared" si="102"/>
        <v>1</v>
      </c>
      <c r="AM703">
        <f t="shared" si="103"/>
        <v>3.25</v>
      </c>
      <c r="AN703">
        <f t="shared" si="104"/>
        <v>9901.3333333333339</v>
      </c>
      <c r="AO703">
        <f t="shared" si="105"/>
        <v>0.73913043478260865</v>
      </c>
      <c r="AP703" t="str">
        <f t="shared" si="106"/>
        <v>50+</v>
      </c>
      <c r="AQ703" t="str">
        <f t="shared" si="107"/>
        <v>Very High</v>
      </c>
      <c r="AR703" t="str">
        <f t="shared" si="108"/>
        <v>Short</v>
      </c>
      <c r="AS703">
        <f t="shared" si="109"/>
        <v>0</v>
      </c>
    </row>
    <row r="704" spans="1:4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s="20">
        <v>7264</v>
      </c>
      <c r="T704">
        <v>9977</v>
      </c>
      <c r="U704">
        <v>5</v>
      </c>
      <c r="V704" t="s">
        <v>42</v>
      </c>
      <c r="W704" t="s">
        <v>43</v>
      </c>
      <c r="X704" s="19">
        <v>11</v>
      </c>
      <c r="Y704">
        <v>3</v>
      </c>
      <c r="Z704">
        <v>1</v>
      </c>
      <c r="AA704">
        <v>80</v>
      </c>
      <c r="AB704">
        <v>1</v>
      </c>
      <c r="AC704">
        <v>10</v>
      </c>
      <c r="AD704">
        <v>2</v>
      </c>
      <c r="AE704">
        <v>4</v>
      </c>
      <c r="AF704">
        <v>8</v>
      </c>
      <c r="AG704">
        <v>4</v>
      </c>
      <c r="AH704">
        <v>7</v>
      </c>
      <c r="AI704">
        <v>7</v>
      </c>
      <c r="AJ704">
        <f t="shared" si="100"/>
        <v>0</v>
      </c>
      <c r="AK704">
        <f t="shared" si="101"/>
        <v>0</v>
      </c>
      <c r="AL704">
        <f t="shared" si="102"/>
        <v>1</v>
      </c>
      <c r="AM704">
        <f t="shared" si="103"/>
        <v>2.75</v>
      </c>
      <c r="AN704">
        <f t="shared" si="104"/>
        <v>9685.3333333333339</v>
      </c>
      <c r="AO704">
        <f t="shared" si="105"/>
        <v>0.72727272727272729</v>
      </c>
      <c r="AP704" t="str">
        <f t="shared" si="106"/>
        <v>30-39</v>
      </c>
      <c r="AQ704" t="str">
        <f t="shared" si="107"/>
        <v>High</v>
      </c>
      <c r="AR704" t="str">
        <f t="shared" si="108"/>
        <v>Medium</v>
      </c>
      <c r="AS704">
        <f t="shared" si="109"/>
        <v>0</v>
      </c>
    </row>
    <row r="705" spans="1:4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s="20">
        <v>5666</v>
      </c>
      <c r="T705">
        <v>19899</v>
      </c>
      <c r="U705">
        <v>1</v>
      </c>
      <c r="V705" t="s">
        <v>42</v>
      </c>
      <c r="W705" t="s">
        <v>35</v>
      </c>
      <c r="X705" s="19">
        <v>13</v>
      </c>
      <c r="Y705">
        <v>3</v>
      </c>
      <c r="Z705">
        <v>2</v>
      </c>
      <c r="AA705">
        <v>80</v>
      </c>
      <c r="AB705">
        <v>0</v>
      </c>
      <c r="AC705">
        <v>6</v>
      </c>
      <c r="AD705">
        <v>1</v>
      </c>
      <c r="AE705">
        <v>3</v>
      </c>
      <c r="AF705">
        <v>5</v>
      </c>
      <c r="AG705">
        <v>3</v>
      </c>
      <c r="AH705">
        <v>1</v>
      </c>
      <c r="AI705">
        <v>3</v>
      </c>
      <c r="AJ705">
        <f t="shared" si="100"/>
        <v>0</v>
      </c>
      <c r="AK705">
        <f t="shared" si="101"/>
        <v>1</v>
      </c>
      <c r="AL705">
        <f t="shared" si="102"/>
        <v>0</v>
      </c>
      <c r="AM705">
        <f t="shared" si="103"/>
        <v>3</v>
      </c>
      <c r="AN705">
        <f t="shared" si="104"/>
        <v>11332</v>
      </c>
      <c r="AO705">
        <f t="shared" si="105"/>
        <v>0.7142857142857143</v>
      </c>
      <c r="AP705" t="str">
        <f t="shared" si="106"/>
        <v>30-39</v>
      </c>
      <c r="AQ705" t="str">
        <f t="shared" si="107"/>
        <v>High</v>
      </c>
      <c r="AR705" t="str">
        <f t="shared" si="108"/>
        <v>Medium</v>
      </c>
      <c r="AS705">
        <f t="shared" si="109"/>
        <v>0</v>
      </c>
    </row>
    <row r="706" spans="1:4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s="20">
        <v>7823</v>
      </c>
      <c r="T706">
        <v>6812</v>
      </c>
      <c r="U706">
        <v>6</v>
      </c>
      <c r="V706" t="s">
        <v>42</v>
      </c>
      <c r="W706" t="s">
        <v>43</v>
      </c>
      <c r="X706" s="19">
        <v>13</v>
      </c>
      <c r="Y706">
        <v>3</v>
      </c>
      <c r="Z706">
        <v>2</v>
      </c>
      <c r="AA706">
        <v>80</v>
      </c>
      <c r="AB706">
        <v>1</v>
      </c>
      <c r="AC706">
        <v>12</v>
      </c>
      <c r="AD706">
        <v>2</v>
      </c>
      <c r="AE706">
        <v>3</v>
      </c>
      <c r="AF706">
        <v>10</v>
      </c>
      <c r="AG706">
        <v>9</v>
      </c>
      <c r="AH706">
        <v>0</v>
      </c>
      <c r="AI706">
        <v>8</v>
      </c>
      <c r="AJ706">
        <f t="shared" si="100"/>
        <v>0</v>
      </c>
      <c r="AK706">
        <f t="shared" si="101"/>
        <v>0</v>
      </c>
      <c r="AL706">
        <f t="shared" si="102"/>
        <v>1</v>
      </c>
      <c r="AM706">
        <f t="shared" si="103"/>
        <v>3.25</v>
      </c>
      <c r="AN706">
        <f t="shared" si="104"/>
        <v>8534.181818181818</v>
      </c>
      <c r="AO706">
        <f t="shared" si="105"/>
        <v>0.76923076923076927</v>
      </c>
      <c r="AP706" t="str">
        <f t="shared" si="106"/>
        <v>30-39</v>
      </c>
      <c r="AQ706" t="str">
        <f t="shared" si="107"/>
        <v>High</v>
      </c>
      <c r="AR706" t="str">
        <f t="shared" si="108"/>
        <v>Short</v>
      </c>
      <c r="AS706">
        <f t="shared" si="109"/>
        <v>0</v>
      </c>
    </row>
    <row r="707" spans="1:4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s="20">
        <v>7880</v>
      </c>
      <c r="T707">
        <v>2560</v>
      </c>
      <c r="U707">
        <v>0</v>
      </c>
      <c r="V707" t="s">
        <v>42</v>
      </c>
      <c r="W707" t="s">
        <v>43</v>
      </c>
      <c r="X707" s="19">
        <v>18</v>
      </c>
      <c r="Y707">
        <v>3</v>
      </c>
      <c r="Z707">
        <v>4</v>
      </c>
      <c r="AA707">
        <v>80</v>
      </c>
      <c r="AB707">
        <v>0</v>
      </c>
      <c r="AC707">
        <v>9</v>
      </c>
      <c r="AD707">
        <v>3</v>
      </c>
      <c r="AE707">
        <v>3</v>
      </c>
      <c r="AF707">
        <v>8</v>
      </c>
      <c r="AG707">
        <v>7</v>
      </c>
      <c r="AH707">
        <v>0</v>
      </c>
      <c r="AI707">
        <v>7</v>
      </c>
      <c r="AJ707">
        <f t="shared" ref="AJ707:AJ770" si="110">IF(B707="Yes",1,0)</f>
        <v>0</v>
      </c>
      <c r="AK707">
        <f t="shared" ref="AK707:AK770" si="111">IF(W707="Yes",1,0)</f>
        <v>0</v>
      </c>
      <c r="AL707">
        <f t="shared" ref="AL707:AL770" si="112">IF(L707="Male",1,0)</f>
        <v>1</v>
      </c>
      <c r="AM707">
        <f t="shared" ref="AM707:AM770" si="113">AVERAGE(K707,Q707,Z707,AE707)</f>
        <v>2.75</v>
      </c>
      <c r="AN707">
        <f t="shared" ref="AN707:AN770" si="114">(S707*12)/(AF707+1)</f>
        <v>10506.666666666666</v>
      </c>
      <c r="AO707">
        <f t="shared" ref="AO707:AO770" si="115">AF707/(AC707+1)</f>
        <v>0.8</v>
      </c>
      <c r="AP707" t="str">
        <f t="shared" ref="AP707:AP770" si="116">IF(A707&lt;30,"Under 30",IF(A707&lt;40,"30-39",IF(A707&lt;50,"40-49","50+")))</f>
        <v>30-39</v>
      </c>
      <c r="AQ707" t="str">
        <f t="shared" ref="AQ707:AQ770" si="117">IF(S707&lt;=$AV$1,"Low",IF(S707&lt;=$AV$2,"Medium",IF(S707&lt;=$AV$3,"High","Very High")))</f>
        <v>High</v>
      </c>
      <c r="AR707" t="str">
        <f t="shared" ref="AR707:AR770" si="118">IF(F707&lt;=5,"Short",IF(F707&lt;=15,"Medium","Long"))</f>
        <v>Short</v>
      </c>
      <c r="AS707">
        <f t="shared" ref="AS707:AS770" si="119">IF(C707="Travel_Frequently",1,0)</f>
        <v>0</v>
      </c>
    </row>
    <row r="708" spans="1:4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s="20">
        <v>13194</v>
      </c>
      <c r="T708">
        <v>17071</v>
      </c>
      <c r="U708">
        <v>4</v>
      </c>
      <c r="V708" t="s">
        <v>42</v>
      </c>
      <c r="W708" t="s">
        <v>35</v>
      </c>
      <c r="X708" s="19">
        <v>16</v>
      </c>
      <c r="Y708">
        <v>3</v>
      </c>
      <c r="Z708">
        <v>4</v>
      </c>
      <c r="AA708">
        <v>80</v>
      </c>
      <c r="AB708">
        <v>0</v>
      </c>
      <c r="AC708">
        <v>22</v>
      </c>
      <c r="AD708">
        <v>2</v>
      </c>
      <c r="AE708">
        <v>2</v>
      </c>
      <c r="AF708">
        <v>1</v>
      </c>
      <c r="AG708">
        <v>0</v>
      </c>
      <c r="AH708">
        <v>0</v>
      </c>
      <c r="AI708">
        <v>0</v>
      </c>
      <c r="AJ708">
        <f t="shared" si="110"/>
        <v>1</v>
      </c>
      <c r="AK708">
        <f t="shared" si="111"/>
        <v>1</v>
      </c>
      <c r="AL708">
        <f t="shared" si="112"/>
        <v>0</v>
      </c>
      <c r="AM708">
        <f t="shared" si="113"/>
        <v>2.5</v>
      </c>
      <c r="AN708">
        <f t="shared" si="114"/>
        <v>79164</v>
      </c>
      <c r="AO708">
        <f t="shared" si="115"/>
        <v>4.3478260869565216E-2</v>
      </c>
      <c r="AP708" t="str">
        <f t="shared" si="116"/>
        <v>40-49</v>
      </c>
      <c r="AQ708" t="str">
        <f t="shared" si="117"/>
        <v>Very High</v>
      </c>
      <c r="AR708" t="str">
        <f t="shared" si="118"/>
        <v>Long</v>
      </c>
      <c r="AS708">
        <f t="shared" si="119"/>
        <v>0</v>
      </c>
    </row>
    <row r="709" spans="1:4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s="20">
        <v>5067</v>
      </c>
      <c r="T709">
        <v>6759</v>
      </c>
      <c r="U709">
        <v>1</v>
      </c>
      <c r="V709" t="s">
        <v>42</v>
      </c>
      <c r="W709" t="s">
        <v>35</v>
      </c>
      <c r="X709" s="19">
        <v>19</v>
      </c>
      <c r="Y709">
        <v>3</v>
      </c>
      <c r="Z709">
        <v>3</v>
      </c>
      <c r="AA709">
        <v>80</v>
      </c>
      <c r="AB709">
        <v>0</v>
      </c>
      <c r="AC709">
        <v>20</v>
      </c>
      <c r="AD709">
        <v>3</v>
      </c>
      <c r="AE709">
        <v>4</v>
      </c>
      <c r="AF709">
        <v>19</v>
      </c>
      <c r="AG709">
        <v>10</v>
      </c>
      <c r="AH709">
        <v>2</v>
      </c>
      <c r="AI709">
        <v>7</v>
      </c>
      <c r="AJ709">
        <f t="shared" si="110"/>
        <v>0</v>
      </c>
      <c r="AK709">
        <f t="shared" si="111"/>
        <v>1</v>
      </c>
      <c r="AL709">
        <f t="shared" si="112"/>
        <v>1</v>
      </c>
      <c r="AM709">
        <f t="shared" si="113"/>
        <v>3.25</v>
      </c>
      <c r="AN709">
        <f t="shared" si="114"/>
        <v>3040.2</v>
      </c>
      <c r="AO709">
        <f t="shared" si="115"/>
        <v>0.90476190476190477</v>
      </c>
      <c r="AP709" t="str">
        <f t="shared" si="116"/>
        <v>40-49</v>
      </c>
      <c r="AQ709" t="str">
        <f t="shared" si="117"/>
        <v>High</v>
      </c>
      <c r="AR709" t="str">
        <f t="shared" si="118"/>
        <v>Long</v>
      </c>
      <c r="AS709">
        <f t="shared" si="119"/>
        <v>1</v>
      </c>
    </row>
    <row r="710" spans="1:4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s="20">
        <v>5079</v>
      </c>
      <c r="T710">
        <v>25952</v>
      </c>
      <c r="U710">
        <v>4</v>
      </c>
      <c r="V710" t="s">
        <v>42</v>
      </c>
      <c r="W710" t="s">
        <v>43</v>
      </c>
      <c r="X710" s="19">
        <v>13</v>
      </c>
      <c r="Y710">
        <v>3</v>
      </c>
      <c r="Z710">
        <v>4</v>
      </c>
      <c r="AA710">
        <v>80</v>
      </c>
      <c r="AB710">
        <v>2</v>
      </c>
      <c r="AC710">
        <v>12</v>
      </c>
      <c r="AD710">
        <v>3</v>
      </c>
      <c r="AE710">
        <v>3</v>
      </c>
      <c r="AF710">
        <v>7</v>
      </c>
      <c r="AG710">
        <v>7</v>
      </c>
      <c r="AH710">
        <v>0</v>
      </c>
      <c r="AI710">
        <v>7</v>
      </c>
      <c r="AJ710">
        <f t="shared" si="110"/>
        <v>0</v>
      </c>
      <c r="AK710">
        <f t="shared" si="111"/>
        <v>0</v>
      </c>
      <c r="AL710">
        <f t="shared" si="112"/>
        <v>1</v>
      </c>
      <c r="AM710">
        <f t="shared" si="113"/>
        <v>3</v>
      </c>
      <c r="AN710">
        <f t="shared" si="114"/>
        <v>7618.5</v>
      </c>
      <c r="AO710">
        <f t="shared" si="115"/>
        <v>0.53846153846153844</v>
      </c>
      <c r="AP710" t="str">
        <f t="shared" si="116"/>
        <v>30-39</v>
      </c>
      <c r="AQ710" t="str">
        <f t="shared" si="117"/>
        <v>High</v>
      </c>
      <c r="AR710" t="str">
        <f t="shared" si="118"/>
        <v>Medium</v>
      </c>
      <c r="AS710">
        <f t="shared" si="119"/>
        <v>0</v>
      </c>
    </row>
    <row r="711" spans="1:4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s="20">
        <v>2321</v>
      </c>
      <c r="T711">
        <v>10322</v>
      </c>
      <c r="U711">
        <v>0</v>
      </c>
      <c r="V711" t="s">
        <v>42</v>
      </c>
      <c r="W711" t="s">
        <v>35</v>
      </c>
      <c r="X711" s="19">
        <v>22</v>
      </c>
      <c r="Y711">
        <v>4</v>
      </c>
      <c r="Z711">
        <v>1</v>
      </c>
      <c r="AA711">
        <v>80</v>
      </c>
      <c r="AB711">
        <v>0</v>
      </c>
      <c r="AC711">
        <v>4</v>
      </c>
      <c r="AD711">
        <v>0</v>
      </c>
      <c r="AE711">
        <v>3</v>
      </c>
      <c r="AF711">
        <v>3</v>
      </c>
      <c r="AG711">
        <v>2</v>
      </c>
      <c r="AH711">
        <v>1</v>
      </c>
      <c r="AI711">
        <v>2</v>
      </c>
      <c r="AJ711">
        <f t="shared" si="110"/>
        <v>1</v>
      </c>
      <c r="AK711">
        <f t="shared" si="111"/>
        <v>1</v>
      </c>
      <c r="AL711">
        <f t="shared" si="112"/>
        <v>1</v>
      </c>
      <c r="AM711">
        <f t="shared" si="113"/>
        <v>2</v>
      </c>
      <c r="AN711">
        <f t="shared" si="114"/>
        <v>6963</v>
      </c>
      <c r="AO711">
        <f t="shared" si="115"/>
        <v>0.6</v>
      </c>
      <c r="AP711" t="str">
        <f t="shared" si="116"/>
        <v>30-39</v>
      </c>
      <c r="AQ711" t="str">
        <f t="shared" si="117"/>
        <v>Low</v>
      </c>
      <c r="AR711" t="str">
        <f t="shared" si="118"/>
        <v>Medium</v>
      </c>
      <c r="AS711">
        <f t="shared" si="119"/>
        <v>0</v>
      </c>
    </row>
    <row r="712" spans="1:4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s="20">
        <v>17444</v>
      </c>
      <c r="T712">
        <v>20489</v>
      </c>
      <c r="U712">
        <v>1</v>
      </c>
      <c r="V712" t="s">
        <v>42</v>
      </c>
      <c r="W712" t="s">
        <v>43</v>
      </c>
      <c r="X712" s="19">
        <v>11</v>
      </c>
      <c r="Y712">
        <v>3</v>
      </c>
      <c r="Z712">
        <v>4</v>
      </c>
      <c r="AA712">
        <v>80</v>
      </c>
      <c r="AB712">
        <v>0</v>
      </c>
      <c r="AC712">
        <v>10</v>
      </c>
      <c r="AD712">
        <v>2</v>
      </c>
      <c r="AE712">
        <v>3</v>
      </c>
      <c r="AF712">
        <v>10</v>
      </c>
      <c r="AG712">
        <v>8</v>
      </c>
      <c r="AH712">
        <v>6</v>
      </c>
      <c r="AI712">
        <v>0</v>
      </c>
      <c r="AJ712">
        <f t="shared" si="110"/>
        <v>0</v>
      </c>
      <c r="AK712">
        <f t="shared" si="111"/>
        <v>0</v>
      </c>
      <c r="AL712">
        <f t="shared" si="112"/>
        <v>1</v>
      </c>
      <c r="AM712">
        <f t="shared" si="113"/>
        <v>3.5</v>
      </c>
      <c r="AN712">
        <f t="shared" si="114"/>
        <v>19029.81818181818</v>
      </c>
      <c r="AO712">
        <f t="shared" si="115"/>
        <v>0.90909090909090906</v>
      </c>
      <c r="AP712" t="str">
        <f t="shared" si="116"/>
        <v>30-39</v>
      </c>
      <c r="AQ712" t="str">
        <f t="shared" si="117"/>
        <v>Very High</v>
      </c>
      <c r="AR712" t="str">
        <f t="shared" si="118"/>
        <v>Long</v>
      </c>
      <c r="AS712">
        <f t="shared" si="119"/>
        <v>0</v>
      </c>
    </row>
    <row r="713" spans="1:4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s="20">
        <v>2404</v>
      </c>
      <c r="T713">
        <v>11479</v>
      </c>
      <c r="U713">
        <v>6</v>
      </c>
      <c r="V713" t="s">
        <v>42</v>
      </c>
      <c r="W713" t="s">
        <v>35</v>
      </c>
      <c r="X713" s="19">
        <v>20</v>
      </c>
      <c r="Y713">
        <v>4</v>
      </c>
      <c r="Z713">
        <v>3</v>
      </c>
      <c r="AA713">
        <v>80</v>
      </c>
      <c r="AB713">
        <v>0</v>
      </c>
      <c r="AC713">
        <v>3</v>
      </c>
      <c r="AD713">
        <v>5</v>
      </c>
      <c r="AE713">
        <v>3</v>
      </c>
      <c r="AF713">
        <v>0</v>
      </c>
      <c r="AG713">
        <v>0</v>
      </c>
      <c r="AH713">
        <v>0</v>
      </c>
      <c r="AI713">
        <v>0</v>
      </c>
      <c r="AJ713">
        <f t="shared" si="110"/>
        <v>1</v>
      </c>
      <c r="AK713">
        <f t="shared" si="111"/>
        <v>1</v>
      </c>
      <c r="AL713">
        <f t="shared" si="112"/>
        <v>0</v>
      </c>
      <c r="AM713">
        <f t="shared" si="113"/>
        <v>2.75</v>
      </c>
      <c r="AN713">
        <f t="shared" si="114"/>
        <v>28848</v>
      </c>
      <c r="AO713">
        <f t="shared" si="115"/>
        <v>0</v>
      </c>
      <c r="AP713" t="str">
        <f t="shared" si="116"/>
        <v>Under 30</v>
      </c>
      <c r="AQ713" t="str">
        <f t="shared" si="117"/>
        <v>Low</v>
      </c>
      <c r="AR713" t="str">
        <f t="shared" si="118"/>
        <v>Medium</v>
      </c>
      <c r="AS713">
        <f t="shared" si="119"/>
        <v>0</v>
      </c>
    </row>
    <row r="714" spans="1:4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s="20">
        <v>3452</v>
      </c>
      <c r="T714">
        <v>17241</v>
      </c>
      <c r="U714">
        <v>3</v>
      </c>
      <c r="V714" t="s">
        <v>42</v>
      </c>
      <c r="W714" t="s">
        <v>43</v>
      </c>
      <c r="X714" s="19">
        <v>18</v>
      </c>
      <c r="Y714">
        <v>3</v>
      </c>
      <c r="Z714">
        <v>1</v>
      </c>
      <c r="AA714">
        <v>80</v>
      </c>
      <c r="AB714">
        <v>0</v>
      </c>
      <c r="AC714">
        <v>5</v>
      </c>
      <c r="AD714">
        <v>4</v>
      </c>
      <c r="AE714">
        <v>3</v>
      </c>
      <c r="AF714">
        <v>3</v>
      </c>
      <c r="AG714">
        <v>2</v>
      </c>
      <c r="AH714">
        <v>0</v>
      </c>
      <c r="AI714">
        <v>2</v>
      </c>
      <c r="AJ714">
        <f t="shared" si="110"/>
        <v>0</v>
      </c>
      <c r="AK714">
        <f t="shared" si="111"/>
        <v>0</v>
      </c>
      <c r="AL714">
        <f t="shared" si="112"/>
        <v>0</v>
      </c>
      <c r="AM714">
        <f t="shared" si="113"/>
        <v>2.5</v>
      </c>
      <c r="AN714">
        <f t="shared" si="114"/>
        <v>10356</v>
      </c>
      <c r="AO714">
        <f t="shared" si="115"/>
        <v>0.5</v>
      </c>
      <c r="AP714" t="str">
        <f t="shared" si="116"/>
        <v>30-39</v>
      </c>
      <c r="AQ714" t="str">
        <f t="shared" si="117"/>
        <v>Medium</v>
      </c>
      <c r="AR714" t="str">
        <f t="shared" si="118"/>
        <v>Medium</v>
      </c>
      <c r="AS714">
        <f t="shared" si="119"/>
        <v>0</v>
      </c>
    </row>
    <row r="715" spans="1:4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s="20">
        <v>2270</v>
      </c>
      <c r="T715">
        <v>11005</v>
      </c>
      <c r="U715">
        <v>3</v>
      </c>
      <c r="V715" t="s">
        <v>42</v>
      </c>
      <c r="W715" t="s">
        <v>43</v>
      </c>
      <c r="X715" s="19">
        <v>14</v>
      </c>
      <c r="Y715">
        <v>3</v>
      </c>
      <c r="Z715">
        <v>4</v>
      </c>
      <c r="AA715">
        <v>80</v>
      </c>
      <c r="AB715">
        <v>2</v>
      </c>
      <c r="AC715">
        <v>8</v>
      </c>
      <c r="AD715">
        <v>2</v>
      </c>
      <c r="AE715">
        <v>3</v>
      </c>
      <c r="AF715">
        <v>5</v>
      </c>
      <c r="AG715">
        <v>3</v>
      </c>
      <c r="AH715">
        <v>0</v>
      </c>
      <c r="AI715">
        <v>2</v>
      </c>
      <c r="AJ715">
        <f t="shared" si="110"/>
        <v>0</v>
      </c>
      <c r="AK715">
        <f t="shared" si="111"/>
        <v>0</v>
      </c>
      <c r="AL715">
        <f t="shared" si="112"/>
        <v>0</v>
      </c>
      <c r="AM715">
        <f t="shared" si="113"/>
        <v>3.75</v>
      </c>
      <c r="AN715">
        <f t="shared" si="114"/>
        <v>4540</v>
      </c>
      <c r="AO715">
        <f t="shared" si="115"/>
        <v>0.55555555555555558</v>
      </c>
      <c r="AP715" t="str">
        <f t="shared" si="116"/>
        <v>40-49</v>
      </c>
      <c r="AQ715" t="str">
        <f t="shared" si="117"/>
        <v>Low</v>
      </c>
      <c r="AR715" t="str">
        <f t="shared" si="118"/>
        <v>Short</v>
      </c>
      <c r="AS715">
        <f t="shared" si="119"/>
        <v>0</v>
      </c>
    </row>
    <row r="716" spans="1:4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s="20">
        <v>17399</v>
      </c>
      <c r="T716">
        <v>6615</v>
      </c>
      <c r="U716">
        <v>9</v>
      </c>
      <c r="V716" t="s">
        <v>42</v>
      </c>
      <c r="W716" t="s">
        <v>43</v>
      </c>
      <c r="X716" s="19">
        <v>22</v>
      </c>
      <c r="Y716">
        <v>4</v>
      </c>
      <c r="Z716">
        <v>3</v>
      </c>
      <c r="AA716">
        <v>80</v>
      </c>
      <c r="AB716">
        <v>1</v>
      </c>
      <c r="AC716">
        <v>32</v>
      </c>
      <c r="AD716">
        <v>1</v>
      </c>
      <c r="AE716">
        <v>2</v>
      </c>
      <c r="AF716">
        <v>5</v>
      </c>
      <c r="AG716">
        <v>4</v>
      </c>
      <c r="AH716">
        <v>1</v>
      </c>
      <c r="AI716">
        <v>3</v>
      </c>
      <c r="AJ716">
        <f t="shared" si="110"/>
        <v>0</v>
      </c>
      <c r="AK716">
        <f t="shared" si="111"/>
        <v>0</v>
      </c>
      <c r="AL716">
        <f t="shared" si="112"/>
        <v>1</v>
      </c>
      <c r="AM716">
        <f t="shared" si="113"/>
        <v>3.25</v>
      </c>
      <c r="AN716">
        <f t="shared" si="114"/>
        <v>34798</v>
      </c>
      <c r="AO716">
        <f t="shared" si="115"/>
        <v>0.15151515151515152</v>
      </c>
      <c r="AP716" t="str">
        <f t="shared" si="116"/>
        <v>50+</v>
      </c>
      <c r="AQ716" t="str">
        <f t="shared" si="117"/>
        <v>Very High</v>
      </c>
      <c r="AR716" t="str">
        <f t="shared" si="118"/>
        <v>Short</v>
      </c>
      <c r="AS716">
        <f t="shared" si="119"/>
        <v>0</v>
      </c>
    </row>
    <row r="717" spans="1:4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s="20">
        <v>5488</v>
      </c>
      <c r="T717">
        <v>20161</v>
      </c>
      <c r="U717">
        <v>1</v>
      </c>
      <c r="V717" t="s">
        <v>42</v>
      </c>
      <c r="W717" t="s">
        <v>35</v>
      </c>
      <c r="X717" s="19">
        <v>13</v>
      </c>
      <c r="Y717">
        <v>3</v>
      </c>
      <c r="Z717">
        <v>1</v>
      </c>
      <c r="AA717">
        <v>80</v>
      </c>
      <c r="AB717">
        <v>1</v>
      </c>
      <c r="AC717">
        <v>6</v>
      </c>
      <c r="AD717">
        <v>2</v>
      </c>
      <c r="AE717">
        <v>3</v>
      </c>
      <c r="AF717">
        <v>6</v>
      </c>
      <c r="AG717">
        <v>5</v>
      </c>
      <c r="AH717">
        <v>1</v>
      </c>
      <c r="AI717">
        <v>2</v>
      </c>
      <c r="AJ717">
        <f t="shared" si="110"/>
        <v>0</v>
      </c>
      <c r="AK717">
        <f t="shared" si="111"/>
        <v>1</v>
      </c>
      <c r="AL717">
        <f t="shared" si="112"/>
        <v>0</v>
      </c>
      <c r="AM717">
        <f t="shared" si="113"/>
        <v>2.25</v>
      </c>
      <c r="AN717">
        <f t="shared" si="114"/>
        <v>9408</v>
      </c>
      <c r="AO717">
        <f t="shared" si="115"/>
        <v>0.8571428571428571</v>
      </c>
      <c r="AP717" t="str">
        <f t="shared" si="116"/>
        <v>30-39</v>
      </c>
      <c r="AQ717" t="str">
        <f t="shared" si="117"/>
        <v>High</v>
      </c>
      <c r="AR717" t="str">
        <f t="shared" si="118"/>
        <v>Short</v>
      </c>
      <c r="AS717">
        <f t="shared" si="119"/>
        <v>1</v>
      </c>
    </row>
    <row r="718" spans="1:4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s="20">
        <v>19419</v>
      </c>
      <c r="T718">
        <v>3735</v>
      </c>
      <c r="U718">
        <v>2</v>
      </c>
      <c r="V718" t="s">
        <v>42</v>
      </c>
      <c r="W718" t="s">
        <v>43</v>
      </c>
      <c r="X718" s="19">
        <v>17</v>
      </c>
      <c r="Y718">
        <v>3</v>
      </c>
      <c r="Z718">
        <v>2</v>
      </c>
      <c r="AA718">
        <v>80</v>
      </c>
      <c r="AB718">
        <v>1</v>
      </c>
      <c r="AC718">
        <v>21</v>
      </c>
      <c r="AD718">
        <v>2</v>
      </c>
      <c r="AE718">
        <v>4</v>
      </c>
      <c r="AF718">
        <v>18</v>
      </c>
      <c r="AG718">
        <v>16</v>
      </c>
      <c r="AH718">
        <v>0</v>
      </c>
      <c r="AI718">
        <v>11</v>
      </c>
      <c r="AJ718">
        <f t="shared" si="110"/>
        <v>0</v>
      </c>
      <c r="AK718">
        <f t="shared" si="111"/>
        <v>0</v>
      </c>
      <c r="AL718">
        <f t="shared" si="112"/>
        <v>1</v>
      </c>
      <c r="AM718">
        <f t="shared" si="113"/>
        <v>2.5</v>
      </c>
      <c r="AN718">
        <f t="shared" si="114"/>
        <v>12264.631578947368</v>
      </c>
      <c r="AO718">
        <f t="shared" si="115"/>
        <v>0.81818181818181823</v>
      </c>
      <c r="AP718" t="str">
        <f t="shared" si="116"/>
        <v>40-49</v>
      </c>
      <c r="AQ718" t="str">
        <f t="shared" si="117"/>
        <v>Very High</v>
      </c>
      <c r="AR718" t="str">
        <f t="shared" si="118"/>
        <v>Medium</v>
      </c>
      <c r="AS718">
        <f t="shared" si="119"/>
        <v>1</v>
      </c>
    </row>
    <row r="719" spans="1:4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s="20">
        <v>2811</v>
      </c>
      <c r="T719">
        <v>12086</v>
      </c>
      <c r="U719">
        <v>9</v>
      </c>
      <c r="V719" t="s">
        <v>42</v>
      </c>
      <c r="W719" t="s">
        <v>43</v>
      </c>
      <c r="X719" s="19">
        <v>14</v>
      </c>
      <c r="Y719">
        <v>3</v>
      </c>
      <c r="Z719">
        <v>2</v>
      </c>
      <c r="AA719">
        <v>80</v>
      </c>
      <c r="AB719">
        <v>1</v>
      </c>
      <c r="AC719">
        <v>4</v>
      </c>
      <c r="AD719">
        <v>2</v>
      </c>
      <c r="AE719">
        <v>3</v>
      </c>
      <c r="AF719">
        <v>2</v>
      </c>
      <c r="AG719">
        <v>2</v>
      </c>
      <c r="AH719">
        <v>2</v>
      </c>
      <c r="AI719">
        <v>2</v>
      </c>
      <c r="AJ719">
        <f t="shared" si="110"/>
        <v>0</v>
      </c>
      <c r="AK719">
        <f t="shared" si="111"/>
        <v>0</v>
      </c>
      <c r="AL719">
        <f t="shared" si="112"/>
        <v>0</v>
      </c>
      <c r="AM719">
        <f t="shared" si="113"/>
        <v>2.5</v>
      </c>
      <c r="AN719">
        <f t="shared" si="114"/>
        <v>11244</v>
      </c>
      <c r="AO719">
        <f t="shared" si="115"/>
        <v>0.4</v>
      </c>
      <c r="AP719" t="str">
        <f t="shared" si="116"/>
        <v>Under 30</v>
      </c>
      <c r="AQ719" t="str">
        <f t="shared" si="117"/>
        <v>Low</v>
      </c>
      <c r="AR719" t="str">
        <f t="shared" si="118"/>
        <v>Long</v>
      </c>
      <c r="AS719">
        <f t="shared" si="119"/>
        <v>0</v>
      </c>
    </row>
    <row r="720" spans="1:4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s="20">
        <v>3633</v>
      </c>
      <c r="T720">
        <v>14039</v>
      </c>
      <c r="U720">
        <v>1</v>
      </c>
      <c r="V720" t="s">
        <v>42</v>
      </c>
      <c r="W720" t="s">
        <v>35</v>
      </c>
      <c r="X720" s="19">
        <v>15</v>
      </c>
      <c r="Y720">
        <v>3</v>
      </c>
      <c r="Z720">
        <v>3</v>
      </c>
      <c r="AA720">
        <v>80</v>
      </c>
      <c r="AB720">
        <v>1</v>
      </c>
      <c r="AC720">
        <v>9</v>
      </c>
      <c r="AD720">
        <v>2</v>
      </c>
      <c r="AE720">
        <v>3</v>
      </c>
      <c r="AF720">
        <v>9</v>
      </c>
      <c r="AG720">
        <v>8</v>
      </c>
      <c r="AH720">
        <v>0</v>
      </c>
      <c r="AI720">
        <v>8</v>
      </c>
      <c r="AJ720">
        <f t="shared" si="110"/>
        <v>0</v>
      </c>
      <c r="AK720">
        <f t="shared" si="111"/>
        <v>1</v>
      </c>
      <c r="AL720">
        <f t="shared" si="112"/>
        <v>1</v>
      </c>
      <c r="AM720">
        <f t="shared" si="113"/>
        <v>2.75</v>
      </c>
      <c r="AN720">
        <f t="shared" si="114"/>
        <v>4359.6000000000004</v>
      </c>
      <c r="AO720">
        <f t="shared" si="115"/>
        <v>0.9</v>
      </c>
      <c r="AP720" t="str">
        <f t="shared" si="116"/>
        <v>40-49</v>
      </c>
      <c r="AQ720" t="str">
        <f t="shared" si="117"/>
        <v>Medium</v>
      </c>
      <c r="AR720" t="str">
        <f t="shared" si="118"/>
        <v>Long</v>
      </c>
      <c r="AS720">
        <f t="shared" si="119"/>
        <v>0</v>
      </c>
    </row>
    <row r="721" spans="1:4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s="20">
        <v>4163</v>
      </c>
      <c r="T721">
        <v>8571</v>
      </c>
      <c r="U721">
        <v>1</v>
      </c>
      <c r="V721" t="s">
        <v>42</v>
      </c>
      <c r="W721" t="s">
        <v>35</v>
      </c>
      <c r="X721" s="19">
        <v>17</v>
      </c>
      <c r="Y721">
        <v>3</v>
      </c>
      <c r="Z721">
        <v>3</v>
      </c>
      <c r="AA721">
        <v>80</v>
      </c>
      <c r="AB721">
        <v>0</v>
      </c>
      <c r="AC721">
        <v>9</v>
      </c>
      <c r="AD721">
        <v>0</v>
      </c>
      <c r="AE721">
        <v>3</v>
      </c>
      <c r="AF721">
        <v>9</v>
      </c>
      <c r="AG721">
        <v>0</v>
      </c>
      <c r="AH721">
        <v>0</v>
      </c>
      <c r="AI721">
        <v>7</v>
      </c>
      <c r="AJ721">
        <f t="shared" si="110"/>
        <v>0</v>
      </c>
      <c r="AK721">
        <f t="shared" si="111"/>
        <v>1</v>
      </c>
      <c r="AL721">
        <f t="shared" si="112"/>
        <v>0</v>
      </c>
      <c r="AM721">
        <f t="shared" si="113"/>
        <v>3.5</v>
      </c>
      <c r="AN721">
        <f t="shared" si="114"/>
        <v>4995.6000000000004</v>
      </c>
      <c r="AO721">
        <f t="shared" si="115"/>
        <v>0.9</v>
      </c>
      <c r="AP721" t="str">
        <f t="shared" si="116"/>
        <v>40-49</v>
      </c>
      <c r="AQ721" t="str">
        <f t="shared" si="117"/>
        <v>Medium</v>
      </c>
      <c r="AR721" t="str">
        <f t="shared" si="118"/>
        <v>Short</v>
      </c>
      <c r="AS721">
        <f t="shared" si="119"/>
        <v>0</v>
      </c>
    </row>
    <row r="722" spans="1:4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s="20">
        <v>2132</v>
      </c>
      <c r="T722">
        <v>11539</v>
      </c>
      <c r="U722">
        <v>4</v>
      </c>
      <c r="V722" t="s">
        <v>42</v>
      </c>
      <c r="W722" t="s">
        <v>35</v>
      </c>
      <c r="X722" s="19">
        <v>11</v>
      </c>
      <c r="Y722">
        <v>3</v>
      </c>
      <c r="Z722">
        <v>2</v>
      </c>
      <c r="AA722">
        <v>80</v>
      </c>
      <c r="AB722">
        <v>0</v>
      </c>
      <c r="AC722">
        <v>7</v>
      </c>
      <c r="AD722">
        <v>2</v>
      </c>
      <c r="AE722">
        <v>3</v>
      </c>
      <c r="AF722">
        <v>5</v>
      </c>
      <c r="AG722">
        <v>2</v>
      </c>
      <c r="AH722">
        <v>0</v>
      </c>
      <c r="AI722">
        <v>1</v>
      </c>
      <c r="AJ722">
        <f t="shared" si="110"/>
        <v>1</v>
      </c>
      <c r="AK722">
        <f t="shared" si="111"/>
        <v>1</v>
      </c>
      <c r="AL722">
        <f t="shared" si="112"/>
        <v>0</v>
      </c>
      <c r="AM722">
        <f t="shared" si="113"/>
        <v>2.25</v>
      </c>
      <c r="AN722">
        <f t="shared" si="114"/>
        <v>4264</v>
      </c>
      <c r="AO722">
        <f t="shared" si="115"/>
        <v>0.625</v>
      </c>
      <c r="AP722" t="str">
        <f t="shared" si="116"/>
        <v>30-39</v>
      </c>
      <c r="AQ722" t="str">
        <f t="shared" si="117"/>
        <v>Low</v>
      </c>
      <c r="AR722" t="str">
        <f t="shared" si="118"/>
        <v>Long</v>
      </c>
      <c r="AS722">
        <f t="shared" si="119"/>
        <v>0</v>
      </c>
    </row>
    <row r="723" spans="1:4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s="20">
        <v>13973</v>
      </c>
      <c r="T723">
        <v>4161</v>
      </c>
      <c r="U723">
        <v>3</v>
      </c>
      <c r="V723" t="s">
        <v>42</v>
      </c>
      <c r="W723" t="s">
        <v>35</v>
      </c>
      <c r="X723" s="19">
        <v>18</v>
      </c>
      <c r="Y723">
        <v>3</v>
      </c>
      <c r="Z723">
        <v>4</v>
      </c>
      <c r="AA723">
        <v>80</v>
      </c>
      <c r="AB723">
        <v>1</v>
      </c>
      <c r="AC723">
        <v>22</v>
      </c>
      <c r="AD723">
        <v>2</v>
      </c>
      <c r="AE723">
        <v>3</v>
      </c>
      <c r="AF723">
        <v>12</v>
      </c>
      <c r="AG723">
        <v>11</v>
      </c>
      <c r="AH723">
        <v>1</v>
      </c>
      <c r="AI723">
        <v>5</v>
      </c>
      <c r="AJ723">
        <f t="shared" si="110"/>
        <v>0</v>
      </c>
      <c r="AK723">
        <f t="shared" si="111"/>
        <v>1</v>
      </c>
      <c r="AL723">
        <f t="shared" si="112"/>
        <v>1</v>
      </c>
      <c r="AM723">
        <f t="shared" si="113"/>
        <v>3.5</v>
      </c>
      <c r="AN723">
        <f t="shared" si="114"/>
        <v>12898.153846153846</v>
      </c>
      <c r="AO723">
        <f t="shared" si="115"/>
        <v>0.52173913043478259</v>
      </c>
      <c r="AP723" t="str">
        <f t="shared" si="116"/>
        <v>50+</v>
      </c>
      <c r="AQ723" t="str">
        <f t="shared" si="117"/>
        <v>Very High</v>
      </c>
      <c r="AR723" t="str">
        <f t="shared" si="118"/>
        <v>Long</v>
      </c>
      <c r="AS723">
        <f t="shared" si="119"/>
        <v>0</v>
      </c>
    </row>
    <row r="724" spans="1:4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s="20">
        <v>2684</v>
      </c>
      <c r="T724">
        <v>12127</v>
      </c>
      <c r="U724">
        <v>0</v>
      </c>
      <c r="V724" t="s">
        <v>42</v>
      </c>
      <c r="W724" t="s">
        <v>43</v>
      </c>
      <c r="X724" s="19">
        <v>17</v>
      </c>
      <c r="Y724">
        <v>3</v>
      </c>
      <c r="Z724">
        <v>2</v>
      </c>
      <c r="AA724">
        <v>80</v>
      </c>
      <c r="AB724">
        <v>1</v>
      </c>
      <c r="AC724">
        <v>3</v>
      </c>
      <c r="AD724">
        <v>0</v>
      </c>
      <c r="AE724">
        <v>2</v>
      </c>
      <c r="AF724">
        <v>2</v>
      </c>
      <c r="AG724">
        <v>1</v>
      </c>
      <c r="AH724">
        <v>0</v>
      </c>
      <c r="AI724">
        <v>2</v>
      </c>
      <c r="AJ724">
        <f t="shared" si="110"/>
        <v>0</v>
      </c>
      <c r="AK724">
        <f t="shared" si="111"/>
        <v>0</v>
      </c>
      <c r="AL724">
        <f t="shared" si="112"/>
        <v>1</v>
      </c>
      <c r="AM724">
        <f t="shared" si="113"/>
        <v>2.5</v>
      </c>
      <c r="AN724">
        <f t="shared" si="114"/>
        <v>10736</v>
      </c>
      <c r="AO724">
        <f t="shared" si="115"/>
        <v>0.5</v>
      </c>
      <c r="AP724" t="str">
        <f t="shared" si="116"/>
        <v>30-39</v>
      </c>
      <c r="AQ724" t="str">
        <f t="shared" si="117"/>
        <v>Low</v>
      </c>
      <c r="AR724" t="str">
        <f t="shared" si="118"/>
        <v>Medium</v>
      </c>
      <c r="AS724">
        <f t="shared" si="119"/>
        <v>1</v>
      </c>
    </row>
    <row r="725" spans="1:4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s="20">
        <v>10845</v>
      </c>
      <c r="T725">
        <v>24208</v>
      </c>
      <c r="U725">
        <v>6</v>
      </c>
      <c r="V725" t="s">
        <v>42</v>
      </c>
      <c r="W725" t="s">
        <v>43</v>
      </c>
      <c r="X725" s="19">
        <v>13</v>
      </c>
      <c r="Y725">
        <v>3</v>
      </c>
      <c r="Z725">
        <v>2</v>
      </c>
      <c r="AA725">
        <v>80</v>
      </c>
      <c r="AB725">
        <v>1</v>
      </c>
      <c r="AC725">
        <v>13</v>
      </c>
      <c r="AD725">
        <v>3</v>
      </c>
      <c r="AE725">
        <v>3</v>
      </c>
      <c r="AF725">
        <v>8</v>
      </c>
      <c r="AG725">
        <v>7</v>
      </c>
      <c r="AH725">
        <v>0</v>
      </c>
      <c r="AI725">
        <v>7</v>
      </c>
      <c r="AJ725">
        <f t="shared" si="110"/>
        <v>0</v>
      </c>
      <c r="AK725">
        <f t="shared" si="111"/>
        <v>0</v>
      </c>
      <c r="AL725">
        <f t="shared" si="112"/>
        <v>1</v>
      </c>
      <c r="AM725">
        <f t="shared" si="113"/>
        <v>3</v>
      </c>
      <c r="AN725">
        <f t="shared" si="114"/>
        <v>14460</v>
      </c>
      <c r="AO725">
        <f t="shared" si="115"/>
        <v>0.5714285714285714</v>
      </c>
      <c r="AP725" t="str">
        <f t="shared" si="116"/>
        <v>40-49</v>
      </c>
      <c r="AQ725" t="str">
        <f t="shared" si="117"/>
        <v>Very High</v>
      </c>
      <c r="AR725" t="str">
        <f t="shared" si="118"/>
        <v>Medium</v>
      </c>
      <c r="AS725">
        <f t="shared" si="119"/>
        <v>0</v>
      </c>
    </row>
    <row r="726" spans="1:4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s="20">
        <v>4377</v>
      </c>
      <c r="T726">
        <v>24117</v>
      </c>
      <c r="U726">
        <v>1</v>
      </c>
      <c r="V726" t="s">
        <v>42</v>
      </c>
      <c r="W726" t="s">
        <v>43</v>
      </c>
      <c r="X726" s="19">
        <v>15</v>
      </c>
      <c r="Y726">
        <v>3</v>
      </c>
      <c r="Z726">
        <v>2</v>
      </c>
      <c r="AA726">
        <v>80</v>
      </c>
      <c r="AB726">
        <v>2</v>
      </c>
      <c r="AC726">
        <v>5</v>
      </c>
      <c r="AD726">
        <v>6</v>
      </c>
      <c r="AE726">
        <v>3</v>
      </c>
      <c r="AF726">
        <v>4</v>
      </c>
      <c r="AG726">
        <v>2</v>
      </c>
      <c r="AH726">
        <v>3</v>
      </c>
      <c r="AI726">
        <v>2</v>
      </c>
      <c r="AJ726">
        <f t="shared" si="110"/>
        <v>0</v>
      </c>
      <c r="AK726">
        <f t="shared" si="111"/>
        <v>0</v>
      </c>
      <c r="AL726">
        <f t="shared" si="112"/>
        <v>0</v>
      </c>
      <c r="AM726">
        <f t="shared" si="113"/>
        <v>3</v>
      </c>
      <c r="AN726">
        <f t="shared" si="114"/>
        <v>10504.8</v>
      </c>
      <c r="AO726">
        <f t="shared" si="115"/>
        <v>0.66666666666666663</v>
      </c>
      <c r="AP726" t="str">
        <f t="shared" si="116"/>
        <v>Under 30</v>
      </c>
      <c r="AQ726" t="str">
        <f t="shared" si="117"/>
        <v>Medium</v>
      </c>
      <c r="AR726" t="str">
        <f t="shared" si="118"/>
        <v>Long</v>
      </c>
      <c r="AS726">
        <f t="shared" si="119"/>
        <v>0</v>
      </c>
    </row>
    <row r="727" spans="1:4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s="20">
        <v>3743</v>
      </c>
      <c r="T727">
        <v>10074</v>
      </c>
      <c r="U727">
        <v>1</v>
      </c>
      <c r="V727" t="s">
        <v>42</v>
      </c>
      <c r="W727" t="s">
        <v>35</v>
      </c>
      <c r="X727" s="19">
        <v>24</v>
      </c>
      <c r="Y727">
        <v>4</v>
      </c>
      <c r="Z727">
        <v>4</v>
      </c>
      <c r="AA727">
        <v>80</v>
      </c>
      <c r="AB727">
        <v>1</v>
      </c>
      <c r="AC727">
        <v>5</v>
      </c>
      <c r="AD727">
        <v>2</v>
      </c>
      <c r="AE727">
        <v>1</v>
      </c>
      <c r="AF727">
        <v>4</v>
      </c>
      <c r="AG727">
        <v>2</v>
      </c>
      <c r="AH727">
        <v>0</v>
      </c>
      <c r="AI727">
        <v>2</v>
      </c>
      <c r="AJ727">
        <f t="shared" si="110"/>
        <v>1</v>
      </c>
      <c r="AK727">
        <f t="shared" si="111"/>
        <v>1</v>
      </c>
      <c r="AL727">
        <f t="shared" si="112"/>
        <v>1</v>
      </c>
      <c r="AM727">
        <f t="shared" si="113"/>
        <v>2.5</v>
      </c>
      <c r="AN727">
        <f t="shared" si="114"/>
        <v>8983.2000000000007</v>
      </c>
      <c r="AO727">
        <f t="shared" si="115"/>
        <v>0.66666666666666663</v>
      </c>
      <c r="AP727" t="str">
        <f t="shared" si="116"/>
        <v>30-39</v>
      </c>
      <c r="AQ727" t="str">
        <f t="shared" si="117"/>
        <v>Medium</v>
      </c>
      <c r="AR727" t="str">
        <f t="shared" si="118"/>
        <v>Medium</v>
      </c>
      <c r="AS727">
        <f t="shared" si="119"/>
        <v>0</v>
      </c>
    </row>
    <row r="728" spans="1:4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s="20">
        <v>4148</v>
      </c>
      <c r="T728">
        <v>11275</v>
      </c>
      <c r="U728">
        <v>1</v>
      </c>
      <c r="V728" t="s">
        <v>42</v>
      </c>
      <c r="W728" t="s">
        <v>43</v>
      </c>
      <c r="X728" s="19">
        <v>12</v>
      </c>
      <c r="Y728">
        <v>3</v>
      </c>
      <c r="Z728">
        <v>3</v>
      </c>
      <c r="AA728">
        <v>80</v>
      </c>
      <c r="AB728">
        <v>1</v>
      </c>
      <c r="AC728">
        <v>4</v>
      </c>
      <c r="AD728">
        <v>1</v>
      </c>
      <c r="AE728">
        <v>3</v>
      </c>
      <c r="AF728">
        <v>4</v>
      </c>
      <c r="AG728">
        <v>3</v>
      </c>
      <c r="AH728">
        <v>0</v>
      </c>
      <c r="AI728">
        <v>3</v>
      </c>
      <c r="AJ728">
        <f t="shared" si="110"/>
        <v>0</v>
      </c>
      <c r="AK728">
        <f t="shared" si="111"/>
        <v>0</v>
      </c>
      <c r="AL728">
        <f t="shared" si="112"/>
        <v>0</v>
      </c>
      <c r="AM728">
        <f t="shared" si="113"/>
        <v>2.5</v>
      </c>
      <c r="AN728">
        <f t="shared" si="114"/>
        <v>9955.2000000000007</v>
      </c>
      <c r="AO728">
        <f t="shared" si="115"/>
        <v>0.8</v>
      </c>
      <c r="AP728" t="str">
        <f t="shared" si="116"/>
        <v>30-39</v>
      </c>
      <c r="AQ728" t="str">
        <f t="shared" si="117"/>
        <v>Medium</v>
      </c>
      <c r="AR728" t="str">
        <f t="shared" si="118"/>
        <v>Short</v>
      </c>
      <c r="AS728">
        <f t="shared" si="119"/>
        <v>1</v>
      </c>
    </row>
    <row r="729" spans="1:4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s="20">
        <v>1051</v>
      </c>
      <c r="T729">
        <v>13493</v>
      </c>
      <c r="U729">
        <v>1</v>
      </c>
      <c r="V729" t="s">
        <v>42</v>
      </c>
      <c r="W729" t="s">
        <v>43</v>
      </c>
      <c r="X729" s="19">
        <v>15</v>
      </c>
      <c r="Y729">
        <v>3</v>
      </c>
      <c r="Z729">
        <v>4</v>
      </c>
      <c r="AA729">
        <v>80</v>
      </c>
      <c r="AB729">
        <v>0</v>
      </c>
      <c r="AC729">
        <v>0</v>
      </c>
      <c r="AD729">
        <v>2</v>
      </c>
      <c r="AE729">
        <v>3</v>
      </c>
      <c r="AF729">
        <v>0</v>
      </c>
      <c r="AG729">
        <v>0</v>
      </c>
      <c r="AH729">
        <v>0</v>
      </c>
      <c r="AI729">
        <v>0</v>
      </c>
      <c r="AJ729">
        <f t="shared" si="110"/>
        <v>0</v>
      </c>
      <c r="AK729">
        <f t="shared" si="111"/>
        <v>0</v>
      </c>
      <c r="AL729">
        <f t="shared" si="112"/>
        <v>1</v>
      </c>
      <c r="AM729">
        <f t="shared" si="113"/>
        <v>3.25</v>
      </c>
      <c r="AN729">
        <f t="shared" si="114"/>
        <v>12612</v>
      </c>
      <c r="AO729">
        <f t="shared" si="115"/>
        <v>0</v>
      </c>
      <c r="AP729" t="str">
        <f t="shared" si="116"/>
        <v>Under 30</v>
      </c>
      <c r="AQ729" t="str">
        <f t="shared" si="117"/>
        <v>Low</v>
      </c>
      <c r="AR729" t="str">
        <f t="shared" si="118"/>
        <v>Short</v>
      </c>
      <c r="AS729">
        <f t="shared" si="119"/>
        <v>0</v>
      </c>
    </row>
    <row r="730" spans="1:4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s="20">
        <v>10739</v>
      </c>
      <c r="T730">
        <v>13943</v>
      </c>
      <c r="U730">
        <v>8</v>
      </c>
      <c r="V730" t="s">
        <v>42</v>
      </c>
      <c r="W730" t="s">
        <v>43</v>
      </c>
      <c r="X730" s="19">
        <v>11</v>
      </c>
      <c r="Y730">
        <v>3</v>
      </c>
      <c r="Z730">
        <v>3</v>
      </c>
      <c r="AA730">
        <v>80</v>
      </c>
      <c r="AB730">
        <v>1</v>
      </c>
      <c r="AC730">
        <v>22</v>
      </c>
      <c r="AD730">
        <v>2</v>
      </c>
      <c r="AE730">
        <v>3</v>
      </c>
      <c r="AF730">
        <v>10</v>
      </c>
      <c r="AG730">
        <v>7</v>
      </c>
      <c r="AH730">
        <v>0</v>
      </c>
      <c r="AI730">
        <v>8</v>
      </c>
      <c r="AJ730">
        <f t="shared" si="110"/>
        <v>0</v>
      </c>
      <c r="AK730">
        <f t="shared" si="111"/>
        <v>0</v>
      </c>
      <c r="AL730">
        <f t="shared" si="112"/>
        <v>0</v>
      </c>
      <c r="AM730">
        <f t="shared" si="113"/>
        <v>3</v>
      </c>
      <c r="AN730">
        <f t="shared" si="114"/>
        <v>11715.272727272728</v>
      </c>
      <c r="AO730">
        <f t="shared" si="115"/>
        <v>0.43478260869565216</v>
      </c>
      <c r="AP730" t="str">
        <f t="shared" si="116"/>
        <v>50+</v>
      </c>
      <c r="AQ730" t="str">
        <f t="shared" si="117"/>
        <v>Very High</v>
      </c>
      <c r="AR730" t="str">
        <f t="shared" si="118"/>
        <v>Long</v>
      </c>
      <c r="AS730">
        <f t="shared" si="119"/>
        <v>0</v>
      </c>
    </row>
    <row r="731" spans="1:4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s="20">
        <v>10388</v>
      </c>
      <c r="T731">
        <v>6975</v>
      </c>
      <c r="U731">
        <v>1</v>
      </c>
      <c r="V731" t="s">
        <v>42</v>
      </c>
      <c r="W731" t="s">
        <v>35</v>
      </c>
      <c r="X731" s="19">
        <v>11</v>
      </c>
      <c r="Y731">
        <v>3</v>
      </c>
      <c r="Z731">
        <v>3</v>
      </c>
      <c r="AA731">
        <v>80</v>
      </c>
      <c r="AB731">
        <v>1</v>
      </c>
      <c r="AC731">
        <v>16</v>
      </c>
      <c r="AD731">
        <v>3</v>
      </c>
      <c r="AE731">
        <v>2</v>
      </c>
      <c r="AF731">
        <v>16</v>
      </c>
      <c r="AG731">
        <v>10</v>
      </c>
      <c r="AH731">
        <v>10</v>
      </c>
      <c r="AI731">
        <v>1</v>
      </c>
      <c r="AJ731">
        <f t="shared" si="110"/>
        <v>0</v>
      </c>
      <c r="AK731">
        <f t="shared" si="111"/>
        <v>1</v>
      </c>
      <c r="AL731">
        <f t="shared" si="112"/>
        <v>0</v>
      </c>
      <c r="AM731">
        <f t="shared" si="113"/>
        <v>2.75</v>
      </c>
      <c r="AN731">
        <f t="shared" si="114"/>
        <v>7332.7058823529414</v>
      </c>
      <c r="AO731">
        <f t="shared" si="115"/>
        <v>0.94117647058823528</v>
      </c>
      <c r="AP731" t="str">
        <f t="shared" si="116"/>
        <v>30-39</v>
      </c>
      <c r="AQ731" t="str">
        <f t="shared" si="117"/>
        <v>Very High</v>
      </c>
      <c r="AR731" t="str">
        <f t="shared" si="118"/>
        <v>Long</v>
      </c>
      <c r="AS731">
        <f t="shared" si="119"/>
        <v>0</v>
      </c>
    </row>
    <row r="732" spans="1:4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s="20">
        <v>11416</v>
      </c>
      <c r="T732">
        <v>17802</v>
      </c>
      <c r="U732">
        <v>0</v>
      </c>
      <c r="V732" t="s">
        <v>42</v>
      </c>
      <c r="W732" t="s">
        <v>35</v>
      </c>
      <c r="X732" s="19">
        <v>12</v>
      </c>
      <c r="Y732">
        <v>3</v>
      </c>
      <c r="Z732">
        <v>3</v>
      </c>
      <c r="AA732">
        <v>80</v>
      </c>
      <c r="AB732">
        <v>3</v>
      </c>
      <c r="AC732">
        <v>9</v>
      </c>
      <c r="AD732">
        <v>4</v>
      </c>
      <c r="AE732">
        <v>2</v>
      </c>
      <c r="AF732">
        <v>8</v>
      </c>
      <c r="AG732">
        <v>7</v>
      </c>
      <c r="AH732">
        <v>1</v>
      </c>
      <c r="AI732">
        <v>7</v>
      </c>
      <c r="AJ732">
        <f t="shared" si="110"/>
        <v>0</v>
      </c>
      <c r="AK732">
        <f t="shared" si="111"/>
        <v>1</v>
      </c>
      <c r="AL732">
        <f t="shared" si="112"/>
        <v>0</v>
      </c>
      <c r="AM732">
        <f t="shared" si="113"/>
        <v>2</v>
      </c>
      <c r="AN732">
        <f t="shared" si="114"/>
        <v>15221.333333333334</v>
      </c>
      <c r="AO732">
        <f t="shared" si="115"/>
        <v>0.8</v>
      </c>
      <c r="AP732" t="str">
        <f t="shared" si="116"/>
        <v>30-39</v>
      </c>
      <c r="AQ732" t="str">
        <f t="shared" si="117"/>
        <v>Very High</v>
      </c>
      <c r="AR732" t="str">
        <f t="shared" si="118"/>
        <v>Medium</v>
      </c>
      <c r="AS732">
        <f t="shared" si="119"/>
        <v>0</v>
      </c>
    </row>
    <row r="733" spans="1:4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s="20">
        <v>2600</v>
      </c>
      <c r="T733">
        <v>18275</v>
      </c>
      <c r="U733">
        <v>1</v>
      </c>
      <c r="V733" t="s">
        <v>42</v>
      </c>
      <c r="W733" t="s">
        <v>35</v>
      </c>
      <c r="X733" s="19">
        <v>15</v>
      </c>
      <c r="Y733">
        <v>3</v>
      </c>
      <c r="Z733">
        <v>1</v>
      </c>
      <c r="AA733">
        <v>80</v>
      </c>
      <c r="AB733">
        <v>0</v>
      </c>
      <c r="AC733">
        <v>1</v>
      </c>
      <c r="AD733">
        <v>2</v>
      </c>
      <c r="AE733">
        <v>3</v>
      </c>
      <c r="AF733">
        <v>1</v>
      </c>
      <c r="AG733">
        <v>0</v>
      </c>
      <c r="AH733">
        <v>0</v>
      </c>
      <c r="AI733">
        <v>0</v>
      </c>
      <c r="AJ733">
        <f t="shared" si="110"/>
        <v>1</v>
      </c>
      <c r="AK733">
        <f t="shared" si="111"/>
        <v>1</v>
      </c>
      <c r="AL733">
        <f t="shared" si="112"/>
        <v>0</v>
      </c>
      <c r="AM733">
        <f t="shared" si="113"/>
        <v>2.25</v>
      </c>
      <c r="AN733">
        <f t="shared" si="114"/>
        <v>15600</v>
      </c>
      <c r="AO733">
        <f t="shared" si="115"/>
        <v>0.5</v>
      </c>
      <c r="AP733" t="str">
        <f t="shared" si="116"/>
        <v>Under 30</v>
      </c>
      <c r="AQ733" t="str">
        <f t="shared" si="117"/>
        <v>Low</v>
      </c>
      <c r="AR733" t="str">
        <f t="shared" si="118"/>
        <v>Medium</v>
      </c>
      <c r="AS733">
        <f t="shared" si="119"/>
        <v>0</v>
      </c>
    </row>
    <row r="734" spans="1:4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s="20">
        <v>2422</v>
      </c>
      <c r="T734">
        <v>25725</v>
      </c>
      <c r="U734">
        <v>0</v>
      </c>
      <c r="V734" t="s">
        <v>42</v>
      </c>
      <c r="W734" t="s">
        <v>43</v>
      </c>
      <c r="X734" s="19">
        <v>17</v>
      </c>
      <c r="Y734">
        <v>3</v>
      </c>
      <c r="Z734">
        <v>1</v>
      </c>
      <c r="AA734">
        <v>80</v>
      </c>
      <c r="AB734">
        <v>0</v>
      </c>
      <c r="AC734">
        <v>4</v>
      </c>
      <c r="AD734">
        <v>3</v>
      </c>
      <c r="AE734">
        <v>3</v>
      </c>
      <c r="AF734">
        <v>3</v>
      </c>
      <c r="AG734">
        <v>2</v>
      </c>
      <c r="AH734">
        <v>1</v>
      </c>
      <c r="AI734">
        <v>2</v>
      </c>
      <c r="AJ734">
        <f t="shared" si="110"/>
        <v>1</v>
      </c>
      <c r="AK734">
        <f t="shared" si="111"/>
        <v>0</v>
      </c>
      <c r="AL734">
        <f t="shared" si="112"/>
        <v>0</v>
      </c>
      <c r="AM734">
        <f t="shared" si="113"/>
        <v>2</v>
      </c>
      <c r="AN734">
        <f t="shared" si="114"/>
        <v>7266</v>
      </c>
      <c r="AO734">
        <f t="shared" si="115"/>
        <v>0.6</v>
      </c>
      <c r="AP734" t="str">
        <f t="shared" si="116"/>
        <v>30-39</v>
      </c>
      <c r="AQ734" t="str">
        <f t="shared" si="117"/>
        <v>Low</v>
      </c>
      <c r="AR734" t="str">
        <f t="shared" si="118"/>
        <v>Short</v>
      </c>
      <c r="AS734">
        <f t="shared" si="119"/>
        <v>1</v>
      </c>
    </row>
    <row r="735" spans="1:4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s="20">
        <v>5472</v>
      </c>
      <c r="T735">
        <v>3334</v>
      </c>
      <c r="U735">
        <v>1</v>
      </c>
      <c r="V735" t="s">
        <v>42</v>
      </c>
      <c r="W735" t="s">
        <v>43</v>
      </c>
      <c r="X735" s="19">
        <v>12</v>
      </c>
      <c r="Y735">
        <v>3</v>
      </c>
      <c r="Z735">
        <v>2</v>
      </c>
      <c r="AA735">
        <v>80</v>
      </c>
      <c r="AB735">
        <v>0</v>
      </c>
      <c r="AC735">
        <v>8</v>
      </c>
      <c r="AD735">
        <v>2</v>
      </c>
      <c r="AE735">
        <v>3</v>
      </c>
      <c r="AF735">
        <v>8</v>
      </c>
      <c r="AG735">
        <v>7</v>
      </c>
      <c r="AH735">
        <v>1</v>
      </c>
      <c r="AI735">
        <v>3</v>
      </c>
      <c r="AJ735">
        <f t="shared" si="110"/>
        <v>0</v>
      </c>
      <c r="AK735">
        <f t="shared" si="111"/>
        <v>0</v>
      </c>
      <c r="AL735">
        <f t="shared" si="112"/>
        <v>1</v>
      </c>
      <c r="AM735">
        <f t="shared" si="113"/>
        <v>3.25</v>
      </c>
      <c r="AN735">
        <f t="shared" si="114"/>
        <v>7296</v>
      </c>
      <c r="AO735">
        <f t="shared" si="115"/>
        <v>0.88888888888888884</v>
      </c>
      <c r="AP735" t="str">
        <f t="shared" si="116"/>
        <v>Under 30</v>
      </c>
      <c r="AQ735" t="str">
        <f t="shared" si="117"/>
        <v>High</v>
      </c>
      <c r="AR735" t="str">
        <f t="shared" si="118"/>
        <v>Short</v>
      </c>
      <c r="AS735">
        <f t="shared" si="119"/>
        <v>0</v>
      </c>
    </row>
    <row r="736" spans="1:4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s="20">
        <v>2451</v>
      </c>
      <c r="T736">
        <v>6881</v>
      </c>
      <c r="U736">
        <v>1</v>
      </c>
      <c r="V736" t="s">
        <v>42</v>
      </c>
      <c r="W736" t="s">
        <v>43</v>
      </c>
      <c r="X736" s="19">
        <v>15</v>
      </c>
      <c r="Y736">
        <v>3</v>
      </c>
      <c r="Z736">
        <v>1</v>
      </c>
      <c r="AA736">
        <v>80</v>
      </c>
      <c r="AB736">
        <v>1</v>
      </c>
      <c r="AC736">
        <v>4</v>
      </c>
      <c r="AD736">
        <v>3</v>
      </c>
      <c r="AE736">
        <v>2</v>
      </c>
      <c r="AF736">
        <v>4</v>
      </c>
      <c r="AG736">
        <v>3</v>
      </c>
      <c r="AH736">
        <v>1</v>
      </c>
      <c r="AI736">
        <v>1</v>
      </c>
      <c r="AJ736">
        <f t="shared" si="110"/>
        <v>0</v>
      </c>
      <c r="AK736">
        <f t="shared" si="111"/>
        <v>0</v>
      </c>
      <c r="AL736">
        <f t="shared" si="112"/>
        <v>1</v>
      </c>
      <c r="AM736">
        <f t="shared" si="113"/>
        <v>1.5</v>
      </c>
      <c r="AN736">
        <f t="shared" si="114"/>
        <v>5882.4</v>
      </c>
      <c r="AO736">
        <f t="shared" si="115"/>
        <v>0.8</v>
      </c>
      <c r="AP736" t="str">
        <f t="shared" si="116"/>
        <v>Under 30</v>
      </c>
      <c r="AQ736" t="str">
        <f t="shared" si="117"/>
        <v>Low</v>
      </c>
      <c r="AR736" t="str">
        <f t="shared" si="118"/>
        <v>Medium</v>
      </c>
      <c r="AS736">
        <f t="shared" si="119"/>
        <v>0</v>
      </c>
    </row>
    <row r="737" spans="1:4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s="20">
        <v>4240</v>
      </c>
      <c r="T737">
        <v>13119</v>
      </c>
      <c r="U737">
        <v>2</v>
      </c>
      <c r="V737" t="s">
        <v>42</v>
      </c>
      <c r="W737" t="s">
        <v>43</v>
      </c>
      <c r="X737" s="19">
        <v>13</v>
      </c>
      <c r="Y737">
        <v>3</v>
      </c>
      <c r="Z737">
        <v>4</v>
      </c>
      <c r="AA737">
        <v>80</v>
      </c>
      <c r="AB737">
        <v>0</v>
      </c>
      <c r="AC737">
        <v>19</v>
      </c>
      <c r="AD737">
        <v>0</v>
      </c>
      <c r="AE737">
        <v>3</v>
      </c>
      <c r="AF737">
        <v>2</v>
      </c>
      <c r="AG737">
        <v>2</v>
      </c>
      <c r="AH737">
        <v>2</v>
      </c>
      <c r="AI737">
        <v>2</v>
      </c>
      <c r="AJ737">
        <f t="shared" si="110"/>
        <v>0</v>
      </c>
      <c r="AK737">
        <f t="shared" si="111"/>
        <v>0</v>
      </c>
      <c r="AL737">
        <f t="shared" si="112"/>
        <v>1</v>
      </c>
      <c r="AM737">
        <f t="shared" si="113"/>
        <v>2.75</v>
      </c>
      <c r="AN737">
        <f t="shared" si="114"/>
        <v>16960</v>
      </c>
      <c r="AO737">
        <f t="shared" si="115"/>
        <v>0.1</v>
      </c>
      <c r="AP737" t="str">
        <f t="shared" si="116"/>
        <v>40-49</v>
      </c>
      <c r="AQ737" t="str">
        <f t="shared" si="117"/>
        <v>Medium</v>
      </c>
      <c r="AR737" t="str">
        <f t="shared" si="118"/>
        <v>Medium</v>
      </c>
      <c r="AS737">
        <f t="shared" si="119"/>
        <v>0</v>
      </c>
    </row>
    <row r="738" spans="1:4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s="20">
        <v>10999</v>
      </c>
      <c r="T738">
        <v>22245</v>
      </c>
      <c r="U738">
        <v>7</v>
      </c>
      <c r="V738" t="s">
        <v>42</v>
      </c>
      <c r="W738" t="s">
        <v>43</v>
      </c>
      <c r="X738" s="19">
        <v>14</v>
      </c>
      <c r="Y738">
        <v>3</v>
      </c>
      <c r="Z738">
        <v>2</v>
      </c>
      <c r="AA738">
        <v>80</v>
      </c>
      <c r="AB738">
        <v>0</v>
      </c>
      <c r="AC738">
        <v>27</v>
      </c>
      <c r="AD738">
        <v>3</v>
      </c>
      <c r="AE738">
        <v>3</v>
      </c>
      <c r="AF738">
        <v>15</v>
      </c>
      <c r="AG738">
        <v>11</v>
      </c>
      <c r="AH738">
        <v>4</v>
      </c>
      <c r="AI738">
        <v>8</v>
      </c>
      <c r="AJ738">
        <f t="shared" si="110"/>
        <v>0</v>
      </c>
      <c r="AK738">
        <f t="shared" si="111"/>
        <v>0</v>
      </c>
      <c r="AL738">
        <f t="shared" si="112"/>
        <v>1</v>
      </c>
      <c r="AM738">
        <f t="shared" si="113"/>
        <v>2.75</v>
      </c>
      <c r="AN738">
        <f t="shared" si="114"/>
        <v>8249.25</v>
      </c>
      <c r="AO738">
        <f t="shared" si="115"/>
        <v>0.5357142857142857</v>
      </c>
      <c r="AP738" t="str">
        <f t="shared" si="116"/>
        <v>40-49</v>
      </c>
      <c r="AQ738" t="str">
        <f t="shared" si="117"/>
        <v>Very High</v>
      </c>
      <c r="AR738" t="str">
        <f t="shared" si="118"/>
        <v>Short</v>
      </c>
      <c r="AS738">
        <f t="shared" si="119"/>
        <v>0</v>
      </c>
    </row>
    <row r="739" spans="1:4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s="20">
        <v>5003</v>
      </c>
      <c r="T739">
        <v>23371</v>
      </c>
      <c r="U739">
        <v>6</v>
      </c>
      <c r="V739" t="s">
        <v>42</v>
      </c>
      <c r="W739" t="s">
        <v>43</v>
      </c>
      <c r="X739" s="19">
        <v>14</v>
      </c>
      <c r="Y739">
        <v>3</v>
      </c>
      <c r="Z739">
        <v>2</v>
      </c>
      <c r="AA739">
        <v>80</v>
      </c>
      <c r="AB739">
        <v>0</v>
      </c>
      <c r="AC739">
        <v>8</v>
      </c>
      <c r="AD739">
        <v>6</v>
      </c>
      <c r="AE739">
        <v>3</v>
      </c>
      <c r="AF739">
        <v>2</v>
      </c>
      <c r="AG739">
        <v>2</v>
      </c>
      <c r="AH739">
        <v>2</v>
      </c>
      <c r="AI739">
        <v>1</v>
      </c>
      <c r="AJ739">
        <f t="shared" si="110"/>
        <v>0</v>
      </c>
      <c r="AK739">
        <f t="shared" si="111"/>
        <v>0</v>
      </c>
      <c r="AL739">
        <f t="shared" si="112"/>
        <v>0</v>
      </c>
      <c r="AM739">
        <f t="shared" si="113"/>
        <v>3</v>
      </c>
      <c r="AN739">
        <f t="shared" si="114"/>
        <v>20012</v>
      </c>
      <c r="AO739">
        <f t="shared" si="115"/>
        <v>0.22222222222222221</v>
      </c>
      <c r="AP739" t="str">
        <f t="shared" si="116"/>
        <v>40-49</v>
      </c>
      <c r="AQ739" t="str">
        <f t="shared" si="117"/>
        <v>High</v>
      </c>
      <c r="AR739" t="str">
        <f t="shared" si="118"/>
        <v>Medium</v>
      </c>
      <c r="AS739">
        <f t="shared" si="119"/>
        <v>0</v>
      </c>
    </row>
    <row r="740" spans="1:4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s="20">
        <v>12742</v>
      </c>
      <c r="T740">
        <v>7060</v>
      </c>
      <c r="U740">
        <v>1</v>
      </c>
      <c r="V740" t="s">
        <v>42</v>
      </c>
      <c r="W740" t="s">
        <v>43</v>
      </c>
      <c r="X740" s="19">
        <v>16</v>
      </c>
      <c r="Y740">
        <v>3</v>
      </c>
      <c r="Z740">
        <v>3</v>
      </c>
      <c r="AA740">
        <v>80</v>
      </c>
      <c r="AB740">
        <v>1</v>
      </c>
      <c r="AC740">
        <v>21</v>
      </c>
      <c r="AD740">
        <v>3</v>
      </c>
      <c r="AE740">
        <v>3</v>
      </c>
      <c r="AF740">
        <v>21</v>
      </c>
      <c r="AG740">
        <v>6</v>
      </c>
      <c r="AH740">
        <v>11</v>
      </c>
      <c r="AI740">
        <v>8</v>
      </c>
      <c r="AJ740">
        <f t="shared" si="110"/>
        <v>0</v>
      </c>
      <c r="AK740">
        <f t="shared" si="111"/>
        <v>0</v>
      </c>
      <c r="AL740">
        <f t="shared" si="112"/>
        <v>0</v>
      </c>
      <c r="AM740">
        <f t="shared" si="113"/>
        <v>3.5</v>
      </c>
      <c r="AN740">
        <f t="shared" si="114"/>
        <v>6950.181818181818</v>
      </c>
      <c r="AO740">
        <f t="shared" si="115"/>
        <v>0.95454545454545459</v>
      </c>
      <c r="AP740" t="str">
        <f t="shared" si="116"/>
        <v>30-39</v>
      </c>
      <c r="AQ740" t="str">
        <f t="shared" si="117"/>
        <v>Very High</v>
      </c>
      <c r="AR740" t="str">
        <f t="shared" si="118"/>
        <v>Short</v>
      </c>
      <c r="AS740">
        <f t="shared" si="119"/>
        <v>0</v>
      </c>
    </row>
    <row r="741" spans="1:4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s="20">
        <v>4227</v>
      </c>
      <c r="T741">
        <v>4658</v>
      </c>
      <c r="U741">
        <v>0</v>
      </c>
      <c r="V741" t="s">
        <v>42</v>
      </c>
      <c r="W741" t="s">
        <v>43</v>
      </c>
      <c r="X741" s="19">
        <v>18</v>
      </c>
      <c r="Y741">
        <v>3</v>
      </c>
      <c r="Z741">
        <v>2</v>
      </c>
      <c r="AA741">
        <v>80</v>
      </c>
      <c r="AB741">
        <v>1</v>
      </c>
      <c r="AC741">
        <v>4</v>
      </c>
      <c r="AD741">
        <v>2</v>
      </c>
      <c r="AE741">
        <v>3</v>
      </c>
      <c r="AF741">
        <v>3</v>
      </c>
      <c r="AG741">
        <v>2</v>
      </c>
      <c r="AH741">
        <v>2</v>
      </c>
      <c r="AI741">
        <v>2</v>
      </c>
      <c r="AJ741">
        <f t="shared" si="110"/>
        <v>0</v>
      </c>
      <c r="AK741">
        <f t="shared" si="111"/>
        <v>0</v>
      </c>
      <c r="AL741">
        <f t="shared" si="112"/>
        <v>0</v>
      </c>
      <c r="AM741">
        <f t="shared" si="113"/>
        <v>2.5</v>
      </c>
      <c r="AN741">
        <f t="shared" si="114"/>
        <v>12681</v>
      </c>
      <c r="AO741">
        <f t="shared" si="115"/>
        <v>0.6</v>
      </c>
      <c r="AP741" t="str">
        <f t="shared" si="116"/>
        <v>Under 30</v>
      </c>
      <c r="AQ741" t="str">
        <f t="shared" si="117"/>
        <v>Medium</v>
      </c>
      <c r="AR741" t="str">
        <f t="shared" si="118"/>
        <v>Short</v>
      </c>
      <c r="AS741">
        <f t="shared" si="119"/>
        <v>0</v>
      </c>
    </row>
    <row r="742" spans="1:4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s="20">
        <v>3917</v>
      </c>
      <c r="T742">
        <v>9541</v>
      </c>
      <c r="U742">
        <v>1</v>
      </c>
      <c r="V742" t="s">
        <v>42</v>
      </c>
      <c r="W742" t="s">
        <v>43</v>
      </c>
      <c r="X742" s="19">
        <v>20</v>
      </c>
      <c r="Y742">
        <v>4</v>
      </c>
      <c r="Z742">
        <v>1</v>
      </c>
      <c r="AA742">
        <v>80</v>
      </c>
      <c r="AB742">
        <v>1</v>
      </c>
      <c r="AC742">
        <v>3</v>
      </c>
      <c r="AD742">
        <v>4</v>
      </c>
      <c r="AE742">
        <v>2</v>
      </c>
      <c r="AF742">
        <v>3</v>
      </c>
      <c r="AG742">
        <v>2</v>
      </c>
      <c r="AH742">
        <v>1</v>
      </c>
      <c r="AI742">
        <v>2</v>
      </c>
      <c r="AJ742">
        <f t="shared" si="110"/>
        <v>0</v>
      </c>
      <c r="AK742">
        <f t="shared" si="111"/>
        <v>0</v>
      </c>
      <c r="AL742">
        <f t="shared" si="112"/>
        <v>1</v>
      </c>
      <c r="AM742">
        <f t="shared" si="113"/>
        <v>2.25</v>
      </c>
      <c r="AN742">
        <f t="shared" si="114"/>
        <v>11751</v>
      </c>
      <c r="AO742">
        <f t="shared" si="115"/>
        <v>0.75</v>
      </c>
      <c r="AP742" t="str">
        <f t="shared" si="116"/>
        <v>30-39</v>
      </c>
      <c r="AQ742" t="str">
        <f t="shared" si="117"/>
        <v>Medium</v>
      </c>
      <c r="AR742" t="str">
        <f t="shared" si="118"/>
        <v>Medium</v>
      </c>
      <c r="AS742">
        <f t="shared" si="119"/>
        <v>0</v>
      </c>
    </row>
    <row r="743" spans="1:4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s="20">
        <v>18303</v>
      </c>
      <c r="T743">
        <v>7770</v>
      </c>
      <c r="U743">
        <v>6</v>
      </c>
      <c r="V743" t="s">
        <v>42</v>
      </c>
      <c r="W743" t="s">
        <v>43</v>
      </c>
      <c r="X743" s="19">
        <v>13</v>
      </c>
      <c r="Y743">
        <v>3</v>
      </c>
      <c r="Z743">
        <v>2</v>
      </c>
      <c r="AA743">
        <v>80</v>
      </c>
      <c r="AB743">
        <v>0</v>
      </c>
      <c r="AC743">
        <v>21</v>
      </c>
      <c r="AD743">
        <v>3</v>
      </c>
      <c r="AE743">
        <v>4</v>
      </c>
      <c r="AF743">
        <v>1</v>
      </c>
      <c r="AG743">
        <v>0</v>
      </c>
      <c r="AH743">
        <v>0</v>
      </c>
      <c r="AI743">
        <v>0</v>
      </c>
      <c r="AJ743">
        <f t="shared" si="110"/>
        <v>0</v>
      </c>
      <c r="AK743">
        <f t="shared" si="111"/>
        <v>0</v>
      </c>
      <c r="AL743">
        <f t="shared" si="112"/>
        <v>1</v>
      </c>
      <c r="AM743">
        <f t="shared" si="113"/>
        <v>3.25</v>
      </c>
      <c r="AN743">
        <f t="shared" si="114"/>
        <v>109818</v>
      </c>
      <c r="AO743">
        <f t="shared" si="115"/>
        <v>4.5454545454545456E-2</v>
      </c>
      <c r="AP743" t="str">
        <f t="shared" si="116"/>
        <v>40-49</v>
      </c>
      <c r="AQ743" t="str">
        <f t="shared" si="117"/>
        <v>Very High</v>
      </c>
      <c r="AR743" t="str">
        <f t="shared" si="118"/>
        <v>Short</v>
      </c>
      <c r="AS743">
        <f t="shared" si="119"/>
        <v>0</v>
      </c>
    </row>
    <row r="744" spans="1:4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s="20">
        <v>2380</v>
      </c>
      <c r="T744">
        <v>20165</v>
      </c>
      <c r="U744">
        <v>4</v>
      </c>
      <c r="V744" t="s">
        <v>42</v>
      </c>
      <c r="W744" t="s">
        <v>43</v>
      </c>
      <c r="X744" s="19">
        <v>18</v>
      </c>
      <c r="Y744">
        <v>3</v>
      </c>
      <c r="Z744">
        <v>2</v>
      </c>
      <c r="AA744">
        <v>80</v>
      </c>
      <c r="AB744">
        <v>0</v>
      </c>
      <c r="AC744">
        <v>8</v>
      </c>
      <c r="AD744">
        <v>5</v>
      </c>
      <c r="AE744">
        <v>3</v>
      </c>
      <c r="AF744">
        <v>1</v>
      </c>
      <c r="AG744">
        <v>0</v>
      </c>
      <c r="AH744">
        <v>0</v>
      </c>
      <c r="AI744">
        <v>0</v>
      </c>
      <c r="AJ744">
        <f t="shared" si="110"/>
        <v>0</v>
      </c>
      <c r="AK744">
        <f t="shared" si="111"/>
        <v>0</v>
      </c>
      <c r="AL744">
        <f t="shared" si="112"/>
        <v>1</v>
      </c>
      <c r="AM744">
        <f t="shared" si="113"/>
        <v>2.5</v>
      </c>
      <c r="AN744">
        <f t="shared" si="114"/>
        <v>14280</v>
      </c>
      <c r="AO744">
        <f t="shared" si="115"/>
        <v>0.1111111111111111</v>
      </c>
      <c r="AP744" t="str">
        <f t="shared" si="116"/>
        <v>50+</v>
      </c>
      <c r="AQ744" t="str">
        <f t="shared" si="117"/>
        <v>Low</v>
      </c>
      <c r="AR744" t="str">
        <f t="shared" si="118"/>
        <v>Medium</v>
      </c>
      <c r="AS744">
        <f t="shared" si="119"/>
        <v>0</v>
      </c>
    </row>
    <row r="745" spans="1:4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s="20">
        <v>13726</v>
      </c>
      <c r="T745">
        <v>21829</v>
      </c>
      <c r="U745">
        <v>3</v>
      </c>
      <c r="V745" t="s">
        <v>42</v>
      </c>
      <c r="W745" t="s">
        <v>35</v>
      </c>
      <c r="X745" s="19">
        <v>13</v>
      </c>
      <c r="Y745">
        <v>3</v>
      </c>
      <c r="Z745">
        <v>1</v>
      </c>
      <c r="AA745">
        <v>80</v>
      </c>
      <c r="AB745">
        <v>0</v>
      </c>
      <c r="AC745">
        <v>30</v>
      </c>
      <c r="AD745">
        <v>4</v>
      </c>
      <c r="AE745">
        <v>3</v>
      </c>
      <c r="AF745">
        <v>5</v>
      </c>
      <c r="AG745">
        <v>3</v>
      </c>
      <c r="AH745">
        <v>4</v>
      </c>
      <c r="AI745">
        <v>3</v>
      </c>
      <c r="AJ745">
        <f t="shared" si="110"/>
        <v>0</v>
      </c>
      <c r="AK745">
        <f t="shared" si="111"/>
        <v>1</v>
      </c>
      <c r="AL745">
        <f t="shared" si="112"/>
        <v>0</v>
      </c>
      <c r="AM745">
        <f t="shared" si="113"/>
        <v>2.75</v>
      </c>
      <c r="AN745">
        <f t="shared" si="114"/>
        <v>27452</v>
      </c>
      <c r="AO745">
        <f t="shared" si="115"/>
        <v>0.16129032258064516</v>
      </c>
      <c r="AP745" t="str">
        <f t="shared" si="116"/>
        <v>50+</v>
      </c>
      <c r="AQ745" t="str">
        <f t="shared" si="117"/>
        <v>Very High</v>
      </c>
      <c r="AR745" t="str">
        <f t="shared" si="118"/>
        <v>Short</v>
      </c>
      <c r="AS745">
        <f t="shared" si="119"/>
        <v>0</v>
      </c>
    </row>
    <row r="746" spans="1:4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s="20">
        <v>4777</v>
      </c>
      <c r="T746">
        <v>14382</v>
      </c>
      <c r="U746">
        <v>5</v>
      </c>
      <c r="V746" t="s">
        <v>42</v>
      </c>
      <c r="W746" t="s">
        <v>43</v>
      </c>
      <c r="X746" s="19">
        <v>15</v>
      </c>
      <c r="Y746">
        <v>3</v>
      </c>
      <c r="Z746">
        <v>1</v>
      </c>
      <c r="AA746">
        <v>80</v>
      </c>
      <c r="AB746">
        <v>0</v>
      </c>
      <c r="AC746">
        <v>15</v>
      </c>
      <c r="AD746">
        <v>2</v>
      </c>
      <c r="AE746">
        <v>1</v>
      </c>
      <c r="AF746">
        <v>1</v>
      </c>
      <c r="AG746">
        <v>0</v>
      </c>
      <c r="AH746">
        <v>0</v>
      </c>
      <c r="AI746">
        <v>0</v>
      </c>
      <c r="AJ746">
        <f t="shared" si="110"/>
        <v>1</v>
      </c>
      <c r="AK746">
        <f t="shared" si="111"/>
        <v>0</v>
      </c>
      <c r="AL746">
        <f t="shared" si="112"/>
        <v>0</v>
      </c>
      <c r="AM746">
        <f t="shared" si="113"/>
        <v>1.25</v>
      </c>
      <c r="AN746">
        <f t="shared" si="114"/>
        <v>28662</v>
      </c>
      <c r="AO746">
        <f t="shared" si="115"/>
        <v>6.25E-2</v>
      </c>
      <c r="AP746" t="str">
        <f t="shared" si="116"/>
        <v>30-39</v>
      </c>
      <c r="AQ746" t="str">
        <f t="shared" si="117"/>
        <v>Medium</v>
      </c>
      <c r="AR746" t="str">
        <f t="shared" si="118"/>
        <v>Medium</v>
      </c>
      <c r="AS746">
        <f t="shared" si="119"/>
        <v>0</v>
      </c>
    </row>
    <row r="747" spans="1:4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s="20">
        <v>6385</v>
      </c>
      <c r="T747">
        <v>12992</v>
      </c>
      <c r="U747">
        <v>3</v>
      </c>
      <c r="V747" t="s">
        <v>42</v>
      </c>
      <c r="W747" t="s">
        <v>35</v>
      </c>
      <c r="X747" s="19">
        <v>14</v>
      </c>
      <c r="Y747">
        <v>3</v>
      </c>
      <c r="Z747">
        <v>4</v>
      </c>
      <c r="AA747">
        <v>80</v>
      </c>
      <c r="AB747">
        <v>2</v>
      </c>
      <c r="AC747">
        <v>17</v>
      </c>
      <c r="AD747">
        <v>3</v>
      </c>
      <c r="AE747">
        <v>3</v>
      </c>
      <c r="AF747">
        <v>8</v>
      </c>
      <c r="AG747">
        <v>7</v>
      </c>
      <c r="AH747">
        <v>6</v>
      </c>
      <c r="AI747">
        <v>7</v>
      </c>
      <c r="AJ747">
        <f t="shared" si="110"/>
        <v>0</v>
      </c>
      <c r="AK747">
        <f t="shared" si="111"/>
        <v>1</v>
      </c>
      <c r="AL747">
        <f t="shared" si="112"/>
        <v>1</v>
      </c>
      <c r="AM747">
        <f t="shared" si="113"/>
        <v>3</v>
      </c>
      <c r="AN747">
        <f t="shared" si="114"/>
        <v>8513.3333333333339</v>
      </c>
      <c r="AO747">
        <f t="shared" si="115"/>
        <v>0.44444444444444442</v>
      </c>
      <c r="AP747" t="str">
        <f t="shared" si="116"/>
        <v>50+</v>
      </c>
      <c r="AQ747" t="str">
        <f t="shared" si="117"/>
        <v>High</v>
      </c>
      <c r="AR747" t="str">
        <f t="shared" si="118"/>
        <v>Long</v>
      </c>
      <c r="AS747">
        <f t="shared" si="119"/>
        <v>1</v>
      </c>
    </row>
    <row r="748" spans="1:4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s="20">
        <v>19973</v>
      </c>
      <c r="T748">
        <v>20284</v>
      </c>
      <c r="U748">
        <v>1</v>
      </c>
      <c r="V748" t="s">
        <v>42</v>
      </c>
      <c r="W748" t="s">
        <v>43</v>
      </c>
      <c r="X748" s="19">
        <v>22</v>
      </c>
      <c r="Y748">
        <v>4</v>
      </c>
      <c r="Z748">
        <v>2</v>
      </c>
      <c r="AA748">
        <v>80</v>
      </c>
      <c r="AB748">
        <v>2</v>
      </c>
      <c r="AC748">
        <v>21</v>
      </c>
      <c r="AD748">
        <v>3</v>
      </c>
      <c r="AE748">
        <v>3</v>
      </c>
      <c r="AF748">
        <v>21</v>
      </c>
      <c r="AG748">
        <v>16</v>
      </c>
      <c r="AH748">
        <v>5</v>
      </c>
      <c r="AI748">
        <v>10</v>
      </c>
      <c r="AJ748">
        <f t="shared" si="110"/>
        <v>0</v>
      </c>
      <c r="AK748">
        <f t="shared" si="111"/>
        <v>0</v>
      </c>
      <c r="AL748">
        <f t="shared" si="112"/>
        <v>0</v>
      </c>
      <c r="AM748">
        <f t="shared" si="113"/>
        <v>2.5</v>
      </c>
      <c r="AN748">
        <f t="shared" si="114"/>
        <v>10894.363636363636</v>
      </c>
      <c r="AO748">
        <f t="shared" si="115"/>
        <v>0.95454545454545459</v>
      </c>
      <c r="AP748" t="str">
        <f t="shared" si="116"/>
        <v>40-49</v>
      </c>
      <c r="AQ748" t="str">
        <f t="shared" si="117"/>
        <v>Very High</v>
      </c>
      <c r="AR748" t="str">
        <f t="shared" si="118"/>
        <v>Medium</v>
      </c>
      <c r="AS748">
        <f t="shared" si="119"/>
        <v>0</v>
      </c>
    </row>
    <row r="749" spans="1:4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s="20">
        <v>6861</v>
      </c>
      <c r="T749">
        <v>4981</v>
      </c>
      <c r="U749">
        <v>8</v>
      </c>
      <c r="V749" t="s">
        <v>42</v>
      </c>
      <c r="W749" t="s">
        <v>35</v>
      </c>
      <c r="X749" s="19">
        <v>12</v>
      </c>
      <c r="Y749">
        <v>3</v>
      </c>
      <c r="Z749">
        <v>3</v>
      </c>
      <c r="AA749">
        <v>80</v>
      </c>
      <c r="AB749">
        <v>0</v>
      </c>
      <c r="AC749">
        <v>19</v>
      </c>
      <c r="AD749">
        <v>1</v>
      </c>
      <c r="AE749">
        <v>3</v>
      </c>
      <c r="AF749">
        <v>1</v>
      </c>
      <c r="AG749">
        <v>0</v>
      </c>
      <c r="AH749">
        <v>0</v>
      </c>
      <c r="AI749">
        <v>0</v>
      </c>
      <c r="AJ749">
        <f t="shared" si="110"/>
        <v>0</v>
      </c>
      <c r="AK749">
        <f t="shared" si="111"/>
        <v>1</v>
      </c>
      <c r="AL749">
        <f t="shared" si="112"/>
        <v>1</v>
      </c>
      <c r="AM749">
        <f t="shared" si="113"/>
        <v>3</v>
      </c>
      <c r="AN749">
        <f t="shared" si="114"/>
        <v>41166</v>
      </c>
      <c r="AO749">
        <f t="shared" si="115"/>
        <v>0.05</v>
      </c>
      <c r="AP749" t="str">
        <f t="shared" si="116"/>
        <v>30-39</v>
      </c>
      <c r="AQ749" t="str">
        <f t="shared" si="117"/>
        <v>High</v>
      </c>
      <c r="AR749" t="str">
        <f t="shared" si="118"/>
        <v>Short</v>
      </c>
      <c r="AS749">
        <f t="shared" si="119"/>
        <v>0</v>
      </c>
    </row>
    <row r="750" spans="1:4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s="20">
        <v>4969</v>
      </c>
      <c r="T750">
        <v>21813</v>
      </c>
      <c r="U750">
        <v>8</v>
      </c>
      <c r="V750" t="s">
        <v>42</v>
      </c>
      <c r="W750" t="s">
        <v>43</v>
      </c>
      <c r="X750" s="19">
        <v>18</v>
      </c>
      <c r="Y750">
        <v>3</v>
      </c>
      <c r="Z750">
        <v>4</v>
      </c>
      <c r="AA750">
        <v>80</v>
      </c>
      <c r="AB750">
        <v>0</v>
      </c>
      <c r="AC750">
        <v>7</v>
      </c>
      <c r="AD750">
        <v>6</v>
      </c>
      <c r="AE750">
        <v>3</v>
      </c>
      <c r="AF750">
        <v>2</v>
      </c>
      <c r="AG750">
        <v>2</v>
      </c>
      <c r="AH750">
        <v>2</v>
      </c>
      <c r="AI750">
        <v>2</v>
      </c>
      <c r="AJ750">
        <f t="shared" si="110"/>
        <v>1</v>
      </c>
      <c r="AK750">
        <f t="shared" si="111"/>
        <v>0</v>
      </c>
      <c r="AL750">
        <f t="shared" si="112"/>
        <v>1</v>
      </c>
      <c r="AM750">
        <f t="shared" si="113"/>
        <v>2.5</v>
      </c>
      <c r="AN750">
        <f t="shared" si="114"/>
        <v>19876</v>
      </c>
      <c r="AO750">
        <f t="shared" si="115"/>
        <v>0.25</v>
      </c>
      <c r="AP750" t="str">
        <f t="shared" si="116"/>
        <v>Under 30</v>
      </c>
      <c r="AQ750" t="str">
        <f t="shared" si="117"/>
        <v>High</v>
      </c>
      <c r="AR750" t="str">
        <f t="shared" si="118"/>
        <v>Long</v>
      </c>
      <c r="AS750">
        <f t="shared" si="119"/>
        <v>0</v>
      </c>
    </row>
    <row r="751" spans="1:4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s="20">
        <v>19845</v>
      </c>
      <c r="T751">
        <v>25846</v>
      </c>
      <c r="U751">
        <v>1</v>
      </c>
      <c r="V751" t="s">
        <v>42</v>
      </c>
      <c r="W751" t="s">
        <v>43</v>
      </c>
      <c r="X751" s="19">
        <v>15</v>
      </c>
      <c r="Y751">
        <v>3</v>
      </c>
      <c r="Z751">
        <v>4</v>
      </c>
      <c r="AA751">
        <v>80</v>
      </c>
      <c r="AB751">
        <v>1</v>
      </c>
      <c r="AC751">
        <v>33</v>
      </c>
      <c r="AD751">
        <v>3</v>
      </c>
      <c r="AE751">
        <v>3</v>
      </c>
      <c r="AF751">
        <v>32</v>
      </c>
      <c r="AG751">
        <v>14</v>
      </c>
      <c r="AH751">
        <v>6</v>
      </c>
      <c r="AI751">
        <v>9</v>
      </c>
      <c r="AJ751">
        <f t="shared" si="110"/>
        <v>1</v>
      </c>
      <c r="AK751">
        <f t="shared" si="111"/>
        <v>0</v>
      </c>
      <c r="AL751">
        <f t="shared" si="112"/>
        <v>0</v>
      </c>
      <c r="AM751">
        <f t="shared" si="113"/>
        <v>3</v>
      </c>
      <c r="AN751">
        <f t="shared" si="114"/>
        <v>7216.363636363636</v>
      </c>
      <c r="AO751">
        <f t="shared" si="115"/>
        <v>0.94117647058823528</v>
      </c>
      <c r="AP751" t="str">
        <f t="shared" si="116"/>
        <v>50+</v>
      </c>
      <c r="AQ751" t="str">
        <f t="shared" si="117"/>
        <v>Very High</v>
      </c>
      <c r="AR751" t="str">
        <f t="shared" si="118"/>
        <v>Short</v>
      </c>
      <c r="AS751">
        <f t="shared" si="119"/>
        <v>0</v>
      </c>
    </row>
    <row r="752" spans="1:4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s="20">
        <v>13320</v>
      </c>
      <c r="T752">
        <v>11737</v>
      </c>
      <c r="U752">
        <v>3</v>
      </c>
      <c r="V752" t="s">
        <v>42</v>
      </c>
      <c r="W752" t="s">
        <v>35</v>
      </c>
      <c r="X752" s="19">
        <v>18</v>
      </c>
      <c r="Y752">
        <v>3</v>
      </c>
      <c r="Z752">
        <v>3</v>
      </c>
      <c r="AA752">
        <v>80</v>
      </c>
      <c r="AB752">
        <v>1</v>
      </c>
      <c r="AC752">
        <v>23</v>
      </c>
      <c r="AD752">
        <v>2</v>
      </c>
      <c r="AE752">
        <v>3</v>
      </c>
      <c r="AF752">
        <v>12</v>
      </c>
      <c r="AG752">
        <v>11</v>
      </c>
      <c r="AH752">
        <v>11</v>
      </c>
      <c r="AI752">
        <v>11</v>
      </c>
      <c r="AJ752">
        <f t="shared" si="110"/>
        <v>0</v>
      </c>
      <c r="AK752">
        <f t="shared" si="111"/>
        <v>1</v>
      </c>
      <c r="AL752">
        <f t="shared" si="112"/>
        <v>0</v>
      </c>
      <c r="AM752">
        <f t="shared" si="113"/>
        <v>3.5</v>
      </c>
      <c r="AN752">
        <f t="shared" si="114"/>
        <v>12295.384615384615</v>
      </c>
      <c r="AO752">
        <f t="shared" si="115"/>
        <v>0.5</v>
      </c>
      <c r="AP752" t="str">
        <f t="shared" si="116"/>
        <v>40-49</v>
      </c>
      <c r="AQ752" t="str">
        <f t="shared" si="117"/>
        <v>Very High</v>
      </c>
      <c r="AR752" t="str">
        <f t="shared" si="118"/>
        <v>Long</v>
      </c>
      <c r="AS752">
        <f t="shared" si="119"/>
        <v>0</v>
      </c>
    </row>
    <row r="753" spans="1:4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s="20">
        <v>6347</v>
      </c>
      <c r="T753">
        <v>24920</v>
      </c>
      <c r="U753">
        <v>0</v>
      </c>
      <c r="V753" t="s">
        <v>42</v>
      </c>
      <c r="W753" t="s">
        <v>43</v>
      </c>
      <c r="X753" s="19">
        <v>12</v>
      </c>
      <c r="Y753">
        <v>3</v>
      </c>
      <c r="Z753">
        <v>1</v>
      </c>
      <c r="AA753">
        <v>80</v>
      </c>
      <c r="AB753">
        <v>1</v>
      </c>
      <c r="AC753">
        <v>19</v>
      </c>
      <c r="AD753">
        <v>3</v>
      </c>
      <c r="AE753">
        <v>3</v>
      </c>
      <c r="AF753">
        <v>18</v>
      </c>
      <c r="AG753">
        <v>7</v>
      </c>
      <c r="AH753">
        <v>0</v>
      </c>
      <c r="AI753">
        <v>13</v>
      </c>
      <c r="AJ753">
        <f t="shared" si="110"/>
        <v>0</v>
      </c>
      <c r="AK753">
        <f t="shared" si="111"/>
        <v>0</v>
      </c>
      <c r="AL753">
        <f t="shared" si="112"/>
        <v>0</v>
      </c>
      <c r="AM753">
        <f t="shared" si="113"/>
        <v>2.75</v>
      </c>
      <c r="AN753">
        <f t="shared" si="114"/>
        <v>4008.6315789473683</v>
      </c>
      <c r="AO753">
        <f t="shared" si="115"/>
        <v>0.9</v>
      </c>
      <c r="AP753" t="str">
        <f t="shared" si="116"/>
        <v>50+</v>
      </c>
      <c r="AQ753" t="str">
        <f t="shared" si="117"/>
        <v>High</v>
      </c>
      <c r="AR753" t="str">
        <f t="shared" si="118"/>
        <v>Short</v>
      </c>
      <c r="AS753">
        <f t="shared" si="119"/>
        <v>0</v>
      </c>
    </row>
    <row r="754" spans="1:4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s="20">
        <v>2743</v>
      </c>
      <c r="T754">
        <v>8269</v>
      </c>
      <c r="U754">
        <v>1</v>
      </c>
      <c r="V754" t="s">
        <v>42</v>
      </c>
      <c r="W754" t="s">
        <v>43</v>
      </c>
      <c r="X754" s="19">
        <v>16</v>
      </c>
      <c r="Y754">
        <v>3</v>
      </c>
      <c r="Z754">
        <v>3</v>
      </c>
      <c r="AA754">
        <v>80</v>
      </c>
      <c r="AB754">
        <v>0</v>
      </c>
      <c r="AC754">
        <v>18</v>
      </c>
      <c r="AD754">
        <v>1</v>
      </c>
      <c r="AE754">
        <v>3</v>
      </c>
      <c r="AF754">
        <v>17</v>
      </c>
      <c r="AG754">
        <v>13</v>
      </c>
      <c r="AH754">
        <v>15</v>
      </c>
      <c r="AI754">
        <v>14</v>
      </c>
      <c r="AJ754">
        <f t="shared" si="110"/>
        <v>1</v>
      </c>
      <c r="AK754">
        <f t="shared" si="111"/>
        <v>0</v>
      </c>
      <c r="AL754">
        <f t="shared" si="112"/>
        <v>0</v>
      </c>
      <c r="AM754">
        <f t="shared" si="113"/>
        <v>2.5</v>
      </c>
      <c r="AN754">
        <f t="shared" si="114"/>
        <v>1828.6666666666667</v>
      </c>
      <c r="AO754">
        <f t="shared" si="115"/>
        <v>0.89473684210526316</v>
      </c>
      <c r="AP754" t="str">
        <f t="shared" si="116"/>
        <v>30-39</v>
      </c>
      <c r="AQ754" t="str">
        <f t="shared" si="117"/>
        <v>Low</v>
      </c>
      <c r="AR754" t="str">
        <f t="shared" si="118"/>
        <v>Long</v>
      </c>
      <c r="AS754">
        <f t="shared" si="119"/>
        <v>0</v>
      </c>
    </row>
    <row r="755" spans="1:4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s="20">
        <v>10880</v>
      </c>
      <c r="T755">
        <v>5083</v>
      </c>
      <c r="U755">
        <v>1</v>
      </c>
      <c r="V755" t="s">
        <v>42</v>
      </c>
      <c r="W755" t="s">
        <v>35</v>
      </c>
      <c r="X755" s="19">
        <v>13</v>
      </c>
      <c r="Y755">
        <v>3</v>
      </c>
      <c r="Z755">
        <v>3</v>
      </c>
      <c r="AA755">
        <v>80</v>
      </c>
      <c r="AB755">
        <v>0</v>
      </c>
      <c r="AC755">
        <v>21</v>
      </c>
      <c r="AD755">
        <v>2</v>
      </c>
      <c r="AE755">
        <v>3</v>
      </c>
      <c r="AF755">
        <v>21</v>
      </c>
      <c r="AG755">
        <v>6</v>
      </c>
      <c r="AH755">
        <v>2</v>
      </c>
      <c r="AI755">
        <v>8</v>
      </c>
      <c r="AJ755">
        <f t="shared" si="110"/>
        <v>0</v>
      </c>
      <c r="AK755">
        <f t="shared" si="111"/>
        <v>1</v>
      </c>
      <c r="AL755">
        <f t="shared" si="112"/>
        <v>0</v>
      </c>
      <c r="AM755">
        <f t="shared" si="113"/>
        <v>2.75</v>
      </c>
      <c r="AN755">
        <f t="shared" si="114"/>
        <v>5934.545454545455</v>
      </c>
      <c r="AO755">
        <f t="shared" si="115"/>
        <v>0.95454545454545459</v>
      </c>
      <c r="AP755" t="str">
        <f t="shared" si="116"/>
        <v>30-39</v>
      </c>
      <c r="AQ755" t="str">
        <f t="shared" si="117"/>
        <v>Very High</v>
      </c>
      <c r="AR755" t="str">
        <f t="shared" si="118"/>
        <v>Long</v>
      </c>
      <c r="AS755">
        <f t="shared" si="119"/>
        <v>1</v>
      </c>
    </row>
    <row r="756" spans="1:4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s="20">
        <v>2342</v>
      </c>
      <c r="T756">
        <v>21437</v>
      </c>
      <c r="U756">
        <v>0</v>
      </c>
      <c r="V756" t="s">
        <v>42</v>
      </c>
      <c r="W756" t="s">
        <v>43</v>
      </c>
      <c r="X756" s="19">
        <v>19</v>
      </c>
      <c r="Y756">
        <v>3</v>
      </c>
      <c r="Z756">
        <v>4</v>
      </c>
      <c r="AA756">
        <v>80</v>
      </c>
      <c r="AB756">
        <v>0</v>
      </c>
      <c r="AC756">
        <v>3</v>
      </c>
      <c r="AD756">
        <v>2</v>
      </c>
      <c r="AE756">
        <v>2</v>
      </c>
      <c r="AF756">
        <v>2</v>
      </c>
      <c r="AG756">
        <v>2</v>
      </c>
      <c r="AH756">
        <v>2</v>
      </c>
      <c r="AI756">
        <v>2</v>
      </c>
      <c r="AJ756">
        <f t="shared" si="110"/>
        <v>0</v>
      </c>
      <c r="AK756">
        <f t="shared" si="111"/>
        <v>0</v>
      </c>
      <c r="AL756">
        <f t="shared" si="112"/>
        <v>0</v>
      </c>
      <c r="AM756">
        <f t="shared" si="113"/>
        <v>3</v>
      </c>
      <c r="AN756">
        <f t="shared" si="114"/>
        <v>9368</v>
      </c>
      <c r="AO756">
        <f t="shared" si="115"/>
        <v>0.5</v>
      </c>
      <c r="AP756" t="str">
        <f t="shared" si="116"/>
        <v>30-39</v>
      </c>
      <c r="AQ756" t="str">
        <f t="shared" si="117"/>
        <v>Low</v>
      </c>
      <c r="AR756" t="str">
        <f t="shared" si="118"/>
        <v>Medium</v>
      </c>
      <c r="AS756">
        <f t="shared" si="119"/>
        <v>0</v>
      </c>
    </row>
    <row r="757" spans="1:4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s="20">
        <v>17650</v>
      </c>
      <c r="T757">
        <v>5404</v>
      </c>
      <c r="U757">
        <v>3</v>
      </c>
      <c r="V757" t="s">
        <v>42</v>
      </c>
      <c r="W757" t="s">
        <v>43</v>
      </c>
      <c r="X757" s="19">
        <v>13</v>
      </c>
      <c r="Y757">
        <v>3</v>
      </c>
      <c r="Z757">
        <v>2</v>
      </c>
      <c r="AA757">
        <v>80</v>
      </c>
      <c r="AB757">
        <v>1</v>
      </c>
      <c r="AC757">
        <v>26</v>
      </c>
      <c r="AD757">
        <v>4</v>
      </c>
      <c r="AE757">
        <v>4</v>
      </c>
      <c r="AF757">
        <v>9</v>
      </c>
      <c r="AG757">
        <v>3</v>
      </c>
      <c r="AH757">
        <v>1</v>
      </c>
      <c r="AI757">
        <v>1</v>
      </c>
      <c r="AJ757">
        <f t="shared" si="110"/>
        <v>0</v>
      </c>
      <c r="AK757">
        <f t="shared" si="111"/>
        <v>0</v>
      </c>
      <c r="AL757">
        <f t="shared" si="112"/>
        <v>0</v>
      </c>
      <c r="AM757">
        <f t="shared" si="113"/>
        <v>3.5</v>
      </c>
      <c r="AN757">
        <f t="shared" si="114"/>
        <v>21180</v>
      </c>
      <c r="AO757">
        <f t="shared" si="115"/>
        <v>0.33333333333333331</v>
      </c>
      <c r="AP757" t="str">
        <f t="shared" si="116"/>
        <v>40-49</v>
      </c>
      <c r="AQ757" t="str">
        <f t="shared" si="117"/>
        <v>Very High</v>
      </c>
      <c r="AR757" t="str">
        <f t="shared" si="118"/>
        <v>Medium</v>
      </c>
      <c r="AS757">
        <f t="shared" si="119"/>
        <v>0</v>
      </c>
    </row>
    <row r="758" spans="1:4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s="20">
        <v>4025</v>
      </c>
      <c r="T758">
        <v>11135</v>
      </c>
      <c r="U758">
        <v>9</v>
      </c>
      <c r="V758" t="s">
        <v>42</v>
      </c>
      <c r="W758" t="s">
        <v>43</v>
      </c>
      <c r="X758" s="19">
        <v>12</v>
      </c>
      <c r="Y758">
        <v>3</v>
      </c>
      <c r="Z758">
        <v>2</v>
      </c>
      <c r="AA758">
        <v>80</v>
      </c>
      <c r="AB758">
        <v>0</v>
      </c>
      <c r="AC758">
        <v>10</v>
      </c>
      <c r="AD758">
        <v>2</v>
      </c>
      <c r="AE758">
        <v>3</v>
      </c>
      <c r="AF758">
        <v>8</v>
      </c>
      <c r="AG758">
        <v>7</v>
      </c>
      <c r="AH758">
        <v>7</v>
      </c>
      <c r="AI758">
        <v>7</v>
      </c>
      <c r="AJ758">
        <f t="shared" si="110"/>
        <v>0</v>
      </c>
      <c r="AK758">
        <f t="shared" si="111"/>
        <v>0</v>
      </c>
      <c r="AL758">
        <f t="shared" si="112"/>
        <v>0</v>
      </c>
      <c r="AM758">
        <f t="shared" si="113"/>
        <v>3</v>
      </c>
      <c r="AN758">
        <f t="shared" si="114"/>
        <v>5366.666666666667</v>
      </c>
      <c r="AO758">
        <f t="shared" si="115"/>
        <v>0.72727272727272729</v>
      </c>
      <c r="AP758" t="str">
        <f t="shared" si="116"/>
        <v>30-39</v>
      </c>
      <c r="AQ758" t="str">
        <f t="shared" si="117"/>
        <v>Medium</v>
      </c>
      <c r="AR758" t="str">
        <f t="shared" si="118"/>
        <v>Long</v>
      </c>
      <c r="AS758">
        <f t="shared" si="119"/>
        <v>0</v>
      </c>
    </row>
    <row r="759" spans="1:4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s="20">
        <v>9725</v>
      </c>
      <c r="T759">
        <v>12278</v>
      </c>
      <c r="U759">
        <v>0</v>
      </c>
      <c r="V759" t="s">
        <v>42</v>
      </c>
      <c r="W759" t="s">
        <v>43</v>
      </c>
      <c r="X759" s="19">
        <v>11</v>
      </c>
      <c r="Y759">
        <v>3</v>
      </c>
      <c r="Z759">
        <v>4</v>
      </c>
      <c r="AA759">
        <v>80</v>
      </c>
      <c r="AB759">
        <v>1</v>
      </c>
      <c r="AC759">
        <v>16</v>
      </c>
      <c r="AD759">
        <v>2</v>
      </c>
      <c r="AE759">
        <v>2</v>
      </c>
      <c r="AF759">
        <v>15</v>
      </c>
      <c r="AG759">
        <v>1</v>
      </c>
      <c r="AH759">
        <v>0</v>
      </c>
      <c r="AI759">
        <v>9</v>
      </c>
      <c r="AJ759">
        <f t="shared" si="110"/>
        <v>0</v>
      </c>
      <c r="AK759">
        <f t="shared" si="111"/>
        <v>0</v>
      </c>
      <c r="AL759">
        <f t="shared" si="112"/>
        <v>1</v>
      </c>
      <c r="AM759">
        <f t="shared" si="113"/>
        <v>3</v>
      </c>
      <c r="AN759">
        <f t="shared" si="114"/>
        <v>7293.75</v>
      </c>
      <c r="AO759">
        <f t="shared" si="115"/>
        <v>0.88235294117647056</v>
      </c>
      <c r="AP759" t="str">
        <f t="shared" si="116"/>
        <v>30-39</v>
      </c>
      <c r="AQ759" t="str">
        <f t="shared" si="117"/>
        <v>Very High</v>
      </c>
      <c r="AR759" t="str">
        <f t="shared" si="118"/>
        <v>Short</v>
      </c>
      <c r="AS759">
        <f t="shared" si="119"/>
        <v>0</v>
      </c>
    </row>
    <row r="760" spans="1:4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s="20">
        <v>11904</v>
      </c>
      <c r="T760">
        <v>11038</v>
      </c>
      <c r="U760">
        <v>3</v>
      </c>
      <c r="V760" t="s">
        <v>42</v>
      </c>
      <c r="W760" t="s">
        <v>35</v>
      </c>
      <c r="X760" s="19">
        <v>14</v>
      </c>
      <c r="Y760">
        <v>3</v>
      </c>
      <c r="Z760">
        <v>3</v>
      </c>
      <c r="AA760">
        <v>80</v>
      </c>
      <c r="AB760">
        <v>1</v>
      </c>
      <c r="AC760">
        <v>14</v>
      </c>
      <c r="AD760">
        <v>1</v>
      </c>
      <c r="AE760">
        <v>1</v>
      </c>
      <c r="AF760">
        <v>6</v>
      </c>
      <c r="AG760">
        <v>4</v>
      </c>
      <c r="AH760">
        <v>0</v>
      </c>
      <c r="AI760">
        <v>4</v>
      </c>
      <c r="AJ760">
        <f t="shared" si="110"/>
        <v>0</v>
      </c>
      <c r="AK760">
        <f t="shared" si="111"/>
        <v>1</v>
      </c>
      <c r="AL760">
        <f t="shared" si="112"/>
        <v>1</v>
      </c>
      <c r="AM760">
        <f t="shared" si="113"/>
        <v>2.5</v>
      </c>
      <c r="AN760">
        <f t="shared" si="114"/>
        <v>20406.857142857141</v>
      </c>
      <c r="AO760">
        <f t="shared" si="115"/>
        <v>0.4</v>
      </c>
      <c r="AP760" t="str">
        <f t="shared" si="116"/>
        <v>50+</v>
      </c>
      <c r="AQ760" t="str">
        <f t="shared" si="117"/>
        <v>Very High</v>
      </c>
      <c r="AR760" t="str">
        <f t="shared" si="118"/>
        <v>Short</v>
      </c>
      <c r="AS760">
        <f t="shared" si="119"/>
        <v>0</v>
      </c>
    </row>
    <row r="761" spans="1:4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s="20">
        <v>2177</v>
      </c>
      <c r="T761">
        <v>8318</v>
      </c>
      <c r="U761">
        <v>1</v>
      </c>
      <c r="V761" t="s">
        <v>42</v>
      </c>
      <c r="W761" t="s">
        <v>43</v>
      </c>
      <c r="X761" s="19">
        <v>16</v>
      </c>
      <c r="Y761">
        <v>3</v>
      </c>
      <c r="Z761">
        <v>1</v>
      </c>
      <c r="AA761">
        <v>80</v>
      </c>
      <c r="AB761">
        <v>0</v>
      </c>
      <c r="AC761">
        <v>6</v>
      </c>
      <c r="AD761">
        <v>3</v>
      </c>
      <c r="AE761">
        <v>3</v>
      </c>
      <c r="AF761">
        <v>6</v>
      </c>
      <c r="AG761">
        <v>3</v>
      </c>
      <c r="AH761">
        <v>0</v>
      </c>
      <c r="AI761">
        <v>4</v>
      </c>
      <c r="AJ761">
        <f t="shared" si="110"/>
        <v>0</v>
      </c>
      <c r="AK761">
        <f t="shared" si="111"/>
        <v>0</v>
      </c>
      <c r="AL761">
        <f t="shared" si="112"/>
        <v>1</v>
      </c>
      <c r="AM761">
        <f t="shared" si="113"/>
        <v>2</v>
      </c>
      <c r="AN761">
        <f t="shared" si="114"/>
        <v>3732</v>
      </c>
      <c r="AO761">
        <f t="shared" si="115"/>
        <v>0.8571428571428571</v>
      </c>
      <c r="AP761" t="str">
        <f t="shared" si="116"/>
        <v>40-49</v>
      </c>
      <c r="AQ761" t="str">
        <f t="shared" si="117"/>
        <v>Low</v>
      </c>
      <c r="AR761" t="str">
        <f t="shared" si="118"/>
        <v>Long</v>
      </c>
      <c r="AS761">
        <f t="shared" si="119"/>
        <v>0</v>
      </c>
    </row>
    <row r="762" spans="1:4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s="20">
        <v>7525</v>
      </c>
      <c r="T762">
        <v>23537</v>
      </c>
      <c r="U762">
        <v>2</v>
      </c>
      <c r="V762" t="s">
        <v>42</v>
      </c>
      <c r="W762" t="s">
        <v>43</v>
      </c>
      <c r="X762" s="19">
        <v>12</v>
      </c>
      <c r="Y762">
        <v>3</v>
      </c>
      <c r="Z762">
        <v>1</v>
      </c>
      <c r="AA762">
        <v>80</v>
      </c>
      <c r="AB762">
        <v>1</v>
      </c>
      <c r="AC762">
        <v>30</v>
      </c>
      <c r="AD762">
        <v>2</v>
      </c>
      <c r="AE762">
        <v>3</v>
      </c>
      <c r="AF762">
        <v>15</v>
      </c>
      <c r="AG762">
        <v>7</v>
      </c>
      <c r="AH762">
        <v>6</v>
      </c>
      <c r="AI762">
        <v>12</v>
      </c>
      <c r="AJ762">
        <f t="shared" si="110"/>
        <v>0</v>
      </c>
      <c r="AK762">
        <f t="shared" si="111"/>
        <v>0</v>
      </c>
      <c r="AL762">
        <f t="shared" si="112"/>
        <v>0</v>
      </c>
      <c r="AM762">
        <f t="shared" si="113"/>
        <v>2.25</v>
      </c>
      <c r="AN762">
        <f t="shared" si="114"/>
        <v>5643.75</v>
      </c>
      <c r="AO762">
        <f t="shared" si="115"/>
        <v>0.4838709677419355</v>
      </c>
      <c r="AP762" t="str">
        <f t="shared" si="116"/>
        <v>50+</v>
      </c>
      <c r="AQ762" t="str">
        <f t="shared" si="117"/>
        <v>High</v>
      </c>
      <c r="AR762" t="str">
        <f t="shared" si="118"/>
        <v>Short</v>
      </c>
      <c r="AS762">
        <f t="shared" si="119"/>
        <v>1</v>
      </c>
    </row>
    <row r="763" spans="1:4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s="20">
        <v>4834</v>
      </c>
      <c r="T763">
        <v>7858</v>
      </c>
      <c r="U763">
        <v>7</v>
      </c>
      <c r="V763" t="s">
        <v>42</v>
      </c>
      <c r="W763" t="s">
        <v>43</v>
      </c>
      <c r="X763" s="19">
        <v>14</v>
      </c>
      <c r="Y763">
        <v>3</v>
      </c>
      <c r="Z763">
        <v>2</v>
      </c>
      <c r="AA763">
        <v>80</v>
      </c>
      <c r="AB763">
        <v>1</v>
      </c>
      <c r="AC763">
        <v>9</v>
      </c>
      <c r="AD763">
        <v>3</v>
      </c>
      <c r="AE763">
        <v>2</v>
      </c>
      <c r="AF763">
        <v>1</v>
      </c>
      <c r="AG763">
        <v>0</v>
      </c>
      <c r="AH763">
        <v>0</v>
      </c>
      <c r="AI763">
        <v>0</v>
      </c>
      <c r="AJ763">
        <f t="shared" si="110"/>
        <v>1</v>
      </c>
      <c r="AK763">
        <f t="shared" si="111"/>
        <v>0</v>
      </c>
      <c r="AL763">
        <f t="shared" si="112"/>
        <v>1</v>
      </c>
      <c r="AM763">
        <f t="shared" si="113"/>
        <v>2</v>
      </c>
      <c r="AN763">
        <f t="shared" si="114"/>
        <v>29004</v>
      </c>
      <c r="AO763">
        <f t="shared" si="115"/>
        <v>0.1</v>
      </c>
      <c r="AP763" t="str">
        <f t="shared" si="116"/>
        <v>30-39</v>
      </c>
      <c r="AQ763" t="str">
        <f t="shared" si="117"/>
        <v>Medium</v>
      </c>
      <c r="AR763" t="str">
        <f t="shared" si="118"/>
        <v>Medium</v>
      </c>
      <c r="AS763">
        <f t="shared" si="119"/>
        <v>0</v>
      </c>
    </row>
    <row r="764" spans="1:4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s="20">
        <v>2042</v>
      </c>
      <c r="T764">
        <v>15346</v>
      </c>
      <c r="U764">
        <v>6</v>
      </c>
      <c r="V764" t="s">
        <v>42</v>
      </c>
      <c r="W764" t="s">
        <v>35</v>
      </c>
      <c r="X764" s="19">
        <v>14</v>
      </c>
      <c r="Y764">
        <v>3</v>
      </c>
      <c r="Z764">
        <v>2</v>
      </c>
      <c r="AA764">
        <v>80</v>
      </c>
      <c r="AB764">
        <v>1</v>
      </c>
      <c r="AC764">
        <v>6</v>
      </c>
      <c r="AD764">
        <v>2</v>
      </c>
      <c r="AE764">
        <v>3</v>
      </c>
      <c r="AF764">
        <v>3</v>
      </c>
      <c r="AG764">
        <v>2</v>
      </c>
      <c r="AH764">
        <v>1</v>
      </c>
      <c r="AI764">
        <v>2</v>
      </c>
      <c r="AJ764">
        <f t="shared" si="110"/>
        <v>1</v>
      </c>
      <c r="AK764">
        <f t="shared" si="111"/>
        <v>1</v>
      </c>
      <c r="AL764">
        <f t="shared" si="112"/>
        <v>1</v>
      </c>
      <c r="AM764">
        <f t="shared" si="113"/>
        <v>1.75</v>
      </c>
      <c r="AN764">
        <f t="shared" si="114"/>
        <v>6126</v>
      </c>
      <c r="AO764">
        <f t="shared" si="115"/>
        <v>0.42857142857142855</v>
      </c>
      <c r="AP764" t="str">
        <f t="shared" si="116"/>
        <v>Under 30</v>
      </c>
      <c r="AQ764" t="str">
        <f t="shared" si="117"/>
        <v>Low</v>
      </c>
      <c r="AR764" t="str">
        <f t="shared" si="118"/>
        <v>Short</v>
      </c>
      <c r="AS764">
        <f t="shared" si="119"/>
        <v>1</v>
      </c>
    </row>
    <row r="765" spans="1:4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s="20">
        <v>2220</v>
      </c>
      <c r="T765">
        <v>18410</v>
      </c>
      <c r="U765">
        <v>1</v>
      </c>
      <c r="V765" t="s">
        <v>42</v>
      </c>
      <c r="W765" t="s">
        <v>35</v>
      </c>
      <c r="X765" s="19">
        <v>19</v>
      </c>
      <c r="Y765">
        <v>3</v>
      </c>
      <c r="Z765">
        <v>4</v>
      </c>
      <c r="AA765">
        <v>80</v>
      </c>
      <c r="AB765">
        <v>1</v>
      </c>
      <c r="AC765">
        <v>1</v>
      </c>
      <c r="AD765">
        <v>2</v>
      </c>
      <c r="AE765">
        <v>3</v>
      </c>
      <c r="AF765">
        <v>1</v>
      </c>
      <c r="AG765">
        <v>1</v>
      </c>
      <c r="AH765">
        <v>0</v>
      </c>
      <c r="AI765">
        <v>0</v>
      </c>
      <c r="AJ765">
        <f t="shared" si="110"/>
        <v>0</v>
      </c>
      <c r="AK765">
        <f t="shared" si="111"/>
        <v>1</v>
      </c>
      <c r="AL765">
        <f t="shared" si="112"/>
        <v>0</v>
      </c>
      <c r="AM765">
        <f t="shared" si="113"/>
        <v>3.25</v>
      </c>
      <c r="AN765">
        <f t="shared" si="114"/>
        <v>13320</v>
      </c>
      <c r="AO765">
        <f t="shared" si="115"/>
        <v>0.5</v>
      </c>
      <c r="AP765" t="str">
        <f t="shared" si="116"/>
        <v>30-39</v>
      </c>
      <c r="AQ765" t="str">
        <f t="shared" si="117"/>
        <v>Low</v>
      </c>
      <c r="AR765" t="str">
        <f t="shared" si="118"/>
        <v>Medium</v>
      </c>
      <c r="AS765">
        <f t="shared" si="119"/>
        <v>0</v>
      </c>
    </row>
    <row r="766" spans="1:4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s="20">
        <v>1052</v>
      </c>
      <c r="T766">
        <v>23384</v>
      </c>
      <c r="U766">
        <v>1</v>
      </c>
      <c r="V766" t="s">
        <v>42</v>
      </c>
      <c r="W766" t="s">
        <v>43</v>
      </c>
      <c r="X766" s="19">
        <v>22</v>
      </c>
      <c r="Y766">
        <v>4</v>
      </c>
      <c r="Z766">
        <v>2</v>
      </c>
      <c r="AA766">
        <v>80</v>
      </c>
      <c r="AB766">
        <v>0</v>
      </c>
      <c r="AC766">
        <v>1</v>
      </c>
      <c r="AD766">
        <v>5</v>
      </c>
      <c r="AE766">
        <v>3</v>
      </c>
      <c r="AF766">
        <v>1</v>
      </c>
      <c r="AG766">
        <v>0</v>
      </c>
      <c r="AH766">
        <v>0</v>
      </c>
      <c r="AI766">
        <v>0</v>
      </c>
      <c r="AJ766">
        <f t="shared" si="110"/>
        <v>0</v>
      </c>
      <c r="AK766">
        <f t="shared" si="111"/>
        <v>0</v>
      </c>
      <c r="AL766">
        <f t="shared" si="112"/>
        <v>1</v>
      </c>
      <c r="AM766">
        <f t="shared" si="113"/>
        <v>2.75</v>
      </c>
      <c r="AN766">
        <f t="shared" si="114"/>
        <v>6312</v>
      </c>
      <c r="AO766">
        <f t="shared" si="115"/>
        <v>0.5</v>
      </c>
      <c r="AP766" t="str">
        <f t="shared" si="116"/>
        <v>Under 30</v>
      </c>
      <c r="AQ766" t="str">
        <f t="shared" si="117"/>
        <v>Low</v>
      </c>
      <c r="AR766" t="str">
        <f t="shared" si="118"/>
        <v>Medium</v>
      </c>
      <c r="AS766">
        <f t="shared" si="119"/>
        <v>0</v>
      </c>
    </row>
    <row r="767" spans="1:4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s="20">
        <v>2821</v>
      </c>
      <c r="T767">
        <v>2997</v>
      </c>
      <c r="U767">
        <v>3</v>
      </c>
      <c r="V767" t="s">
        <v>42</v>
      </c>
      <c r="W767" t="s">
        <v>43</v>
      </c>
      <c r="X767" s="19">
        <v>16</v>
      </c>
      <c r="Y767">
        <v>3</v>
      </c>
      <c r="Z767">
        <v>1</v>
      </c>
      <c r="AA767">
        <v>80</v>
      </c>
      <c r="AB767">
        <v>1</v>
      </c>
      <c r="AC767">
        <v>8</v>
      </c>
      <c r="AD767">
        <v>2</v>
      </c>
      <c r="AE767">
        <v>3</v>
      </c>
      <c r="AF767">
        <v>2</v>
      </c>
      <c r="AG767">
        <v>2</v>
      </c>
      <c r="AH767">
        <v>2</v>
      </c>
      <c r="AI767">
        <v>2</v>
      </c>
      <c r="AJ767">
        <f t="shared" si="110"/>
        <v>0</v>
      </c>
      <c r="AK767">
        <f t="shared" si="111"/>
        <v>0</v>
      </c>
      <c r="AL767">
        <f t="shared" si="112"/>
        <v>1</v>
      </c>
      <c r="AM767">
        <f t="shared" si="113"/>
        <v>2.5</v>
      </c>
      <c r="AN767">
        <f t="shared" si="114"/>
        <v>11284</v>
      </c>
      <c r="AO767">
        <f t="shared" si="115"/>
        <v>0.22222222222222221</v>
      </c>
      <c r="AP767" t="str">
        <f t="shared" si="116"/>
        <v>30-39</v>
      </c>
      <c r="AQ767" t="str">
        <f t="shared" si="117"/>
        <v>Low</v>
      </c>
      <c r="AR767" t="str">
        <f t="shared" si="118"/>
        <v>Short</v>
      </c>
      <c r="AS767">
        <f t="shared" si="119"/>
        <v>1</v>
      </c>
    </row>
    <row r="768" spans="1:4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s="20">
        <v>19237</v>
      </c>
      <c r="T768">
        <v>12853</v>
      </c>
      <c r="U768">
        <v>2</v>
      </c>
      <c r="V768" t="s">
        <v>42</v>
      </c>
      <c r="W768" t="s">
        <v>35</v>
      </c>
      <c r="X768" s="19">
        <v>11</v>
      </c>
      <c r="Y768">
        <v>3</v>
      </c>
      <c r="Z768">
        <v>4</v>
      </c>
      <c r="AA768">
        <v>80</v>
      </c>
      <c r="AB768">
        <v>1</v>
      </c>
      <c r="AC768">
        <v>29</v>
      </c>
      <c r="AD768">
        <v>2</v>
      </c>
      <c r="AE768">
        <v>2</v>
      </c>
      <c r="AF768">
        <v>8</v>
      </c>
      <c r="AG768">
        <v>1</v>
      </c>
      <c r="AH768">
        <v>7</v>
      </c>
      <c r="AI768">
        <v>7</v>
      </c>
      <c r="AJ768">
        <f t="shared" si="110"/>
        <v>0</v>
      </c>
      <c r="AK768">
        <f t="shared" si="111"/>
        <v>1</v>
      </c>
      <c r="AL768">
        <f t="shared" si="112"/>
        <v>1</v>
      </c>
      <c r="AM768">
        <f t="shared" si="113"/>
        <v>2.75</v>
      </c>
      <c r="AN768">
        <f t="shared" si="114"/>
        <v>25649.333333333332</v>
      </c>
      <c r="AO768">
        <f t="shared" si="115"/>
        <v>0.26666666666666666</v>
      </c>
      <c r="AP768" t="str">
        <f t="shared" si="116"/>
        <v>50+</v>
      </c>
      <c r="AQ768" t="str">
        <f t="shared" si="117"/>
        <v>Very High</v>
      </c>
      <c r="AR768" t="str">
        <f t="shared" si="118"/>
        <v>Short</v>
      </c>
      <c r="AS768">
        <f t="shared" si="119"/>
        <v>0</v>
      </c>
    </row>
    <row r="769" spans="1:4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s="20">
        <v>4107</v>
      </c>
      <c r="T769">
        <v>13848</v>
      </c>
      <c r="U769">
        <v>3</v>
      </c>
      <c r="V769" t="s">
        <v>42</v>
      </c>
      <c r="W769" t="s">
        <v>43</v>
      </c>
      <c r="X769" s="19">
        <v>15</v>
      </c>
      <c r="Y769">
        <v>3</v>
      </c>
      <c r="Z769">
        <v>1</v>
      </c>
      <c r="AA769">
        <v>80</v>
      </c>
      <c r="AB769">
        <v>0</v>
      </c>
      <c r="AC769">
        <v>8</v>
      </c>
      <c r="AD769">
        <v>3</v>
      </c>
      <c r="AE769">
        <v>2</v>
      </c>
      <c r="AF769">
        <v>4</v>
      </c>
      <c r="AG769">
        <v>3</v>
      </c>
      <c r="AH769">
        <v>0</v>
      </c>
      <c r="AI769">
        <v>1</v>
      </c>
      <c r="AJ769">
        <f t="shared" si="110"/>
        <v>0</v>
      </c>
      <c r="AK769">
        <f t="shared" si="111"/>
        <v>0</v>
      </c>
      <c r="AL769">
        <f t="shared" si="112"/>
        <v>0</v>
      </c>
      <c r="AM769">
        <f t="shared" si="113"/>
        <v>2.25</v>
      </c>
      <c r="AN769">
        <f t="shared" si="114"/>
        <v>9856.7999999999993</v>
      </c>
      <c r="AO769">
        <f t="shared" si="115"/>
        <v>0.44444444444444442</v>
      </c>
      <c r="AP769" t="str">
        <f t="shared" si="116"/>
        <v>30-39</v>
      </c>
      <c r="AQ769" t="str">
        <f t="shared" si="117"/>
        <v>Medium</v>
      </c>
      <c r="AR769" t="str">
        <f t="shared" si="118"/>
        <v>Short</v>
      </c>
      <c r="AS769">
        <f t="shared" si="119"/>
        <v>0</v>
      </c>
    </row>
    <row r="770" spans="1:4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s="20">
        <v>8396</v>
      </c>
      <c r="T770">
        <v>22217</v>
      </c>
      <c r="U770">
        <v>1</v>
      </c>
      <c r="V770" t="s">
        <v>42</v>
      </c>
      <c r="W770" t="s">
        <v>43</v>
      </c>
      <c r="X770" s="19">
        <v>14</v>
      </c>
      <c r="Y770">
        <v>3</v>
      </c>
      <c r="Z770">
        <v>2</v>
      </c>
      <c r="AA770">
        <v>80</v>
      </c>
      <c r="AB770">
        <v>1</v>
      </c>
      <c r="AC770">
        <v>8</v>
      </c>
      <c r="AD770">
        <v>3</v>
      </c>
      <c r="AE770">
        <v>2</v>
      </c>
      <c r="AF770">
        <v>7</v>
      </c>
      <c r="AG770">
        <v>7</v>
      </c>
      <c r="AH770">
        <v>7</v>
      </c>
      <c r="AI770">
        <v>5</v>
      </c>
      <c r="AJ770">
        <f t="shared" si="110"/>
        <v>0</v>
      </c>
      <c r="AK770">
        <f t="shared" si="111"/>
        <v>0</v>
      </c>
      <c r="AL770">
        <f t="shared" si="112"/>
        <v>1</v>
      </c>
      <c r="AM770">
        <f t="shared" si="113"/>
        <v>2</v>
      </c>
      <c r="AN770">
        <f t="shared" si="114"/>
        <v>12594</v>
      </c>
      <c r="AO770">
        <f t="shared" si="115"/>
        <v>0.77777777777777779</v>
      </c>
      <c r="AP770" t="str">
        <f t="shared" si="116"/>
        <v>40-49</v>
      </c>
      <c r="AQ770" t="str">
        <f t="shared" si="117"/>
        <v>Very High</v>
      </c>
      <c r="AR770" t="str">
        <f t="shared" si="118"/>
        <v>Long</v>
      </c>
      <c r="AS770">
        <f t="shared" si="119"/>
        <v>0</v>
      </c>
    </row>
    <row r="771" spans="1:4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s="20">
        <v>2007</v>
      </c>
      <c r="T771">
        <v>25265</v>
      </c>
      <c r="U771">
        <v>1</v>
      </c>
      <c r="V771" t="s">
        <v>42</v>
      </c>
      <c r="W771" t="s">
        <v>43</v>
      </c>
      <c r="X771" s="19">
        <v>13</v>
      </c>
      <c r="Y771">
        <v>3</v>
      </c>
      <c r="Z771">
        <v>3</v>
      </c>
      <c r="AA771">
        <v>80</v>
      </c>
      <c r="AB771">
        <v>2</v>
      </c>
      <c r="AC771">
        <v>5</v>
      </c>
      <c r="AD771">
        <v>5</v>
      </c>
      <c r="AE771">
        <v>3</v>
      </c>
      <c r="AF771">
        <v>5</v>
      </c>
      <c r="AG771">
        <v>3</v>
      </c>
      <c r="AH771">
        <v>1</v>
      </c>
      <c r="AI771">
        <v>3</v>
      </c>
      <c r="AJ771">
        <f t="shared" ref="AJ771:AJ834" si="120">IF(B771="Yes",1,0)</f>
        <v>0</v>
      </c>
      <c r="AK771">
        <f t="shared" ref="AK771:AK834" si="121">IF(W771="Yes",1,0)</f>
        <v>0</v>
      </c>
      <c r="AL771">
        <f t="shared" ref="AL771:AL834" si="122">IF(L771="Male",1,0)</f>
        <v>0</v>
      </c>
      <c r="AM771">
        <f t="shared" ref="AM771:AM834" si="123">AVERAGE(K771,Q771,Z771,AE771)</f>
        <v>2.5</v>
      </c>
      <c r="AN771">
        <f t="shared" ref="AN771:AN834" si="124">(S771*12)/(AF771+1)</f>
        <v>4014</v>
      </c>
      <c r="AO771">
        <f t="shared" ref="AO771:AO834" si="125">AF771/(AC771+1)</f>
        <v>0.83333333333333337</v>
      </c>
      <c r="AP771" t="str">
        <f t="shared" ref="AP771:AP834" si="126">IF(A771&lt;30,"Under 30",IF(A771&lt;40,"30-39",IF(A771&lt;50,"40-49","50+")))</f>
        <v>Under 30</v>
      </c>
      <c r="AQ771" t="str">
        <f t="shared" ref="AQ771:AQ834" si="127">IF(S771&lt;=$AV$1,"Low",IF(S771&lt;=$AV$2,"Medium",IF(S771&lt;=$AV$3,"High","Very High")))</f>
        <v>Low</v>
      </c>
      <c r="AR771" t="str">
        <f t="shared" ref="AR771:AR834" si="128">IF(F771&lt;=5,"Short",IF(F771&lt;=15,"Medium","Long"))</f>
        <v>Short</v>
      </c>
      <c r="AS771">
        <f t="shared" ref="AS771:AS834" si="129">IF(C771="Travel_Frequently",1,0)</f>
        <v>1</v>
      </c>
    </row>
    <row r="772" spans="1:4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s="20">
        <v>19627</v>
      </c>
      <c r="T772">
        <v>21445</v>
      </c>
      <c r="U772">
        <v>9</v>
      </c>
      <c r="V772" t="s">
        <v>42</v>
      </c>
      <c r="W772" t="s">
        <v>43</v>
      </c>
      <c r="X772" s="19">
        <v>17</v>
      </c>
      <c r="Y772">
        <v>3</v>
      </c>
      <c r="Z772">
        <v>4</v>
      </c>
      <c r="AA772">
        <v>80</v>
      </c>
      <c r="AB772">
        <v>2</v>
      </c>
      <c r="AC772">
        <v>23</v>
      </c>
      <c r="AD772">
        <v>0</v>
      </c>
      <c r="AE772">
        <v>3</v>
      </c>
      <c r="AF772">
        <v>2</v>
      </c>
      <c r="AG772">
        <v>2</v>
      </c>
      <c r="AH772">
        <v>2</v>
      </c>
      <c r="AI772">
        <v>2</v>
      </c>
      <c r="AJ772">
        <f t="shared" si="120"/>
        <v>0</v>
      </c>
      <c r="AK772">
        <f t="shared" si="121"/>
        <v>0</v>
      </c>
      <c r="AL772">
        <f t="shared" si="122"/>
        <v>1</v>
      </c>
      <c r="AM772">
        <f t="shared" si="123"/>
        <v>3.75</v>
      </c>
      <c r="AN772">
        <f t="shared" si="124"/>
        <v>78508</v>
      </c>
      <c r="AO772">
        <f t="shared" si="125"/>
        <v>8.3333333333333329E-2</v>
      </c>
      <c r="AP772" t="str">
        <f t="shared" si="126"/>
        <v>40-49</v>
      </c>
      <c r="AQ772" t="str">
        <f t="shared" si="127"/>
        <v>Very High</v>
      </c>
      <c r="AR772" t="str">
        <f t="shared" si="128"/>
        <v>Short</v>
      </c>
      <c r="AS772">
        <f t="shared" si="129"/>
        <v>0</v>
      </c>
    </row>
    <row r="773" spans="1:4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s="20">
        <v>10686</v>
      </c>
      <c r="T773">
        <v>8392</v>
      </c>
      <c r="U773">
        <v>6</v>
      </c>
      <c r="V773" t="s">
        <v>42</v>
      </c>
      <c r="W773" t="s">
        <v>43</v>
      </c>
      <c r="X773" s="19">
        <v>11</v>
      </c>
      <c r="Y773">
        <v>3</v>
      </c>
      <c r="Z773">
        <v>2</v>
      </c>
      <c r="AA773">
        <v>80</v>
      </c>
      <c r="AB773">
        <v>1</v>
      </c>
      <c r="AC773">
        <v>13</v>
      </c>
      <c r="AD773">
        <v>4</v>
      </c>
      <c r="AE773">
        <v>3</v>
      </c>
      <c r="AF773">
        <v>9</v>
      </c>
      <c r="AG773">
        <v>4</v>
      </c>
      <c r="AH773">
        <v>7</v>
      </c>
      <c r="AI773">
        <v>0</v>
      </c>
      <c r="AJ773">
        <f t="shared" si="120"/>
        <v>0</v>
      </c>
      <c r="AK773">
        <f t="shared" si="121"/>
        <v>0</v>
      </c>
      <c r="AL773">
        <f t="shared" si="122"/>
        <v>0</v>
      </c>
      <c r="AM773">
        <f t="shared" si="123"/>
        <v>2.75</v>
      </c>
      <c r="AN773">
        <f t="shared" si="124"/>
        <v>12823.2</v>
      </c>
      <c r="AO773">
        <f t="shared" si="125"/>
        <v>0.6428571428571429</v>
      </c>
      <c r="AP773" t="str">
        <f t="shared" si="126"/>
        <v>50+</v>
      </c>
      <c r="AQ773" t="str">
        <f t="shared" si="127"/>
        <v>Very High</v>
      </c>
      <c r="AR773" t="str">
        <f t="shared" si="128"/>
        <v>Short</v>
      </c>
      <c r="AS773">
        <f t="shared" si="129"/>
        <v>0</v>
      </c>
    </row>
    <row r="774" spans="1:4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s="20">
        <v>2942</v>
      </c>
      <c r="T774">
        <v>12154</v>
      </c>
      <c r="U774">
        <v>2</v>
      </c>
      <c r="V774" t="s">
        <v>42</v>
      </c>
      <c r="W774" t="s">
        <v>43</v>
      </c>
      <c r="X774" s="19">
        <v>19</v>
      </c>
      <c r="Y774">
        <v>3</v>
      </c>
      <c r="Z774">
        <v>2</v>
      </c>
      <c r="AA774">
        <v>80</v>
      </c>
      <c r="AB774">
        <v>1</v>
      </c>
      <c r="AC774">
        <v>18</v>
      </c>
      <c r="AD774">
        <v>4</v>
      </c>
      <c r="AE774">
        <v>3</v>
      </c>
      <c r="AF774">
        <v>5</v>
      </c>
      <c r="AG774">
        <v>4</v>
      </c>
      <c r="AH774">
        <v>0</v>
      </c>
      <c r="AI774">
        <v>3</v>
      </c>
      <c r="AJ774">
        <f t="shared" si="120"/>
        <v>0</v>
      </c>
      <c r="AK774">
        <f t="shared" si="121"/>
        <v>0</v>
      </c>
      <c r="AL774">
        <f t="shared" si="122"/>
        <v>0</v>
      </c>
      <c r="AM774">
        <f t="shared" si="123"/>
        <v>2.25</v>
      </c>
      <c r="AN774">
        <f t="shared" si="124"/>
        <v>5884</v>
      </c>
      <c r="AO774">
        <f t="shared" si="125"/>
        <v>0.26315789473684209</v>
      </c>
      <c r="AP774" t="str">
        <f t="shared" si="126"/>
        <v>50+</v>
      </c>
      <c r="AQ774" t="str">
        <f t="shared" si="127"/>
        <v>Medium</v>
      </c>
      <c r="AR774" t="str">
        <f t="shared" si="128"/>
        <v>Medium</v>
      </c>
      <c r="AS774">
        <f t="shared" si="129"/>
        <v>1</v>
      </c>
    </row>
    <row r="775" spans="1:4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s="20">
        <v>8858</v>
      </c>
      <c r="T775">
        <v>15669</v>
      </c>
      <c r="U775">
        <v>0</v>
      </c>
      <c r="V775" t="s">
        <v>42</v>
      </c>
      <c r="W775" t="s">
        <v>43</v>
      </c>
      <c r="X775" s="19">
        <v>11</v>
      </c>
      <c r="Y775">
        <v>3</v>
      </c>
      <c r="Z775">
        <v>2</v>
      </c>
      <c r="AA775">
        <v>80</v>
      </c>
      <c r="AB775">
        <v>0</v>
      </c>
      <c r="AC775">
        <v>15</v>
      </c>
      <c r="AD775">
        <v>2</v>
      </c>
      <c r="AE775">
        <v>2</v>
      </c>
      <c r="AF775">
        <v>14</v>
      </c>
      <c r="AG775">
        <v>8</v>
      </c>
      <c r="AH775">
        <v>7</v>
      </c>
      <c r="AI775">
        <v>8</v>
      </c>
      <c r="AJ775">
        <f t="shared" si="120"/>
        <v>0</v>
      </c>
      <c r="AK775">
        <f t="shared" si="121"/>
        <v>0</v>
      </c>
      <c r="AL775">
        <f t="shared" si="122"/>
        <v>0</v>
      </c>
      <c r="AM775">
        <f t="shared" si="123"/>
        <v>3</v>
      </c>
      <c r="AN775">
        <f t="shared" si="124"/>
        <v>7086.4</v>
      </c>
      <c r="AO775">
        <f t="shared" si="125"/>
        <v>0.875</v>
      </c>
      <c r="AP775" t="str">
        <f t="shared" si="126"/>
        <v>30-39</v>
      </c>
      <c r="AQ775" t="str">
        <f t="shared" si="127"/>
        <v>Very High</v>
      </c>
      <c r="AR775" t="str">
        <f t="shared" si="128"/>
        <v>Medium</v>
      </c>
      <c r="AS775">
        <f t="shared" si="129"/>
        <v>0</v>
      </c>
    </row>
    <row r="776" spans="1:4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s="20">
        <v>16756</v>
      </c>
      <c r="T776">
        <v>17323</v>
      </c>
      <c r="U776">
        <v>7</v>
      </c>
      <c r="V776" t="s">
        <v>42</v>
      </c>
      <c r="W776" t="s">
        <v>43</v>
      </c>
      <c r="X776" s="19">
        <v>15</v>
      </c>
      <c r="Y776">
        <v>3</v>
      </c>
      <c r="Z776">
        <v>2</v>
      </c>
      <c r="AA776">
        <v>80</v>
      </c>
      <c r="AB776">
        <v>0</v>
      </c>
      <c r="AC776">
        <v>31</v>
      </c>
      <c r="AD776">
        <v>3</v>
      </c>
      <c r="AE776">
        <v>4</v>
      </c>
      <c r="AF776">
        <v>9</v>
      </c>
      <c r="AG776">
        <v>7</v>
      </c>
      <c r="AH776">
        <v>6</v>
      </c>
      <c r="AI776">
        <v>2</v>
      </c>
      <c r="AJ776">
        <f t="shared" si="120"/>
        <v>0</v>
      </c>
      <c r="AK776">
        <f t="shared" si="121"/>
        <v>0</v>
      </c>
      <c r="AL776">
        <f t="shared" si="122"/>
        <v>1</v>
      </c>
      <c r="AM776">
        <f t="shared" si="123"/>
        <v>2.5</v>
      </c>
      <c r="AN776">
        <f t="shared" si="124"/>
        <v>20107.2</v>
      </c>
      <c r="AO776">
        <f t="shared" si="125"/>
        <v>0.28125</v>
      </c>
      <c r="AP776" t="str">
        <f t="shared" si="126"/>
        <v>50+</v>
      </c>
      <c r="AQ776" t="str">
        <f t="shared" si="127"/>
        <v>Very High</v>
      </c>
      <c r="AR776" t="str">
        <f t="shared" si="128"/>
        <v>Short</v>
      </c>
      <c r="AS776">
        <f t="shared" si="129"/>
        <v>0</v>
      </c>
    </row>
    <row r="777" spans="1:4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s="20">
        <v>10798</v>
      </c>
      <c r="T777">
        <v>5268</v>
      </c>
      <c r="U777">
        <v>5</v>
      </c>
      <c r="V777" t="s">
        <v>42</v>
      </c>
      <c r="W777" t="s">
        <v>43</v>
      </c>
      <c r="X777" s="19">
        <v>13</v>
      </c>
      <c r="Y777">
        <v>3</v>
      </c>
      <c r="Z777">
        <v>3</v>
      </c>
      <c r="AA777">
        <v>80</v>
      </c>
      <c r="AB777">
        <v>1</v>
      </c>
      <c r="AC777">
        <v>18</v>
      </c>
      <c r="AD777">
        <v>5</v>
      </c>
      <c r="AE777">
        <v>3</v>
      </c>
      <c r="AF777">
        <v>1</v>
      </c>
      <c r="AG777">
        <v>0</v>
      </c>
      <c r="AH777">
        <v>0</v>
      </c>
      <c r="AI777">
        <v>0</v>
      </c>
      <c r="AJ777">
        <f t="shared" si="120"/>
        <v>0</v>
      </c>
      <c r="AK777">
        <f t="shared" si="121"/>
        <v>0</v>
      </c>
      <c r="AL777">
        <f t="shared" si="122"/>
        <v>1</v>
      </c>
      <c r="AM777">
        <f t="shared" si="123"/>
        <v>3.25</v>
      </c>
      <c r="AN777">
        <f t="shared" si="124"/>
        <v>64788</v>
      </c>
      <c r="AO777">
        <f t="shared" si="125"/>
        <v>5.2631578947368418E-2</v>
      </c>
      <c r="AP777" t="str">
        <f t="shared" si="126"/>
        <v>40-49</v>
      </c>
      <c r="AQ777" t="str">
        <f t="shared" si="127"/>
        <v>Very High</v>
      </c>
      <c r="AR777" t="str">
        <f t="shared" si="128"/>
        <v>Long</v>
      </c>
      <c r="AS777">
        <f t="shared" si="129"/>
        <v>0</v>
      </c>
    </row>
    <row r="778" spans="1:4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s="20">
        <v>2323</v>
      </c>
      <c r="T778">
        <v>17205</v>
      </c>
      <c r="U778">
        <v>1</v>
      </c>
      <c r="V778" t="s">
        <v>42</v>
      </c>
      <c r="W778" t="s">
        <v>35</v>
      </c>
      <c r="X778" s="19">
        <v>14</v>
      </c>
      <c r="Y778">
        <v>3</v>
      </c>
      <c r="Z778">
        <v>2</v>
      </c>
      <c r="AA778">
        <v>80</v>
      </c>
      <c r="AB778">
        <v>0</v>
      </c>
      <c r="AC778">
        <v>2</v>
      </c>
      <c r="AD778">
        <v>3</v>
      </c>
      <c r="AE778">
        <v>3</v>
      </c>
      <c r="AF778">
        <v>2</v>
      </c>
      <c r="AG778">
        <v>2</v>
      </c>
      <c r="AH778">
        <v>0</v>
      </c>
      <c r="AI778">
        <v>2</v>
      </c>
      <c r="AJ778">
        <f t="shared" si="120"/>
        <v>1</v>
      </c>
      <c r="AK778">
        <f t="shared" si="121"/>
        <v>1</v>
      </c>
      <c r="AL778">
        <f t="shared" si="122"/>
        <v>0</v>
      </c>
      <c r="AM778">
        <f t="shared" si="123"/>
        <v>3.25</v>
      </c>
      <c r="AN778">
        <f t="shared" si="124"/>
        <v>9292</v>
      </c>
      <c r="AO778">
        <f t="shared" si="125"/>
        <v>0.66666666666666663</v>
      </c>
      <c r="AP778" t="str">
        <f t="shared" si="126"/>
        <v>Under 30</v>
      </c>
      <c r="AQ778" t="str">
        <f t="shared" si="127"/>
        <v>Low</v>
      </c>
      <c r="AR778" t="str">
        <f t="shared" si="128"/>
        <v>Medium</v>
      </c>
      <c r="AS778">
        <f t="shared" si="129"/>
        <v>1</v>
      </c>
    </row>
    <row r="779" spans="1:4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s="20">
        <v>1416</v>
      </c>
      <c r="T779">
        <v>17258</v>
      </c>
      <c r="U779">
        <v>1</v>
      </c>
      <c r="V779" t="s">
        <v>42</v>
      </c>
      <c r="W779" t="s">
        <v>43</v>
      </c>
      <c r="X779" s="19">
        <v>13</v>
      </c>
      <c r="Y779">
        <v>3</v>
      </c>
      <c r="Z779">
        <v>1</v>
      </c>
      <c r="AA779">
        <v>80</v>
      </c>
      <c r="AB779">
        <v>0</v>
      </c>
      <c r="AC779">
        <v>1</v>
      </c>
      <c r="AD779">
        <v>6</v>
      </c>
      <c r="AE779">
        <v>2</v>
      </c>
      <c r="AF779">
        <v>1</v>
      </c>
      <c r="AG779">
        <v>0</v>
      </c>
      <c r="AH779">
        <v>1</v>
      </c>
      <c r="AI779">
        <v>0</v>
      </c>
      <c r="AJ779">
        <f t="shared" si="120"/>
        <v>1</v>
      </c>
      <c r="AK779">
        <f t="shared" si="121"/>
        <v>0</v>
      </c>
      <c r="AL779">
        <f t="shared" si="122"/>
        <v>0</v>
      </c>
      <c r="AM779">
        <f t="shared" si="123"/>
        <v>1.75</v>
      </c>
      <c r="AN779">
        <f t="shared" si="124"/>
        <v>8496</v>
      </c>
      <c r="AO779">
        <f t="shared" si="125"/>
        <v>0.5</v>
      </c>
      <c r="AP779" t="str">
        <f t="shared" si="126"/>
        <v>Under 30</v>
      </c>
      <c r="AQ779" t="str">
        <f t="shared" si="127"/>
        <v>Low</v>
      </c>
      <c r="AR779" t="str">
        <f t="shared" si="128"/>
        <v>Medium</v>
      </c>
      <c r="AS779">
        <f t="shared" si="129"/>
        <v>0</v>
      </c>
    </row>
    <row r="780" spans="1:4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s="20">
        <v>4615</v>
      </c>
      <c r="T780">
        <v>21029</v>
      </c>
      <c r="U780">
        <v>8</v>
      </c>
      <c r="V780" t="s">
        <v>42</v>
      </c>
      <c r="W780" t="s">
        <v>35</v>
      </c>
      <c r="X780" s="19">
        <v>23</v>
      </c>
      <c r="Y780">
        <v>4</v>
      </c>
      <c r="Z780">
        <v>1</v>
      </c>
      <c r="AA780">
        <v>80</v>
      </c>
      <c r="AB780">
        <v>3</v>
      </c>
      <c r="AC780">
        <v>19</v>
      </c>
      <c r="AD780">
        <v>2</v>
      </c>
      <c r="AE780">
        <v>3</v>
      </c>
      <c r="AF780">
        <v>16</v>
      </c>
      <c r="AG780">
        <v>13</v>
      </c>
      <c r="AH780">
        <v>1</v>
      </c>
      <c r="AI780">
        <v>7</v>
      </c>
      <c r="AJ780">
        <f t="shared" si="120"/>
        <v>0</v>
      </c>
      <c r="AK780">
        <f t="shared" si="121"/>
        <v>1</v>
      </c>
      <c r="AL780">
        <f t="shared" si="122"/>
        <v>0</v>
      </c>
      <c r="AM780">
        <f t="shared" si="123"/>
        <v>2.25</v>
      </c>
      <c r="AN780">
        <f t="shared" si="124"/>
        <v>3257.6470588235293</v>
      </c>
      <c r="AO780">
        <f t="shared" si="125"/>
        <v>0.8</v>
      </c>
      <c r="AP780" t="str">
        <f t="shared" si="126"/>
        <v>40-49</v>
      </c>
      <c r="AQ780" t="str">
        <f t="shared" si="127"/>
        <v>Medium</v>
      </c>
      <c r="AR780" t="str">
        <f t="shared" si="128"/>
        <v>Medium</v>
      </c>
      <c r="AS780">
        <f t="shared" si="129"/>
        <v>0</v>
      </c>
    </row>
    <row r="781" spans="1:4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s="20">
        <v>2461</v>
      </c>
      <c r="T781">
        <v>10332</v>
      </c>
      <c r="U781">
        <v>9</v>
      </c>
      <c r="V781" t="s">
        <v>42</v>
      </c>
      <c r="W781" t="s">
        <v>35</v>
      </c>
      <c r="X781" s="19">
        <v>12</v>
      </c>
      <c r="Y781">
        <v>3</v>
      </c>
      <c r="Z781">
        <v>3</v>
      </c>
      <c r="AA781">
        <v>80</v>
      </c>
      <c r="AB781">
        <v>3</v>
      </c>
      <c r="AC781">
        <v>18</v>
      </c>
      <c r="AD781">
        <v>2</v>
      </c>
      <c r="AE781">
        <v>4</v>
      </c>
      <c r="AF781">
        <v>10</v>
      </c>
      <c r="AG781">
        <v>0</v>
      </c>
      <c r="AH781">
        <v>2</v>
      </c>
      <c r="AI781">
        <v>7</v>
      </c>
      <c r="AJ781">
        <f t="shared" si="120"/>
        <v>1</v>
      </c>
      <c r="AK781">
        <f t="shared" si="121"/>
        <v>1</v>
      </c>
      <c r="AL781">
        <f t="shared" si="122"/>
        <v>1</v>
      </c>
      <c r="AM781">
        <f t="shared" si="123"/>
        <v>2.75</v>
      </c>
      <c r="AN781">
        <f t="shared" si="124"/>
        <v>2684.7272727272725</v>
      </c>
      <c r="AO781">
        <f t="shared" si="125"/>
        <v>0.52631578947368418</v>
      </c>
      <c r="AP781" t="str">
        <f t="shared" si="126"/>
        <v>50+</v>
      </c>
      <c r="AQ781" t="str">
        <f t="shared" si="127"/>
        <v>Low</v>
      </c>
      <c r="AR781" t="str">
        <f t="shared" si="128"/>
        <v>Short</v>
      </c>
      <c r="AS781">
        <f t="shared" si="129"/>
        <v>0</v>
      </c>
    </row>
    <row r="782" spans="1:4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s="20">
        <v>9950</v>
      </c>
      <c r="T782">
        <v>12355</v>
      </c>
      <c r="U782">
        <v>1</v>
      </c>
      <c r="V782" t="s">
        <v>42</v>
      </c>
      <c r="W782" t="s">
        <v>43</v>
      </c>
      <c r="X782" s="19">
        <v>12</v>
      </c>
      <c r="Y782">
        <v>3</v>
      </c>
      <c r="Z782">
        <v>1</v>
      </c>
      <c r="AA782">
        <v>80</v>
      </c>
      <c r="AB782">
        <v>0</v>
      </c>
      <c r="AC782">
        <v>10</v>
      </c>
      <c r="AD782">
        <v>2</v>
      </c>
      <c r="AE782">
        <v>2</v>
      </c>
      <c r="AF782">
        <v>10</v>
      </c>
      <c r="AG782">
        <v>7</v>
      </c>
      <c r="AH782">
        <v>1</v>
      </c>
      <c r="AI782">
        <v>9</v>
      </c>
      <c r="AJ782">
        <f t="shared" si="120"/>
        <v>1</v>
      </c>
      <c r="AK782">
        <f t="shared" si="121"/>
        <v>0</v>
      </c>
      <c r="AL782">
        <f t="shared" si="122"/>
        <v>1</v>
      </c>
      <c r="AM782">
        <f t="shared" si="123"/>
        <v>1.5</v>
      </c>
      <c r="AN782">
        <f t="shared" si="124"/>
        <v>10854.545454545454</v>
      </c>
      <c r="AO782">
        <f t="shared" si="125"/>
        <v>0.90909090909090906</v>
      </c>
      <c r="AP782" t="str">
        <f t="shared" si="126"/>
        <v>Under 30</v>
      </c>
      <c r="AQ782" t="str">
        <f t="shared" si="127"/>
        <v>Very High</v>
      </c>
      <c r="AR782" t="str">
        <f t="shared" si="128"/>
        <v>Long</v>
      </c>
      <c r="AS782">
        <f t="shared" si="129"/>
        <v>0</v>
      </c>
    </row>
    <row r="783" spans="1:4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s="20">
        <v>3955</v>
      </c>
      <c r="T783">
        <v>11141</v>
      </c>
      <c r="U783">
        <v>1</v>
      </c>
      <c r="V783" t="s">
        <v>42</v>
      </c>
      <c r="W783" t="s">
        <v>43</v>
      </c>
      <c r="X783" s="19">
        <v>16</v>
      </c>
      <c r="Y783">
        <v>3</v>
      </c>
      <c r="Z783">
        <v>1</v>
      </c>
      <c r="AA783">
        <v>80</v>
      </c>
      <c r="AB783">
        <v>2</v>
      </c>
      <c r="AC783">
        <v>6</v>
      </c>
      <c r="AD783">
        <v>2</v>
      </c>
      <c r="AE783">
        <v>3</v>
      </c>
      <c r="AF783">
        <v>5</v>
      </c>
      <c r="AG783">
        <v>3</v>
      </c>
      <c r="AH783">
        <v>1</v>
      </c>
      <c r="AI783">
        <v>3</v>
      </c>
      <c r="AJ783">
        <f t="shared" si="120"/>
        <v>0</v>
      </c>
      <c r="AK783">
        <f t="shared" si="121"/>
        <v>0</v>
      </c>
      <c r="AL783">
        <f t="shared" si="122"/>
        <v>1</v>
      </c>
      <c r="AM783">
        <f t="shared" si="123"/>
        <v>1.5</v>
      </c>
      <c r="AN783">
        <f t="shared" si="124"/>
        <v>7910</v>
      </c>
      <c r="AO783">
        <f t="shared" si="125"/>
        <v>0.7142857142857143</v>
      </c>
      <c r="AP783" t="str">
        <f t="shared" si="126"/>
        <v>Under 30</v>
      </c>
      <c r="AQ783" t="str">
        <f t="shared" si="127"/>
        <v>Medium</v>
      </c>
      <c r="AR783" t="str">
        <f t="shared" si="128"/>
        <v>Short</v>
      </c>
      <c r="AS783">
        <f t="shared" si="129"/>
        <v>0</v>
      </c>
    </row>
    <row r="784" spans="1:4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s="20">
        <v>9957</v>
      </c>
      <c r="T784">
        <v>9096</v>
      </c>
      <c r="U784">
        <v>0</v>
      </c>
      <c r="V784" t="s">
        <v>42</v>
      </c>
      <c r="W784" t="s">
        <v>43</v>
      </c>
      <c r="X784" s="19">
        <v>15</v>
      </c>
      <c r="Y784">
        <v>3</v>
      </c>
      <c r="Z784">
        <v>3</v>
      </c>
      <c r="AA784">
        <v>80</v>
      </c>
      <c r="AB784">
        <v>1</v>
      </c>
      <c r="AC784">
        <v>7</v>
      </c>
      <c r="AD784">
        <v>1</v>
      </c>
      <c r="AE784">
        <v>2</v>
      </c>
      <c r="AF784">
        <v>6</v>
      </c>
      <c r="AG784">
        <v>2</v>
      </c>
      <c r="AH784">
        <v>0</v>
      </c>
      <c r="AI784">
        <v>2</v>
      </c>
      <c r="AJ784">
        <f t="shared" si="120"/>
        <v>0</v>
      </c>
      <c r="AK784">
        <f t="shared" si="121"/>
        <v>0</v>
      </c>
      <c r="AL784">
        <f t="shared" si="122"/>
        <v>1</v>
      </c>
      <c r="AM784">
        <f t="shared" si="123"/>
        <v>2.25</v>
      </c>
      <c r="AN784">
        <f t="shared" si="124"/>
        <v>17069.142857142859</v>
      </c>
      <c r="AO784">
        <f t="shared" si="125"/>
        <v>0.75</v>
      </c>
      <c r="AP784" t="str">
        <f t="shared" si="126"/>
        <v>30-39</v>
      </c>
      <c r="AQ784" t="str">
        <f t="shared" si="127"/>
        <v>Very High</v>
      </c>
      <c r="AR784" t="str">
        <f t="shared" si="128"/>
        <v>Long</v>
      </c>
      <c r="AS784">
        <f t="shared" si="129"/>
        <v>0</v>
      </c>
    </row>
    <row r="785" spans="1:4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s="20">
        <v>3376</v>
      </c>
      <c r="T785">
        <v>18863</v>
      </c>
      <c r="U785">
        <v>1</v>
      </c>
      <c r="V785" t="s">
        <v>42</v>
      </c>
      <c r="W785" t="s">
        <v>43</v>
      </c>
      <c r="X785" s="19">
        <v>13</v>
      </c>
      <c r="Y785">
        <v>3</v>
      </c>
      <c r="Z785">
        <v>3</v>
      </c>
      <c r="AA785">
        <v>80</v>
      </c>
      <c r="AB785">
        <v>0</v>
      </c>
      <c r="AC785">
        <v>10</v>
      </c>
      <c r="AD785">
        <v>3</v>
      </c>
      <c r="AE785">
        <v>3</v>
      </c>
      <c r="AF785">
        <v>10</v>
      </c>
      <c r="AG785">
        <v>6</v>
      </c>
      <c r="AH785">
        <v>0</v>
      </c>
      <c r="AI785">
        <v>8</v>
      </c>
      <c r="AJ785">
        <f t="shared" si="120"/>
        <v>0</v>
      </c>
      <c r="AK785">
        <f t="shared" si="121"/>
        <v>0</v>
      </c>
      <c r="AL785">
        <f t="shared" si="122"/>
        <v>0</v>
      </c>
      <c r="AM785">
        <f t="shared" si="123"/>
        <v>2.75</v>
      </c>
      <c r="AN785">
        <f t="shared" si="124"/>
        <v>3682.909090909091</v>
      </c>
      <c r="AO785">
        <f t="shared" si="125"/>
        <v>0.90909090909090906</v>
      </c>
      <c r="AP785" t="str">
        <f t="shared" si="126"/>
        <v>40-49</v>
      </c>
      <c r="AQ785" t="str">
        <f t="shared" si="127"/>
        <v>Medium</v>
      </c>
      <c r="AR785" t="str">
        <f t="shared" si="128"/>
        <v>Medium</v>
      </c>
      <c r="AS785">
        <f t="shared" si="129"/>
        <v>0</v>
      </c>
    </row>
    <row r="786" spans="1:4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s="20">
        <v>8823</v>
      </c>
      <c r="T786">
        <v>24608</v>
      </c>
      <c r="U786">
        <v>0</v>
      </c>
      <c r="V786" t="s">
        <v>42</v>
      </c>
      <c r="W786" t="s">
        <v>43</v>
      </c>
      <c r="X786" s="19">
        <v>18</v>
      </c>
      <c r="Y786">
        <v>3</v>
      </c>
      <c r="Z786">
        <v>1</v>
      </c>
      <c r="AA786">
        <v>80</v>
      </c>
      <c r="AB786">
        <v>1</v>
      </c>
      <c r="AC786">
        <v>20</v>
      </c>
      <c r="AD786">
        <v>4</v>
      </c>
      <c r="AE786">
        <v>2</v>
      </c>
      <c r="AF786">
        <v>19</v>
      </c>
      <c r="AG786">
        <v>9</v>
      </c>
      <c r="AH786">
        <v>1</v>
      </c>
      <c r="AI786">
        <v>9</v>
      </c>
      <c r="AJ786">
        <f t="shared" si="120"/>
        <v>0</v>
      </c>
      <c r="AK786">
        <f t="shared" si="121"/>
        <v>0</v>
      </c>
      <c r="AL786">
        <f t="shared" si="122"/>
        <v>0</v>
      </c>
      <c r="AM786">
        <f t="shared" si="123"/>
        <v>2.25</v>
      </c>
      <c r="AN786">
        <f t="shared" si="124"/>
        <v>5293.8</v>
      </c>
      <c r="AO786">
        <f t="shared" si="125"/>
        <v>0.90476190476190477</v>
      </c>
      <c r="AP786" t="str">
        <f t="shared" si="126"/>
        <v>30-39</v>
      </c>
      <c r="AQ786" t="str">
        <f t="shared" si="127"/>
        <v>Very High</v>
      </c>
      <c r="AR786" t="str">
        <f t="shared" si="128"/>
        <v>Long</v>
      </c>
      <c r="AS786">
        <f t="shared" si="129"/>
        <v>0</v>
      </c>
    </row>
    <row r="787" spans="1:45" x14ac:dyDescent="0.3">
      <c r="A787">
        <v>40</v>
      </c>
      <c r="B787" t="s">
        <v>43</v>
      </c>
      <c r="C787" t="s">
        <v>36</v>
      </c>
      <c r="D787">
        <v>1492</v>
      </c>
      <c r="E787" t="s">
        <v>45</v>
      </c>
      <c r="F787">
        <v>20</v>
      </c>
      <c r="G787">
        <v>4</v>
      </c>
      <c r="H787" t="s">
        <v>60</v>
      </c>
      <c r="I787">
        <v>1</v>
      </c>
      <c r="J787">
        <v>1092</v>
      </c>
      <c r="K787">
        <v>3</v>
      </c>
      <c r="L787" t="s">
        <v>46</v>
      </c>
      <c r="M787">
        <v>61</v>
      </c>
      <c r="N787">
        <v>3</v>
      </c>
      <c r="O787">
        <v>3</v>
      </c>
      <c r="P787" t="s">
        <v>54</v>
      </c>
      <c r="Q787">
        <v>4</v>
      </c>
      <c r="R787" t="s">
        <v>48</v>
      </c>
      <c r="S787" s="20">
        <v>10322</v>
      </c>
      <c r="T787">
        <v>26542</v>
      </c>
      <c r="U787">
        <v>4</v>
      </c>
      <c r="V787" t="s">
        <v>42</v>
      </c>
      <c r="W787" t="s">
        <v>43</v>
      </c>
      <c r="X787" s="19">
        <v>20</v>
      </c>
      <c r="Y787">
        <v>4</v>
      </c>
      <c r="Z787">
        <v>4</v>
      </c>
      <c r="AA787">
        <v>80</v>
      </c>
      <c r="AB787">
        <v>1</v>
      </c>
      <c r="AC787">
        <v>14</v>
      </c>
      <c r="AD787">
        <v>6</v>
      </c>
      <c r="AE787">
        <v>3</v>
      </c>
      <c r="AF787">
        <v>11</v>
      </c>
      <c r="AG787">
        <v>10</v>
      </c>
      <c r="AH787">
        <v>11</v>
      </c>
      <c r="AI787">
        <v>1</v>
      </c>
      <c r="AJ787">
        <f t="shared" si="120"/>
        <v>0</v>
      </c>
      <c r="AK787">
        <f t="shared" si="121"/>
        <v>0</v>
      </c>
      <c r="AL787">
        <f t="shared" si="122"/>
        <v>1</v>
      </c>
      <c r="AM787">
        <f t="shared" si="123"/>
        <v>3.5</v>
      </c>
      <c r="AN787">
        <f t="shared" si="124"/>
        <v>10322</v>
      </c>
      <c r="AO787">
        <f t="shared" si="125"/>
        <v>0.73333333333333328</v>
      </c>
      <c r="AP787" t="str">
        <f t="shared" si="126"/>
        <v>40-49</v>
      </c>
      <c r="AQ787" t="str">
        <f t="shared" si="127"/>
        <v>Very High</v>
      </c>
      <c r="AR787" t="str">
        <f t="shared" si="128"/>
        <v>Long</v>
      </c>
      <c r="AS787">
        <f t="shared" si="129"/>
        <v>0</v>
      </c>
    </row>
    <row r="788" spans="1:4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s="20">
        <v>4621</v>
      </c>
      <c r="T788">
        <v>5869</v>
      </c>
      <c r="U788">
        <v>1</v>
      </c>
      <c r="V788" t="s">
        <v>42</v>
      </c>
      <c r="W788" t="s">
        <v>43</v>
      </c>
      <c r="X788" s="19">
        <v>19</v>
      </c>
      <c r="Y788">
        <v>3</v>
      </c>
      <c r="Z788">
        <v>4</v>
      </c>
      <c r="AA788">
        <v>80</v>
      </c>
      <c r="AB788">
        <v>3</v>
      </c>
      <c r="AC788">
        <v>3</v>
      </c>
      <c r="AD788">
        <v>4</v>
      </c>
      <c r="AE788">
        <v>3</v>
      </c>
      <c r="AF788">
        <v>3</v>
      </c>
      <c r="AG788">
        <v>2</v>
      </c>
      <c r="AH788">
        <v>1</v>
      </c>
      <c r="AI788">
        <v>2</v>
      </c>
      <c r="AJ788">
        <f t="shared" si="120"/>
        <v>0</v>
      </c>
      <c r="AK788">
        <f t="shared" si="121"/>
        <v>0</v>
      </c>
      <c r="AL788">
        <f t="shared" si="122"/>
        <v>1</v>
      </c>
      <c r="AM788">
        <f t="shared" si="123"/>
        <v>2.75</v>
      </c>
      <c r="AN788">
        <f t="shared" si="124"/>
        <v>13863</v>
      </c>
      <c r="AO788">
        <f t="shared" si="125"/>
        <v>0.75</v>
      </c>
      <c r="AP788" t="str">
        <f t="shared" si="126"/>
        <v>Under 30</v>
      </c>
      <c r="AQ788" t="str">
        <f t="shared" si="127"/>
        <v>Medium</v>
      </c>
      <c r="AR788" t="str">
        <f t="shared" si="128"/>
        <v>Medium</v>
      </c>
      <c r="AS788">
        <f t="shared" si="129"/>
        <v>0</v>
      </c>
    </row>
    <row r="789" spans="1:4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s="20">
        <v>10976</v>
      </c>
      <c r="T789">
        <v>15813</v>
      </c>
      <c r="U789">
        <v>3</v>
      </c>
      <c r="V789" t="s">
        <v>42</v>
      </c>
      <c r="W789" t="s">
        <v>43</v>
      </c>
      <c r="X789" s="19">
        <v>18</v>
      </c>
      <c r="Y789">
        <v>3</v>
      </c>
      <c r="Z789">
        <v>2</v>
      </c>
      <c r="AA789">
        <v>80</v>
      </c>
      <c r="AB789">
        <v>1</v>
      </c>
      <c r="AC789">
        <v>23</v>
      </c>
      <c r="AD789">
        <v>4</v>
      </c>
      <c r="AE789">
        <v>3</v>
      </c>
      <c r="AF789">
        <v>3</v>
      </c>
      <c r="AG789">
        <v>2</v>
      </c>
      <c r="AH789">
        <v>1</v>
      </c>
      <c r="AI789">
        <v>2</v>
      </c>
      <c r="AJ789">
        <f t="shared" si="120"/>
        <v>0</v>
      </c>
      <c r="AK789">
        <f t="shared" si="121"/>
        <v>0</v>
      </c>
      <c r="AL789">
        <f t="shared" si="122"/>
        <v>1</v>
      </c>
      <c r="AM789">
        <f t="shared" si="123"/>
        <v>2.75</v>
      </c>
      <c r="AN789">
        <f t="shared" si="124"/>
        <v>32928</v>
      </c>
      <c r="AO789">
        <f t="shared" si="125"/>
        <v>0.125</v>
      </c>
      <c r="AP789" t="str">
        <f t="shared" si="126"/>
        <v>50+</v>
      </c>
      <c r="AQ789" t="str">
        <f t="shared" si="127"/>
        <v>Very High</v>
      </c>
      <c r="AR789" t="str">
        <f t="shared" si="128"/>
        <v>Short</v>
      </c>
      <c r="AS789">
        <f t="shared" si="129"/>
        <v>1</v>
      </c>
    </row>
    <row r="790" spans="1:4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s="20">
        <v>3660</v>
      </c>
      <c r="T790">
        <v>7909</v>
      </c>
      <c r="U790">
        <v>3</v>
      </c>
      <c r="V790" t="s">
        <v>42</v>
      </c>
      <c r="W790" t="s">
        <v>43</v>
      </c>
      <c r="X790" s="19">
        <v>13</v>
      </c>
      <c r="Y790">
        <v>3</v>
      </c>
      <c r="Z790">
        <v>4</v>
      </c>
      <c r="AA790">
        <v>80</v>
      </c>
      <c r="AB790">
        <v>0</v>
      </c>
      <c r="AC790">
        <v>10</v>
      </c>
      <c r="AD790">
        <v>4</v>
      </c>
      <c r="AE790">
        <v>4</v>
      </c>
      <c r="AF790">
        <v>8</v>
      </c>
      <c r="AG790">
        <v>7</v>
      </c>
      <c r="AH790">
        <v>1</v>
      </c>
      <c r="AI790">
        <v>7</v>
      </c>
      <c r="AJ790">
        <f t="shared" si="120"/>
        <v>0</v>
      </c>
      <c r="AK790">
        <f t="shared" si="121"/>
        <v>0</v>
      </c>
      <c r="AL790">
        <f t="shared" si="122"/>
        <v>0</v>
      </c>
      <c r="AM790">
        <f t="shared" si="123"/>
        <v>3.5</v>
      </c>
      <c r="AN790">
        <f t="shared" si="124"/>
        <v>4880</v>
      </c>
      <c r="AO790">
        <f t="shared" si="125"/>
        <v>0.72727272727272729</v>
      </c>
      <c r="AP790" t="str">
        <f t="shared" si="126"/>
        <v>Under 30</v>
      </c>
      <c r="AQ790" t="str">
        <f t="shared" si="127"/>
        <v>Medium</v>
      </c>
      <c r="AR790" t="str">
        <f t="shared" si="128"/>
        <v>Medium</v>
      </c>
      <c r="AS790">
        <f t="shared" si="129"/>
        <v>0</v>
      </c>
    </row>
    <row r="791" spans="1:4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s="20">
        <v>10482</v>
      </c>
      <c r="T791">
        <v>2326</v>
      </c>
      <c r="U791">
        <v>9</v>
      </c>
      <c r="V791" t="s">
        <v>42</v>
      </c>
      <c r="W791" t="s">
        <v>43</v>
      </c>
      <c r="X791" s="19">
        <v>14</v>
      </c>
      <c r="Y791">
        <v>3</v>
      </c>
      <c r="Z791">
        <v>4</v>
      </c>
      <c r="AA791">
        <v>80</v>
      </c>
      <c r="AB791">
        <v>1</v>
      </c>
      <c r="AC791">
        <v>24</v>
      </c>
      <c r="AD791">
        <v>1</v>
      </c>
      <c r="AE791">
        <v>3</v>
      </c>
      <c r="AF791">
        <v>20</v>
      </c>
      <c r="AG791">
        <v>6</v>
      </c>
      <c r="AH791">
        <v>3</v>
      </c>
      <c r="AI791">
        <v>6</v>
      </c>
      <c r="AJ791">
        <f t="shared" si="120"/>
        <v>1</v>
      </c>
      <c r="AK791">
        <f t="shared" si="121"/>
        <v>0</v>
      </c>
      <c r="AL791">
        <f t="shared" si="122"/>
        <v>1</v>
      </c>
      <c r="AM791">
        <f t="shared" si="123"/>
        <v>2.5</v>
      </c>
      <c r="AN791">
        <f t="shared" si="124"/>
        <v>5989.7142857142853</v>
      </c>
      <c r="AO791">
        <f t="shared" si="125"/>
        <v>0.8</v>
      </c>
      <c r="AP791" t="str">
        <f t="shared" si="126"/>
        <v>40-49</v>
      </c>
      <c r="AQ791" t="str">
        <f t="shared" si="127"/>
        <v>Very High</v>
      </c>
      <c r="AR791" t="str">
        <f t="shared" si="128"/>
        <v>Short</v>
      </c>
      <c r="AS791">
        <f t="shared" si="129"/>
        <v>0</v>
      </c>
    </row>
    <row r="792" spans="1:4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s="20">
        <v>7119</v>
      </c>
      <c r="T792">
        <v>21214</v>
      </c>
      <c r="U792">
        <v>4</v>
      </c>
      <c r="V792" t="s">
        <v>42</v>
      </c>
      <c r="W792" t="s">
        <v>43</v>
      </c>
      <c r="X792" s="19">
        <v>15</v>
      </c>
      <c r="Y792">
        <v>3</v>
      </c>
      <c r="Z792">
        <v>3</v>
      </c>
      <c r="AA792">
        <v>80</v>
      </c>
      <c r="AB792">
        <v>1</v>
      </c>
      <c r="AC792">
        <v>9</v>
      </c>
      <c r="AD792">
        <v>2</v>
      </c>
      <c r="AE792">
        <v>3</v>
      </c>
      <c r="AF792">
        <v>3</v>
      </c>
      <c r="AG792">
        <v>2</v>
      </c>
      <c r="AH792">
        <v>1</v>
      </c>
      <c r="AI792">
        <v>2</v>
      </c>
      <c r="AJ792">
        <f t="shared" si="120"/>
        <v>0</v>
      </c>
      <c r="AK792">
        <f t="shared" si="121"/>
        <v>0</v>
      </c>
      <c r="AL792">
        <f t="shared" si="122"/>
        <v>1</v>
      </c>
      <c r="AM792">
        <f t="shared" si="123"/>
        <v>3.5</v>
      </c>
      <c r="AN792">
        <f t="shared" si="124"/>
        <v>21357</v>
      </c>
      <c r="AO792">
        <f t="shared" si="125"/>
        <v>0.3</v>
      </c>
      <c r="AP792" t="str">
        <f t="shared" si="126"/>
        <v>30-39</v>
      </c>
      <c r="AQ792" t="str">
        <f t="shared" si="127"/>
        <v>High</v>
      </c>
      <c r="AR792" t="str">
        <f t="shared" si="128"/>
        <v>Short</v>
      </c>
      <c r="AS792">
        <f t="shared" si="129"/>
        <v>0</v>
      </c>
    </row>
    <row r="793" spans="1:4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s="20">
        <v>9582</v>
      </c>
      <c r="T793">
        <v>10333</v>
      </c>
      <c r="U793">
        <v>0</v>
      </c>
      <c r="V793" t="s">
        <v>42</v>
      </c>
      <c r="W793" t="s">
        <v>35</v>
      </c>
      <c r="X793" s="19">
        <v>22</v>
      </c>
      <c r="Y793">
        <v>4</v>
      </c>
      <c r="Z793">
        <v>1</v>
      </c>
      <c r="AA793">
        <v>80</v>
      </c>
      <c r="AB793">
        <v>0</v>
      </c>
      <c r="AC793">
        <v>9</v>
      </c>
      <c r="AD793">
        <v>2</v>
      </c>
      <c r="AE793">
        <v>3</v>
      </c>
      <c r="AF793">
        <v>8</v>
      </c>
      <c r="AG793">
        <v>7</v>
      </c>
      <c r="AH793">
        <v>4</v>
      </c>
      <c r="AI793">
        <v>7</v>
      </c>
      <c r="AJ793">
        <f t="shared" si="120"/>
        <v>1</v>
      </c>
      <c r="AK793">
        <f t="shared" si="121"/>
        <v>1</v>
      </c>
      <c r="AL793">
        <f t="shared" si="122"/>
        <v>1</v>
      </c>
      <c r="AM793">
        <f t="shared" si="123"/>
        <v>2.25</v>
      </c>
      <c r="AN793">
        <f t="shared" si="124"/>
        <v>12776</v>
      </c>
      <c r="AO793">
        <f t="shared" si="125"/>
        <v>0.8</v>
      </c>
      <c r="AP793" t="str">
        <f t="shared" si="126"/>
        <v>30-39</v>
      </c>
      <c r="AQ793" t="str">
        <f t="shared" si="127"/>
        <v>Very High</v>
      </c>
      <c r="AR793" t="str">
        <f t="shared" si="128"/>
        <v>Short</v>
      </c>
      <c r="AS793">
        <f t="shared" si="129"/>
        <v>0</v>
      </c>
    </row>
    <row r="794" spans="1:4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s="20">
        <v>4508</v>
      </c>
      <c r="T794">
        <v>3129</v>
      </c>
      <c r="U794">
        <v>1</v>
      </c>
      <c r="V794" t="s">
        <v>42</v>
      </c>
      <c r="W794" t="s">
        <v>43</v>
      </c>
      <c r="X794" s="19">
        <v>22</v>
      </c>
      <c r="Y794">
        <v>4</v>
      </c>
      <c r="Z794">
        <v>2</v>
      </c>
      <c r="AA794">
        <v>80</v>
      </c>
      <c r="AB794">
        <v>0</v>
      </c>
      <c r="AC794">
        <v>14</v>
      </c>
      <c r="AD794">
        <v>4</v>
      </c>
      <c r="AE794">
        <v>3</v>
      </c>
      <c r="AF794">
        <v>13</v>
      </c>
      <c r="AG794">
        <v>7</v>
      </c>
      <c r="AH794">
        <v>3</v>
      </c>
      <c r="AI794">
        <v>8</v>
      </c>
      <c r="AJ794">
        <f t="shared" si="120"/>
        <v>1</v>
      </c>
      <c r="AK794">
        <f t="shared" si="121"/>
        <v>0</v>
      </c>
      <c r="AL794">
        <f t="shared" si="122"/>
        <v>0</v>
      </c>
      <c r="AM794">
        <f t="shared" si="123"/>
        <v>2.25</v>
      </c>
      <c r="AN794">
        <f t="shared" si="124"/>
        <v>3864</v>
      </c>
      <c r="AO794">
        <f t="shared" si="125"/>
        <v>0.8666666666666667</v>
      </c>
      <c r="AP794" t="str">
        <f t="shared" si="126"/>
        <v>30-39</v>
      </c>
      <c r="AQ794" t="str">
        <f t="shared" si="127"/>
        <v>Medium</v>
      </c>
      <c r="AR794" t="str">
        <f t="shared" si="128"/>
        <v>Long</v>
      </c>
      <c r="AS794">
        <f t="shared" si="129"/>
        <v>1</v>
      </c>
    </row>
    <row r="795" spans="1:4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s="20">
        <v>2207</v>
      </c>
      <c r="T795">
        <v>22482</v>
      </c>
      <c r="U795">
        <v>1</v>
      </c>
      <c r="V795" t="s">
        <v>42</v>
      </c>
      <c r="W795" t="s">
        <v>43</v>
      </c>
      <c r="X795" s="19">
        <v>16</v>
      </c>
      <c r="Y795">
        <v>3</v>
      </c>
      <c r="Z795">
        <v>4</v>
      </c>
      <c r="AA795">
        <v>80</v>
      </c>
      <c r="AB795">
        <v>1</v>
      </c>
      <c r="AC795">
        <v>4</v>
      </c>
      <c r="AD795">
        <v>5</v>
      </c>
      <c r="AE795">
        <v>2</v>
      </c>
      <c r="AF795">
        <v>4</v>
      </c>
      <c r="AG795">
        <v>2</v>
      </c>
      <c r="AH795">
        <v>2</v>
      </c>
      <c r="AI795">
        <v>2</v>
      </c>
      <c r="AJ795">
        <f t="shared" si="120"/>
        <v>0</v>
      </c>
      <c r="AK795">
        <f t="shared" si="121"/>
        <v>0</v>
      </c>
      <c r="AL795">
        <f t="shared" si="122"/>
        <v>1</v>
      </c>
      <c r="AM795">
        <f t="shared" si="123"/>
        <v>2.5</v>
      </c>
      <c r="AN795">
        <f t="shared" si="124"/>
        <v>5296.8</v>
      </c>
      <c r="AO795">
        <f t="shared" si="125"/>
        <v>0.8</v>
      </c>
      <c r="AP795" t="str">
        <f t="shared" si="126"/>
        <v>Under 30</v>
      </c>
      <c r="AQ795" t="str">
        <f t="shared" si="127"/>
        <v>Low</v>
      </c>
      <c r="AR795" t="str">
        <f t="shared" si="128"/>
        <v>Medium</v>
      </c>
      <c r="AS795">
        <f t="shared" si="129"/>
        <v>0</v>
      </c>
    </row>
    <row r="796" spans="1:4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s="20">
        <v>7756</v>
      </c>
      <c r="T796">
        <v>22266</v>
      </c>
      <c r="U796">
        <v>0</v>
      </c>
      <c r="V796" t="s">
        <v>42</v>
      </c>
      <c r="W796" t="s">
        <v>43</v>
      </c>
      <c r="X796" s="19">
        <v>17</v>
      </c>
      <c r="Y796">
        <v>3</v>
      </c>
      <c r="Z796">
        <v>3</v>
      </c>
      <c r="AA796">
        <v>80</v>
      </c>
      <c r="AB796">
        <v>0</v>
      </c>
      <c r="AC796">
        <v>7</v>
      </c>
      <c r="AD796">
        <v>1</v>
      </c>
      <c r="AE796">
        <v>2</v>
      </c>
      <c r="AF796">
        <v>6</v>
      </c>
      <c r="AG796">
        <v>2</v>
      </c>
      <c r="AH796">
        <v>0</v>
      </c>
      <c r="AI796">
        <v>4</v>
      </c>
      <c r="AJ796">
        <f t="shared" si="120"/>
        <v>0</v>
      </c>
      <c r="AK796">
        <f t="shared" si="121"/>
        <v>0</v>
      </c>
      <c r="AL796">
        <f t="shared" si="122"/>
        <v>1</v>
      </c>
      <c r="AM796">
        <f t="shared" si="123"/>
        <v>2.5</v>
      </c>
      <c r="AN796">
        <f t="shared" si="124"/>
        <v>13296</v>
      </c>
      <c r="AO796">
        <f t="shared" si="125"/>
        <v>0.75</v>
      </c>
      <c r="AP796" t="str">
        <f t="shared" si="126"/>
        <v>30-39</v>
      </c>
      <c r="AQ796" t="str">
        <f t="shared" si="127"/>
        <v>High</v>
      </c>
      <c r="AR796" t="str">
        <f t="shared" si="128"/>
        <v>Short</v>
      </c>
      <c r="AS796">
        <f t="shared" si="129"/>
        <v>1</v>
      </c>
    </row>
    <row r="797" spans="1:4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s="20">
        <v>6694</v>
      </c>
      <c r="T797">
        <v>24223</v>
      </c>
      <c r="U797">
        <v>2</v>
      </c>
      <c r="V797" t="s">
        <v>42</v>
      </c>
      <c r="W797" t="s">
        <v>35</v>
      </c>
      <c r="X797" s="19">
        <v>14</v>
      </c>
      <c r="Y797">
        <v>3</v>
      </c>
      <c r="Z797">
        <v>3</v>
      </c>
      <c r="AA797">
        <v>80</v>
      </c>
      <c r="AB797">
        <v>3</v>
      </c>
      <c r="AC797">
        <v>8</v>
      </c>
      <c r="AD797">
        <v>5</v>
      </c>
      <c r="AE797">
        <v>3</v>
      </c>
      <c r="AF797">
        <v>1</v>
      </c>
      <c r="AG797">
        <v>0</v>
      </c>
      <c r="AH797">
        <v>0</v>
      </c>
      <c r="AI797">
        <v>0</v>
      </c>
      <c r="AJ797">
        <f t="shared" si="120"/>
        <v>0</v>
      </c>
      <c r="AK797">
        <f t="shared" si="121"/>
        <v>1</v>
      </c>
      <c r="AL797">
        <f t="shared" si="122"/>
        <v>0</v>
      </c>
      <c r="AM797">
        <f t="shared" si="123"/>
        <v>3.5</v>
      </c>
      <c r="AN797">
        <f t="shared" si="124"/>
        <v>40164</v>
      </c>
      <c r="AO797">
        <f t="shared" si="125"/>
        <v>0.1111111111111111</v>
      </c>
      <c r="AP797" t="str">
        <f t="shared" si="126"/>
        <v>30-39</v>
      </c>
      <c r="AQ797" t="str">
        <f t="shared" si="127"/>
        <v>High</v>
      </c>
      <c r="AR797" t="str">
        <f t="shared" si="128"/>
        <v>Medium</v>
      </c>
      <c r="AS797">
        <f t="shared" si="129"/>
        <v>0</v>
      </c>
    </row>
    <row r="798" spans="1:4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s="20">
        <v>3691</v>
      </c>
      <c r="T798">
        <v>4605</v>
      </c>
      <c r="U798">
        <v>1</v>
      </c>
      <c r="V798" t="s">
        <v>42</v>
      </c>
      <c r="W798" t="s">
        <v>35</v>
      </c>
      <c r="X798" s="19">
        <v>15</v>
      </c>
      <c r="Y798">
        <v>3</v>
      </c>
      <c r="Z798">
        <v>2</v>
      </c>
      <c r="AA798">
        <v>80</v>
      </c>
      <c r="AB798">
        <v>1</v>
      </c>
      <c r="AC798">
        <v>7</v>
      </c>
      <c r="AD798">
        <v>3</v>
      </c>
      <c r="AE798">
        <v>4</v>
      </c>
      <c r="AF798">
        <v>7</v>
      </c>
      <c r="AG798">
        <v>7</v>
      </c>
      <c r="AH798">
        <v>5</v>
      </c>
      <c r="AI798">
        <v>6</v>
      </c>
      <c r="AJ798">
        <f t="shared" si="120"/>
        <v>1</v>
      </c>
      <c r="AK798">
        <f t="shared" si="121"/>
        <v>1</v>
      </c>
      <c r="AL798">
        <f t="shared" si="122"/>
        <v>1</v>
      </c>
      <c r="AM798">
        <f t="shared" si="123"/>
        <v>3.5</v>
      </c>
      <c r="AN798">
        <f t="shared" si="124"/>
        <v>5536.5</v>
      </c>
      <c r="AO798">
        <f t="shared" si="125"/>
        <v>0.875</v>
      </c>
      <c r="AP798" t="str">
        <f t="shared" si="126"/>
        <v>Under 30</v>
      </c>
      <c r="AQ798" t="str">
        <f t="shared" si="127"/>
        <v>Medium</v>
      </c>
      <c r="AR798" t="str">
        <f t="shared" si="128"/>
        <v>Short</v>
      </c>
      <c r="AS798">
        <f t="shared" si="129"/>
        <v>0</v>
      </c>
    </row>
    <row r="799" spans="1:4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s="20">
        <v>2377</v>
      </c>
      <c r="T799">
        <v>19373</v>
      </c>
      <c r="U799">
        <v>1</v>
      </c>
      <c r="V799" t="s">
        <v>42</v>
      </c>
      <c r="W799" t="s">
        <v>43</v>
      </c>
      <c r="X799" s="19">
        <v>20</v>
      </c>
      <c r="Y799">
        <v>4</v>
      </c>
      <c r="Z799">
        <v>3</v>
      </c>
      <c r="AA799">
        <v>80</v>
      </c>
      <c r="AB799">
        <v>1</v>
      </c>
      <c r="AC799">
        <v>1</v>
      </c>
      <c r="AD799">
        <v>0</v>
      </c>
      <c r="AE799">
        <v>2</v>
      </c>
      <c r="AF799">
        <v>1</v>
      </c>
      <c r="AG799">
        <v>1</v>
      </c>
      <c r="AH799">
        <v>0</v>
      </c>
      <c r="AI799">
        <v>0</v>
      </c>
      <c r="AJ799">
        <f t="shared" si="120"/>
        <v>1</v>
      </c>
      <c r="AK799">
        <f t="shared" si="121"/>
        <v>0</v>
      </c>
      <c r="AL799">
        <f t="shared" si="122"/>
        <v>1</v>
      </c>
      <c r="AM799">
        <f t="shared" si="123"/>
        <v>2.25</v>
      </c>
      <c r="AN799">
        <f t="shared" si="124"/>
        <v>14262</v>
      </c>
      <c r="AO799">
        <f t="shared" si="125"/>
        <v>0.5</v>
      </c>
      <c r="AP799" t="str">
        <f t="shared" si="126"/>
        <v>Under 30</v>
      </c>
      <c r="AQ799" t="str">
        <f t="shared" si="127"/>
        <v>Low</v>
      </c>
      <c r="AR799" t="str">
        <f t="shared" si="128"/>
        <v>Long</v>
      </c>
      <c r="AS799">
        <f t="shared" si="129"/>
        <v>0</v>
      </c>
    </row>
    <row r="800" spans="1:4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s="20">
        <v>2313</v>
      </c>
      <c r="T800">
        <v>2993</v>
      </c>
      <c r="U800">
        <v>4</v>
      </c>
      <c r="V800" t="s">
        <v>42</v>
      </c>
      <c r="W800" t="s">
        <v>35</v>
      </c>
      <c r="X800" s="19">
        <v>20</v>
      </c>
      <c r="Y800">
        <v>4</v>
      </c>
      <c r="Z800">
        <v>2</v>
      </c>
      <c r="AA800">
        <v>80</v>
      </c>
      <c r="AB800">
        <v>0</v>
      </c>
      <c r="AC800">
        <v>5</v>
      </c>
      <c r="AD800">
        <v>0</v>
      </c>
      <c r="AE800">
        <v>3</v>
      </c>
      <c r="AF800">
        <v>2</v>
      </c>
      <c r="AG800">
        <v>2</v>
      </c>
      <c r="AH800">
        <v>2</v>
      </c>
      <c r="AI800">
        <v>2</v>
      </c>
      <c r="AJ800">
        <f t="shared" si="120"/>
        <v>1</v>
      </c>
      <c r="AK800">
        <f t="shared" si="121"/>
        <v>1</v>
      </c>
      <c r="AL800">
        <f t="shared" si="122"/>
        <v>1</v>
      </c>
      <c r="AM800">
        <f t="shared" si="123"/>
        <v>2</v>
      </c>
      <c r="AN800">
        <f t="shared" si="124"/>
        <v>9252</v>
      </c>
      <c r="AO800">
        <f t="shared" si="125"/>
        <v>0.33333333333333331</v>
      </c>
      <c r="AP800" t="str">
        <f t="shared" si="126"/>
        <v>30-39</v>
      </c>
      <c r="AQ800" t="str">
        <f t="shared" si="127"/>
        <v>Low</v>
      </c>
      <c r="AR800" t="str">
        <f t="shared" si="128"/>
        <v>Long</v>
      </c>
      <c r="AS800">
        <f t="shared" si="129"/>
        <v>0</v>
      </c>
    </row>
    <row r="801" spans="1:4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s="20">
        <v>17665</v>
      </c>
      <c r="T801">
        <v>14399</v>
      </c>
      <c r="U801">
        <v>0</v>
      </c>
      <c r="V801" t="s">
        <v>42</v>
      </c>
      <c r="W801" t="s">
        <v>43</v>
      </c>
      <c r="X801" s="19">
        <v>17</v>
      </c>
      <c r="Y801">
        <v>3</v>
      </c>
      <c r="Z801">
        <v>4</v>
      </c>
      <c r="AA801">
        <v>80</v>
      </c>
      <c r="AB801">
        <v>1</v>
      </c>
      <c r="AC801">
        <v>23</v>
      </c>
      <c r="AD801">
        <v>3</v>
      </c>
      <c r="AE801">
        <v>3</v>
      </c>
      <c r="AF801">
        <v>22</v>
      </c>
      <c r="AG801">
        <v>6</v>
      </c>
      <c r="AH801">
        <v>13</v>
      </c>
      <c r="AI801">
        <v>7</v>
      </c>
      <c r="AJ801">
        <f t="shared" si="120"/>
        <v>0</v>
      </c>
      <c r="AK801">
        <f t="shared" si="121"/>
        <v>0</v>
      </c>
      <c r="AL801">
        <f t="shared" si="122"/>
        <v>1</v>
      </c>
      <c r="AM801">
        <f t="shared" si="123"/>
        <v>3</v>
      </c>
      <c r="AN801">
        <f t="shared" si="124"/>
        <v>9216.5217391304341</v>
      </c>
      <c r="AO801">
        <f t="shared" si="125"/>
        <v>0.91666666666666663</v>
      </c>
      <c r="AP801" t="str">
        <f t="shared" si="126"/>
        <v>40-49</v>
      </c>
      <c r="AQ801" t="str">
        <f t="shared" si="127"/>
        <v>Very High</v>
      </c>
      <c r="AR801" t="str">
        <f t="shared" si="128"/>
        <v>Short</v>
      </c>
      <c r="AS801">
        <f t="shared" si="129"/>
        <v>0</v>
      </c>
    </row>
    <row r="802" spans="1:4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s="20">
        <v>2674</v>
      </c>
      <c r="T802">
        <v>7160</v>
      </c>
      <c r="U802">
        <v>1</v>
      </c>
      <c r="V802" t="s">
        <v>42</v>
      </c>
      <c r="W802" t="s">
        <v>43</v>
      </c>
      <c r="X802" s="19">
        <v>15</v>
      </c>
      <c r="Y802">
        <v>3</v>
      </c>
      <c r="Z802">
        <v>1</v>
      </c>
      <c r="AA802">
        <v>80</v>
      </c>
      <c r="AB802">
        <v>2</v>
      </c>
      <c r="AC802">
        <v>1</v>
      </c>
      <c r="AD802">
        <v>2</v>
      </c>
      <c r="AE802">
        <v>3</v>
      </c>
      <c r="AF802">
        <v>1</v>
      </c>
      <c r="AG802">
        <v>0</v>
      </c>
      <c r="AH802">
        <v>0</v>
      </c>
      <c r="AI802">
        <v>0</v>
      </c>
      <c r="AJ802">
        <f t="shared" si="120"/>
        <v>1</v>
      </c>
      <c r="AK802">
        <f t="shared" si="121"/>
        <v>0</v>
      </c>
      <c r="AL802">
        <f t="shared" si="122"/>
        <v>1</v>
      </c>
      <c r="AM802">
        <f t="shared" si="123"/>
        <v>1.75</v>
      </c>
      <c r="AN802">
        <f t="shared" si="124"/>
        <v>16044</v>
      </c>
      <c r="AO802">
        <f t="shared" si="125"/>
        <v>0.5</v>
      </c>
      <c r="AP802" t="str">
        <f t="shared" si="126"/>
        <v>Under 30</v>
      </c>
      <c r="AQ802" t="str">
        <f t="shared" si="127"/>
        <v>Low</v>
      </c>
      <c r="AR802" t="str">
        <f t="shared" si="128"/>
        <v>Short</v>
      </c>
      <c r="AS802">
        <f t="shared" si="129"/>
        <v>1</v>
      </c>
    </row>
    <row r="803" spans="1:4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s="20">
        <v>4728</v>
      </c>
      <c r="T803">
        <v>17251</v>
      </c>
      <c r="U803">
        <v>3</v>
      </c>
      <c r="V803" t="s">
        <v>42</v>
      </c>
      <c r="W803" t="s">
        <v>35</v>
      </c>
      <c r="X803" s="19">
        <v>14</v>
      </c>
      <c r="Y803">
        <v>3</v>
      </c>
      <c r="Z803">
        <v>4</v>
      </c>
      <c r="AA803">
        <v>80</v>
      </c>
      <c r="AB803">
        <v>0</v>
      </c>
      <c r="AC803">
        <v>5</v>
      </c>
      <c r="AD803">
        <v>4</v>
      </c>
      <c r="AE803">
        <v>3</v>
      </c>
      <c r="AF803">
        <v>0</v>
      </c>
      <c r="AG803">
        <v>0</v>
      </c>
      <c r="AH803">
        <v>0</v>
      </c>
      <c r="AI803">
        <v>0</v>
      </c>
      <c r="AJ803">
        <f t="shared" si="120"/>
        <v>1</v>
      </c>
      <c r="AK803">
        <f t="shared" si="121"/>
        <v>1</v>
      </c>
      <c r="AL803">
        <f t="shared" si="122"/>
        <v>1</v>
      </c>
      <c r="AM803">
        <f t="shared" si="123"/>
        <v>3.5</v>
      </c>
      <c r="AN803">
        <f t="shared" si="124"/>
        <v>56736</v>
      </c>
      <c r="AO803">
        <f t="shared" si="125"/>
        <v>0</v>
      </c>
      <c r="AP803" t="str">
        <f t="shared" si="126"/>
        <v>50+</v>
      </c>
      <c r="AQ803" t="str">
        <f t="shared" si="127"/>
        <v>Medium</v>
      </c>
      <c r="AR803" t="str">
        <f t="shared" si="128"/>
        <v>Short</v>
      </c>
      <c r="AS803">
        <f t="shared" si="129"/>
        <v>1</v>
      </c>
    </row>
    <row r="804" spans="1:4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s="20">
        <v>4302</v>
      </c>
      <c r="T804">
        <v>13401</v>
      </c>
      <c r="U804">
        <v>0</v>
      </c>
      <c r="V804" t="s">
        <v>42</v>
      </c>
      <c r="W804" t="s">
        <v>43</v>
      </c>
      <c r="X804" s="19">
        <v>17</v>
      </c>
      <c r="Y804">
        <v>3</v>
      </c>
      <c r="Z804">
        <v>3</v>
      </c>
      <c r="AA804">
        <v>80</v>
      </c>
      <c r="AB804">
        <v>1</v>
      </c>
      <c r="AC804">
        <v>4</v>
      </c>
      <c r="AD804">
        <v>3</v>
      </c>
      <c r="AE804">
        <v>3</v>
      </c>
      <c r="AF804">
        <v>3</v>
      </c>
      <c r="AG804">
        <v>2</v>
      </c>
      <c r="AH804">
        <v>0</v>
      </c>
      <c r="AI804">
        <v>2</v>
      </c>
      <c r="AJ804">
        <f t="shared" si="120"/>
        <v>0</v>
      </c>
      <c r="AK804">
        <f t="shared" si="121"/>
        <v>0</v>
      </c>
      <c r="AL804">
        <f t="shared" si="122"/>
        <v>0</v>
      </c>
      <c r="AM804">
        <f t="shared" si="123"/>
        <v>3</v>
      </c>
      <c r="AN804">
        <f t="shared" si="124"/>
        <v>12906</v>
      </c>
      <c r="AO804">
        <f t="shared" si="125"/>
        <v>0.6</v>
      </c>
      <c r="AP804" t="str">
        <f t="shared" si="126"/>
        <v>30-39</v>
      </c>
      <c r="AQ804" t="str">
        <f t="shared" si="127"/>
        <v>Medium</v>
      </c>
      <c r="AR804" t="str">
        <f t="shared" si="128"/>
        <v>Medium</v>
      </c>
      <c r="AS804">
        <f t="shared" si="129"/>
        <v>1</v>
      </c>
    </row>
    <row r="805" spans="1:4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s="20">
        <v>2979</v>
      </c>
      <c r="T805">
        <v>22478</v>
      </c>
      <c r="U805">
        <v>3</v>
      </c>
      <c r="V805" t="s">
        <v>42</v>
      </c>
      <c r="W805" t="s">
        <v>43</v>
      </c>
      <c r="X805" s="19">
        <v>17</v>
      </c>
      <c r="Y805">
        <v>3</v>
      </c>
      <c r="Z805">
        <v>4</v>
      </c>
      <c r="AA805">
        <v>80</v>
      </c>
      <c r="AB805">
        <v>3</v>
      </c>
      <c r="AC805">
        <v>6</v>
      </c>
      <c r="AD805">
        <v>2</v>
      </c>
      <c r="AE805">
        <v>3</v>
      </c>
      <c r="AF805">
        <v>0</v>
      </c>
      <c r="AG805">
        <v>0</v>
      </c>
      <c r="AH805">
        <v>0</v>
      </c>
      <c r="AI805">
        <v>0</v>
      </c>
      <c r="AJ805">
        <f t="shared" si="120"/>
        <v>0</v>
      </c>
      <c r="AK805">
        <f t="shared" si="121"/>
        <v>0</v>
      </c>
      <c r="AL805">
        <f t="shared" si="122"/>
        <v>1</v>
      </c>
      <c r="AM805">
        <f t="shared" si="123"/>
        <v>3.5</v>
      </c>
      <c r="AN805">
        <f t="shared" si="124"/>
        <v>35748</v>
      </c>
      <c r="AO805">
        <f t="shared" si="125"/>
        <v>0</v>
      </c>
      <c r="AP805" t="str">
        <f t="shared" si="126"/>
        <v>30-39</v>
      </c>
      <c r="AQ805" t="str">
        <f t="shared" si="127"/>
        <v>Medium</v>
      </c>
      <c r="AR805" t="str">
        <f t="shared" si="128"/>
        <v>Short</v>
      </c>
      <c r="AS805">
        <f t="shared" si="129"/>
        <v>0</v>
      </c>
    </row>
    <row r="806" spans="1:4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s="20">
        <v>16885</v>
      </c>
      <c r="T806">
        <v>16154</v>
      </c>
      <c r="U806">
        <v>2</v>
      </c>
      <c r="V806" t="s">
        <v>42</v>
      </c>
      <c r="W806" t="s">
        <v>43</v>
      </c>
      <c r="X806" s="19">
        <v>22</v>
      </c>
      <c r="Y806">
        <v>4</v>
      </c>
      <c r="Z806">
        <v>3</v>
      </c>
      <c r="AA806">
        <v>80</v>
      </c>
      <c r="AB806">
        <v>0</v>
      </c>
      <c r="AC806">
        <v>27</v>
      </c>
      <c r="AD806">
        <v>3</v>
      </c>
      <c r="AE806">
        <v>2</v>
      </c>
      <c r="AF806">
        <v>5</v>
      </c>
      <c r="AG806">
        <v>4</v>
      </c>
      <c r="AH806">
        <v>2</v>
      </c>
      <c r="AI806">
        <v>1</v>
      </c>
      <c r="AJ806">
        <f t="shared" si="120"/>
        <v>0</v>
      </c>
      <c r="AK806">
        <f t="shared" si="121"/>
        <v>0</v>
      </c>
      <c r="AL806">
        <f t="shared" si="122"/>
        <v>1</v>
      </c>
      <c r="AM806">
        <f t="shared" si="123"/>
        <v>2.5</v>
      </c>
      <c r="AN806">
        <f t="shared" si="124"/>
        <v>33770</v>
      </c>
      <c r="AO806">
        <f t="shared" si="125"/>
        <v>0.17857142857142858</v>
      </c>
      <c r="AP806" t="str">
        <f t="shared" si="126"/>
        <v>40-49</v>
      </c>
      <c r="AQ806" t="str">
        <f t="shared" si="127"/>
        <v>Very High</v>
      </c>
      <c r="AR806" t="str">
        <f t="shared" si="128"/>
        <v>Short</v>
      </c>
      <c r="AS806">
        <f t="shared" si="129"/>
        <v>0</v>
      </c>
    </row>
    <row r="807" spans="1:4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s="20">
        <v>5593</v>
      </c>
      <c r="T807">
        <v>17970</v>
      </c>
      <c r="U807">
        <v>1</v>
      </c>
      <c r="V807" t="s">
        <v>42</v>
      </c>
      <c r="W807" t="s">
        <v>43</v>
      </c>
      <c r="X807" s="19">
        <v>13</v>
      </c>
      <c r="Y807">
        <v>3</v>
      </c>
      <c r="Z807">
        <v>4</v>
      </c>
      <c r="AA807">
        <v>80</v>
      </c>
      <c r="AB807">
        <v>1</v>
      </c>
      <c r="AC807">
        <v>15</v>
      </c>
      <c r="AD807">
        <v>2</v>
      </c>
      <c r="AE807">
        <v>3</v>
      </c>
      <c r="AF807">
        <v>15</v>
      </c>
      <c r="AG807">
        <v>10</v>
      </c>
      <c r="AH807">
        <v>4</v>
      </c>
      <c r="AI807">
        <v>12</v>
      </c>
      <c r="AJ807">
        <f t="shared" si="120"/>
        <v>0</v>
      </c>
      <c r="AK807">
        <f t="shared" si="121"/>
        <v>0</v>
      </c>
      <c r="AL807">
        <f t="shared" si="122"/>
        <v>0</v>
      </c>
      <c r="AM807">
        <f t="shared" si="123"/>
        <v>3</v>
      </c>
      <c r="AN807">
        <f t="shared" si="124"/>
        <v>4194.75</v>
      </c>
      <c r="AO807">
        <f t="shared" si="125"/>
        <v>0.9375</v>
      </c>
      <c r="AP807" t="str">
        <f t="shared" si="126"/>
        <v>40-49</v>
      </c>
      <c r="AQ807" t="str">
        <f t="shared" si="127"/>
        <v>High</v>
      </c>
      <c r="AR807" t="str">
        <f t="shared" si="128"/>
        <v>Medium</v>
      </c>
      <c r="AS807">
        <f t="shared" si="129"/>
        <v>0</v>
      </c>
    </row>
    <row r="808" spans="1:4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s="20">
        <v>10445</v>
      </c>
      <c r="T808">
        <v>15322</v>
      </c>
      <c r="U808">
        <v>7</v>
      </c>
      <c r="V808" t="s">
        <v>42</v>
      </c>
      <c r="W808" t="s">
        <v>43</v>
      </c>
      <c r="X808" s="19">
        <v>19</v>
      </c>
      <c r="Y808">
        <v>3</v>
      </c>
      <c r="Z808">
        <v>4</v>
      </c>
      <c r="AA808">
        <v>80</v>
      </c>
      <c r="AB808">
        <v>0</v>
      </c>
      <c r="AC808">
        <v>18</v>
      </c>
      <c r="AD808">
        <v>4</v>
      </c>
      <c r="AE808">
        <v>3</v>
      </c>
      <c r="AF808">
        <v>8</v>
      </c>
      <c r="AG808">
        <v>6</v>
      </c>
      <c r="AH808">
        <v>4</v>
      </c>
      <c r="AI808">
        <v>0</v>
      </c>
      <c r="AJ808">
        <f t="shared" si="120"/>
        <v>0</v>
      </c>
      <c r="AK808">
        <f t="shared" si="121"/>
        <v>0</v>
      </c>
      <c r="AL808">
        <f t="shared" si="122"/>
        <v>1</v>
      </c>
      <c r="AM808">
        <f t="shared" si="123"/>
        <v>2.75</v>
      </c>
      <c r="AN808">
        <f t="shared" si="124"/>
        <v>13926.666666666666</v>
      </c>
      <c r="AO808">
        <f t="shared" si="125"/>
        <v>0.42105263157894735</v>
      </c>
      <c r="AP808" t="str">
        <f t="shared" si="126"/>
        <v>50+</v>
      </c>
      <c r="AQ808" t="str">
        <f t="shared" si="127"/>
        <v>Very High</v>
      </c>
      <c r="AR808" t="str">
        <f t="shared" si="128"/>
        <v>Medium</v>
      </c>
      <c r="AS808">
        <f t="shared" si="129"/>
        <v>0</v>
      </c>
    </row>
    <row r="809" spans="1:4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s="20">
        <v>8740</v>
      </c>
      <c r="T809">
        <v>5569</v>
      </c>
      <c r="U809">
        <v>0</v>
      </c>
      <c r="V809" t="s">
        <v>42</v>
      </c>
      <c r="W809" t="s">
        <v>35</v>
      </c>
      <c r="X809" s="19">
        <v>14</v>
      </c>
      <c r="Y809">
        <v>3</v>
      </c>
      <c r="Z809">
        <v>2</v>
      </c>
      <c r="AA809">
        <v>80</v>
      </c>
      <c r="AB809">
        <v>2</v>
      </c>
      <c r="AC809">
        <v>9</v>
      </c>
      <c r="AD809">
        <v>2</v>
      </c>
      <c r="AE809">
        <v>3</v>
      </c>
      <c r="AF809">
        <v>8</v>
      </c>
      <c r="AG809">
        <v>7</v>
      </c>
      <c r="AH809">
        <v>2</v>
      </c>
      <c r="AI809">
        <v>7</v>
      </c>
      <c r="AJ809">
        <f t="shared" si="120"/>
        <v>0</v>
      </c>
      <c r="AK809">
        <f t="shared" si="121"/>
        <v>1</v>
      </c>
      <c r="AL809">
        <f t="shared" si="122"/>
        <v>1</v>
      </c>
      <c r="AM809">
        <f t="shared" si="123"/>
        <v>2.75</v>
      </c>
      <c r="AN809">
        <f t="shared" si="124"/>
        <v>11653.333333333334</v>
      </c>
      <c r="AO809">
        <f t="shared" si="125"/>
        <v>0.8</v>
      </c>
      <c r="AP809" t="str">
        <f t="shared" si="126"/>
        <v>30-39</v>
      </c>
      <c r="AQ809" t="str">
        <f t="shared" si="127"/>
        <v>Very High</v>
      </c>
      <c r="AR809" t="str">
        <f t="shared" si="128"/>
        <v>Medium</v>
      </c>
      <c r="AS809">
        <f t="shared" si="129"/>
        <v>0</v>
      </c>
    </row>
    <row r="810" spans="1:4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s="20">
        <v>2514</v>
      </c>
      <c r="T810">
        <v>26968</v>
      </c>
      <c r="U810">
        <v>4</v>
      </c>
      <c r="V810" t="s">
        <v>42</v>
      </c>
      <c r="W810" t="s">
        <v>43</v>
      </c>
      <c r="X810" s="19">
        <v>22</v>
      </c>
      <c r="Y810">
        <v>4</v>
      </c>
      <c r="Z810">
        <v>1</v>
      </c>
      <c r="AA810">
        <v>80</v>
      </c>
      <c r="AB810">
        <v>1</v>
      </c>
      <c r="AC810">
        <v>11</v>
      </c>
      <c r="AD810">
        <v>1</v>
      </c>
      <c r="AE810">
        <v>3</v>
      </c>
      <c r="AF810">
        <v>7</v>
      </c>
      <c r="AG810">
        <v>5</v>
      </c>
      <c r="AH810">
        <v>1</v>
      </c>
      <c r="AI810">
        <v>7</v>
      </c>
      <c r="AJ810">
        <f t="shared" si="120"/>
        <v>0</v>
      </c>
      <c r="AK810">
        <f t="shared" si="121"/>
        <v>0</v>
      </c>
      <c r="AL810">
        <f t="shared" si="122"/>
        <v>0</v>
      </c>
      <c r="AM810">
        <f t="shared" si="123"/>
        <v>2.75</v>
      </c>
      <c r="AN810">
        <f t="shared" si="124"/>
        <v>3771</v>
      </c>
      <c r="AO810">
        <f t="shared" si="125"/>
        <v>0.58333333333333337</v>
      </c>
      <c r="AP810" t="str">
        <f t="shared" si="126"/>
        <v>Under 30</v>
      </c>
      <c r="AQ810" t="str">
        <f t="shared" si="127"/>
        <v>Low</v>
      </c>
      <c r="AR810" t="str">
        <f t="shared" si="128"/>
        <v>Long</v>
      </c>
      <c r="AS810">
        <f t="shared" si="129"/>
        <v>0</v>
      </c>
    </row>
    <row r="811" spans="1:4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s="20">
        <v>7655</v>
      </c>
      <c r="T811">
        <v>8039</v>
      </c>
      <c r="U811">
        <v>0</v>
      </c>
      <c r="V811" t="s">
        <v>42</v>
      </c>
      <c r="W811" t="s">
        <v>43</v>
      </c>
      <c r="X811" s="19">
        <v>17</v>
      </c>
      <c r="Y811">
        <v>3</v>
      </c>
      <c r="Z811">
        <v>2</v>
      </c>
      <c r="AA811">
        <v>80</v>
      </c>
      <c r="AB811">
        <v>3</v>
      </c>
      <c r="AC811">
        <v>10</v>
      </c>
      <c r="AD811">
        <v>3</v>
      </c>
      <c r="AE811">
        <v>2</v>
      </c>
      <c r="AF811">
        <v>9</v>
      </c>
      <c r="AG811">
        <v>7</v>
      </c>
      <c r="AH811">
        <v>1</v>
      </c>
      <c r="AI811">
        <v>7</v>
      </c>
      <c r="AJ811">
        <f t="shared" si="120"/>
        <v>0</v>
      </c>
      <c r="AK811">
        <f t="shared" si="121"/>
        <v>0</v>
      </c>
      <c r="AL811">
        <f t="shared" si="122"/>
        <v>0</v>
      </c>
      <c r="AM811">
        <f t="shared" si="123"/>
        <v>2.5</v>
      </c>
      <c r="AN811">
        <f t="shared" si="124"/>
        <v>9186</v>
      </c>
      <c r="AO811">
        <f t="shared" si="125"/>
        <v>0.81818181818181823</v>
      </c>
      <c r="AP811" t="str">
        <f t="shared" si="126"/>
        <v>Under 30</v>
      </c>
      <c r="AQ811" t="str">
        <f t="shared" si="127"/>
        <v>High</v>
      </c>
      <c r="AR811" t="str">
        <f t="shared" si="128"/>
        <v>Short</v>
      </c>
      <c r="AS811">
        <f t="shared" si="129"/>
        <v>0</v>
      </c>
    </row>
    <row r="812" spans="1:4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s="20">
        <v>17465</v>
      </c>
      <c r="T812">
        <v>15596</v>
      </c>
      <c r="U812">
        <v>3</v>
      </c>
      <c r="V812" t="s">
        <v>42</v>
      </c>
      <c r="W812" t="s">
        <v>43</v>
      </c>
      <c r="X812" s="19">
        <v>12</v>
      </c>
      <c r="Y812">
        <v>3</v>
      </c>
      <c r="Z812">
        <v>4</v>
      </c>
      <c r="AA812">
        <v>80</v>
      </c>
      <c r="AB812">
        <v>1</v>
      </c>
      <c r="AC812">
        <v>23</v>
      </c>
      <c r="AD812">
        <v>3</v>
      </c>
      <c r="AE812">
        <v>3</v>
      </c>
      <c r="AF812">
        <v>12</v>
      </c>
      <c r="AG812">
        <v>9</v>
      </c>
      <c r="AH812">
        <v>4</v>
      </c>
      <c r="AI812">
        <v>9</v>
      </c>
      <c r="AJ812">
        <f t="shared" si="120"/>
        <v>0</v>
      </c>
      <c r="AK812">
        <f t="shared" si="121"/>
        <v>0</v>
      </c>
      <c r="AL812">
        <f t="shared" si="122"/>
        <v>1</v>
      </c>
      <c r="AM812">
        <f t="shared" si="123"/>
        <v>2.75</v>
      </c>
      <c r="AN812">
        <f t="shared" si="124"/>
        <v>16121.538461538461</v>
      </c>
      <c r="AO812">
        <f t="shared" si="125"/>
        <v>0.5</v>
      </c>
      <c r="AP812" t="str">
        <f t="shared" si="126"/>
        <v>40-49</v>
      </c>
      <c r="AQ812" t="str">
        <f t="shared" si="127"/>
        <v>Very High</v>
      </c>
      <c r="AR812" t="str">
        <f t="shared" si="128"/>
        <v>Short</v>
      </c>
      <c r="AS812">
        <f t="shared" si="129"/>
        <v>0</v>
      </c>
    </row>
    <row r="813" spans="1:4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s="20">
        <v>7351</v>
      </c>
      <c r="T813">
        <v>20619</v>
      </c>
      <c r="U813">
        <v>7</v>
      </c>
      <c r="V813" t="s">
        <v>42</v>
      </c>
      <c r="W813" t="s">
        <v>43</v>
      </c>
      <c r="X813" s="19">
        <v>16</v>
      </c>
      <c r="Y813">
        <v>3</v>
      </c>
      <c r="Z813">
        <v>3</v>
      </c>
      <c r="AA813">
        <v>80</v>
      </c>
      <c r="AB813">
        <v>0</v>
      </c>
      <c r="AC813">
        <v>10</v>
      </c>
      <c r="AD813">
        <v>2</v>
      </c>
      <c r="AE813">
        <v>3</v>
      </c>
      <c r="AF813">
        <v>1</v>
      </c>
      <c r="AG813">
        <v>0</v>
      </c>
      <c r="AH813">
        <v>0</v>
      </c>
      <c r="AI813">
        <v>0</v>
      </c>
      <c r="AJ813">
        <f t="shared" si="120"/>
        <v>0</v>
      </c>
      <c r="AK813">
        <f t="shared" si="121"/>
        <v>0</v>
      </c>
      <c r="AL813">
        <f t="shared" si="122"/>
        <v>1</v>
      </c>
      <c r="AM813">
        <f t="shared" si="123"/>
        <v>3</v>
      </c>
      <c r="AN813">
        <f t="shared" si="124"/>
        <v>44106</v>
      </c>
      <c r="AO813">
        <f t="shared" si="125"/>
        <v>9.0909090909090912E-2</v>
      </c>
      <c r="AP813" t="str">
        <f t="shared" si="126"/>
        <v>30-39</v>
      </c>
      <c r="AQ813" t="str">
        <f t="shared" si="127"/>
        <v>High</v>
      </c>
      <c r="AR813" t="str">
        <f t="shared" si="128"/>
        <v>Short</v>
      </c>
      <c r="AS813">
        <f t="shared" si="129"/>
        <v>0</v>
      </c>
    </row>
    <row r="814" spans="1:4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s="20">
        <v>10820</v>
      </c>
      <c r="T814">
        <v>11535</v>
      </c>
      <c r="U814">
        <v>8</v>
      </c>
      <c r="V814" t="s">
        <v>42</v>
      </c>
      <c r="W814" t="s">
        <v>43</v>
      </c>
      <c r="X814" s="19">
        <v>11</v>
      </c>
      <c r="Y814">
        <v>3</v>
      </c>
      <c r="Z814">
        <v>3</v>
      </c>
      <c r="AA814">
        <v>80</v>
      </c>
      <c r="AB814">
        <v>1</v>
      </c>
      <c r="AC814">
        <v>18</v>
      </c>
      <c r="AD814">
        <v>1</v>
      </c>
      <c r="AE814">
        <v>3</v>
      </c>
      <c r="AF814">
        <v>8</v>
      </c>
      <c r="AG814">
        <v>7</v>
      </c>
      <c r="AH814">
        <v>0</v>
      </c>
      <c r="AI814">
        <v>1</v>
      </c>
      <c r="AJ814">
        <f t="shared" si="120"/>
        <v>0</v>
      </c>
      <c r="AK814">
        <f t="shared" si="121"/>
        <v>0</v>
      </c>
      <c r="AL814">
        <f t="shared" si="122"/>
        <v>0</v>
      </c>
      <c r="AM814">
        <f t="shared" si="123"/>
        <v>2.5</v>
      </c>
      <c r="AN814">
        <f t="shared" si="124"/>
        <v>14426.666666666666</v>
      </c>
      <c r="AO814">
        <f t="shared" si="125"/>
        <v>0.42105263157894735</v>
      </c>
      <c r="AP814" t="str">
        <f t="shared" si="126"/>
        <v>40-49</v>
      </c>
      <c r="AQ814" t="str">
        <f t="shared" si="127"/>
        <v>Very High</v>
      </c>
      <c r="AR814" t="str">
        <f t="shared" si="128"/>
        <v>Long</v>
      </c>
      <c r="AS814">
        <f t="shared" si="129"/>
        <v>1</v>
      </c>
    </row>
    <row r="815" spans="1:4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s="20">
        <v>12169</v>
      </c>
      <c r="T815">
        <v>13547</v>
      </c>
      <c r="U815">
        <v>7</v>
      </c>
      <c r="V815" t="s">
        <v>42</v>
      </c>
      <c r="W815" t="s">
        <v>43</v>
      </c>
      <c r="X815" s="19">
        <v>11</v>
      </c>
      <c r="Y815">
        <v>3</v>
      </c>
      <c r="Z815">
        <v>4</v>
      </c>
      <c r="AA815">
        <v>80</v>
      </c>
      <c r="AB815">
        <v>3</v>
      </c>
      <c r="AC815">
        <v>21</v>
      </c>
      <c r="AD815">
        <v>4</v>
      </c>
      <c r="AE815">
        <v>3</v>
      </c>
      <c r="AF815">
        <v>18</v>
      </c>
      <c r="AG815">
        <v>7</v>
      </c>
      <c r="AH815">
        <v>11</v>
      </c>
      <c r="AI815">
        <v>5</v>
      </c>
      <c r="AJ815">
        <f t="shared" si="120"/>
        <v>1</v>
      </c>
      <c r="AK815">
        <f t="shared" si="121"/>
        <v>0</v>
      </c>
      <c r="AL815">
        <f t="shared" si="122"/>
        <v>1</v>
      </c>
      <c r="AM815">
        <f t="shared" si="123"/>
        <v>3</v>
      </c>
      <c r="AN815">
        <f t="shared" si="124"/>
        <v>7685.6842105263158</v>
      </c>
      <c r="AO815">
        <f t="shared" si="125"/>
        <v>0.81818181818181823</v>
      </c>
      <c r="AP815" t="str">
        <f t="shared" si="126"/>
        <v>30-39</v>
      </c>
      <c r="AQ815" t="str">
        <f t="shared" si="127"/>
        <v>Very High</v>
      </c>
      <c r="AR815" t="str">
        <f t="shared" si="128"/>
        <v>Short</v>
      </c>
      <c r="AS815">
        <f t="shared" si="129"/>
        <v>1</v>
      </c>
    </row>
    <row r="816" spans="1:4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s="20">
        <v>19626</v>
      </c>
      <c r="T816">
        <v>17544</v>
      </c>
      <c r="U816">
        <v>1</v>
      </c>
      <c r="V816" t="s">
        <v>42</v>
      </c>
      <c r="W816" t="s">
        <v>43</v>
      </c>
      <c r="X816" s="19">
        <v>14</v>
      </c>
      <c r="Y816">
        <v>3</v>
      </c>
      <c r="Z816">
        <v>1</v>
      </c>
      <c r="AA816">
        <v>80</v>
      </c>
      <c r="AB816">
        <v>0</v>
      </c>
      <c r="AC816">
        <v>21</v>
      </c>
      <c r="AD816">
        <v>2</v>
      </c>
      <c r="AE816">
        <v>4</v>
      </c>
      <c r="AF816">
        <v>20</v>
      </c>
      <c r="AG816">
        <v>7</v>
      </c>
      <c r="AH816">
        <v>4</v>
      </c>
      <c r="AI816">
        <v>9</v>
      </c>
      <c r="AJ816">
        <f t="shared" si="120"/>
        <v>0</v>
      </c>
      <c r="AK816">
        <f t="shared" si="121"/>
        <v>0</v>
      </c>
      <c r="AL816">
        <f t="shared" si="122"/>
        <v>1</v>
      </c>
      <c r="AM816">
        <f t="shared" si="123"/>
        <v>2.75</v>
      </c>
      <c r="AN816">
        <f t="shared" si="124"/>
        <v>11214.857142857143</v>
      </c>
      <c r="AO816">
        <f t="shared" si="125"/>
        <v>0.90909090909090906</v>
      </c>
      <c r="AP816" t="str">
        <f t="shared" si="126"/>
        <v>40-49</v>
      </c>
      <c r="AQ816" t="str">
        <f t="shared" si="127"/>
        <v>Very High</v>
      </c>
      <c r="AR816" t="str">
        <f t="shared" si="128"/>
        <v>Medium</v>
      </c>
      <c r="AS816">
        <f t="shared" si="129"/>
        <v>0</v>
      </c>
    </row>
    <row r="817" spans="1:4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s="20">
        <v>2070</v>
      </c>
      <c r="T817">
        <v>25326</v>
      </c>
      <c r="U817">
        <v>1</v>
      </c>
      <c r="V817" t="s">
        <v>42</v>
      </c>
      <c r="W817" t="s">
        <v>35</v>
      </c>
      <c r="X817" s="19">
        <v>11</v>
      </c>
      <c r="Y817">
        <v>3</v>
      </c>
      <c r="Z817">
        <v>3</v>
      </c>
      <c r="AA817">
        <v>80</v>
      </c>
      <c r="AB817">
        <v>0</v>
      </c>
      <c r="AC817">
        <v>2</v>
      </c>
      <c r="AD817">
        <v>6</v>
      </c>
      <c r="AE817">
        <v>4</v>
      </c>
      <c r="AF817">
        <v>2</v>
      </c>
      <c r="AG817">
        <v>2</v>
      </c>
      <c r="AH817">
        <v>2</v>
      </c>
      <c r="AI817">
        <v>2</v>
      </c>
      <c r="AJ817">
        <f t="shared" si="120"/>
        <v>0</v>
      </c>
      <c r="AK817">
        <f t="shared" si="121"/>
        <v>1</v>
      </c>
      <c r="AL817">
        <f t="shared" si="122"/>
        <v>0</v>
      </c>
      <c r="AM817">
        <f t="shared" si="123"/>
        <v>3.25</v>
      </c>
      <c r="AN817">
        <f t="shared" si="124"/>
        <v>8280</v>
      </c>
      <c r="AO817">
        <f t="shared" si="125"/>
        <v>0.66666666666666663</v>
      </c>
      <c r="AP817" t="str">
        <f t="shared" si="126"/>
        <v>Under 30</v>
      </c>
      <c r="AQ817" t="str">
        <f t="shared" si="127"/>
        <v>Low</v>
      </c>
      <c r="AR817" t="str">
        <f t="shared" si="128"/>
        <v>Short</v>
      </c>
      <c r="AS817">
        <f t="shared" si="129"/>
        <v>0</v>
      </c>
    </row>
    <row r="818" spans="1:4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s="20">
        <v>6782</v>
      </c>
      <c r="T818">
        <v>8770</v>
      </c>
      <c r="U818">
        <v>9</v>
      </c>
      <c r="V818" t="s">
        <v>42</v>
      </c>
      <c r="W818" t="s">
        <v>43</v>
      </c>
      <c r="X818" s="19">
        <v>15</v>
      </c>
      <c r="Y818">
        <v>3</v>
      </c>
      <c r="Z818">
        <v>3</v>
      </c>
      <c r="AA818">
        <v>80</v>
      </c>
      <c r="AB818">
        <v>0</v>
      </c>
      <c r="AC818">
        <v>9</v>
      </c>
      <c r="AD818">
        <v>2</v>
      </c>
      <c r="AE818">
        <v>2</v>
      </c>
      <c r="AF818">
        <v>5</v>
      </c>
      <c r="AG818">
        <v>4</v>
      </c>
      <c r="AH818">
        <v>0</v>
      </c>
      <c r="AI818">
        <v>3</v>
      </c>
      <c r="AJ818">
        <f t="shared" si="120"/>
        <v>0</v>
      </c>
      <c r="AK818">
        <f t="shared" si="121"/>
        <v>0</v>
      </c>
      <c r="AL818">
        <f t="shared" si="122"/>
        <v>1</v>
      </c>
      <c r="AM818">
        <f t="shared" si="123"/>
        <v>2.5</v>
      </c>
      <c r="AN818">
        <f t="shared" si="124"/>
        <v>13564</v>
      </c>
      <c r="AO818">
        <f t="shared" si="125"/>
        <v>0.5</v>
      </c>
      <c r="AP818" t="str">
        <f t="shared" si="126"/>
        <v>30-39</v>
      </c>
      <c r="AQ818" t="str">
        <f t="shared" si="127"/>
        <v>High</v>
      </c>
      <c r="AR818" t="str">
        <f t="shared" si="128"/>
        <v>Medium</v>
      </c>
      <c r="AS818">
        <f t="shared" si="129"/>
        <v>0</v>
      </c>
    </row>
    <row r="819" spans="1:4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s="20">
        <v>7779</v>
      </c>
      <c r="T819">
        <v>23238</v>
      </c>
      <c r="U819">
        <v>2</v>
      </c>
      <c r="V819" t="s">
        <v>42</v>
      </c>
      <c r="W819" t="s">
        <v>43</v>
      </c>
      <c r="X819" s="19">
        <v>20</v>
      </c>
      <c r="Y819">
        <v>4</v>
      </c>
      <c r="Z819">
        <v>1</v>
      </c>
      <c r="AA819">
        <v>80</v>
      </c>
      <c r="AB819">
        <v>0</v>
      </c>
      <c r="AC819">
        <v>18</v>
      </c>
      <c r="AD819">
        <v>0</v>
      </c>
      <c r="AE819">
        <v>3</v>
      </c>
      <c r="AF819">
        <v>11</v>
      </c>
      <c r="AG819">
        <v>9</v>
      </c>
      <c r="AH819">
        <v>0</v>
      </c>
      <c r="AI819">
        <v>9</v>
      </c>
      <c r="AJ819">
        <f t="shared" si="120"/>
        <v>0</v>
      </c>
      <c r="AK819">
        <f t="shared" si="121"/>
        <v>0</v>
      </c>
      <c r="AL819">
        <f t="shared" si="122"/>
        <v>1</v>
      </c>
      <c r="AM819">
        <f t="shared" si="123"/>
        <v>2.25</v>
      </c>
      <c r="AN819">
        <f t="shared" si="124"/>
        <v>7779</v>
      </c>
      <c r="AO819">
        <f t="shared" si="125"/>
        <v>0.57894736842105265</v>
      </c>
      <c r="AP819" t="str">
        <f t="shared" si="126"/>
        <v>30-39</v>
      </c>
      <c r="AQ819" t="str">
        <f t="shared" si="127"/>
        <v>High</v>
      </c>
      <c r="AR819" t="str">
        <f t="shared" si="128"/>
        <v>Long</v>
      </c>
      <c r="AS819">
        <f t="shared" si="129"/>
        <v>0</v>
      </c>
    </row>
    <row r="820" spans="1:4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s="20">
        <v>2791</v>
      </c>
      <c r="T820">
        <v>21981</v>
      </c>
      <c r="U820">
        <v>0</v>
      </c>
      <c r="V820" t="s">
        <v>42</v>
      </c>
      <c r="W820" t="s">
        <v>43</v>
      </c>
      <c r="X820" s="19">
        <v>12</v>
      </c>
      <c r="Y820">
        <v>3</v>
      </c>
      <c r="Z820">
        <v>1</v>
      </c>
      <c r="AA820">
        <v>80</v>
      </c>
      <c r="AB820">
        <v>1</v>
      </c>
      <c r="AC820">
        <v>3</v>
      </c>
      <c r="AD820">
        <v>4</v>
      </c>
      <c r="AE820">
        <v>3</v>
      </c>
      <c r="AF820">
        <v>2</v>
      </c>
      <c r="AG820">
        <v>2</v>
      </c>
      <c r="AH820">
        <v>2</v>
      </c>
      <c r="AI820">
        <v>2</v>
      </c>
      <c r="AJ820">
        <f t="shared" si="120"/>
        <v>0</v>
      </c>
      <c r="AK820">
        <f t="shared" si="121"/>
        <v>0</v>
      </c>
      <c r="AL820">
        <f t="shared" si="122"/>
        <v>1</v>
      </c>
      <c r="AM820">
        <f t="shared" si="123"/>
        <v>2.75</v>
      </c>
      <c r="AN820">
        <f t="shared" si="124"/>
        <v>11164</v>
      </c>
      <c r="AO820">
        <f t="shared" si="125"/>
        <v>0.5</v>
      </c>
      <c r="AP820" t="str">
        <f t="shared" si="126"/>
        <v>30-39</v>
      </c>
      <c r="AQ820" t="str">
        <f t="shared" si="127"/>
        <v>Low</v>
      </c>
      <c r="AR820" t="str">
        <f t="shared" si="128"/>
        <v>Long</v>
      </c>
      <c r="AS820">
        <f t="shared" si="129"/>
        <v>1</v>
      </c>
    </row>
    <row r="821" spans="1:4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s="20">
        <v>3201</v>
      </c>
      <c r="T821">
        <v>19911</v>
      </c>
      <c r="U821">
        <v>0</v>
      </c>
      <c r="V821" t="s">
        <v>42</v>
      </c>
      <c r="W821" t="s">
        <v>43</v>
      </c>
      <c r="X821" s="19">
        <v>17</v>
      </c>
      <c r="Y821">
        <v>3</v>
      </c>
      <c r="Z821">
        <v>1</v>
      </c>
      <c r="AA821">
        <v>80</v>
      </c>
      <c r="AB821">
        <v>0</v>
      </c>
      <c r="AC821">
        <v>6</v>
      </c>
      <c r="AD821">
        <v>2</v>
      </c>
      <c r="AE821">
        <v>1</v>
      </c>
      <c r="AF821">
        <v>5</v>
      </c>
      <c r="AG821">
        <v>3</v>
      </c>
      <c r="AH821">
        <v>0</v>
      </c>
      <c r="AI821">
        <v>4</v>
      </c>
      <c r="AJ821">
        <f t="shared" si="120"/>
        <v>0</v>
      </c>
      <c r="AK821">
        <f t="shared" si="121"/>
        <v>0</v>
      </c>
      <c r="AL821">
        <f t="shared" si="122"/>
        <v>1</v>
      </c>
      <c r="AM821">
        <f t="shared" si="123"/>
        <v>1.25</v>
      </c>
      <c r="AN821">
        <f t="shared" si="124"/>
        <v>6402</v>
      </c>
      <c r="AO821">
        <f t="shared" si="125"/>
        <v>0.7142857142857143</v>
      </c>
      <c r="AP821" t="str">
        <f t="shared" si="126"/>
        <v>Under 30</v>
      </c>
      <c r="AQ821" t="str">
        <f t="shared" si="127"/>
        <v>Medium</v>
      </c>
      <c r="AR821" t="str">
        <f t="shared" si="128"/>
        <v>Short</v>
      </c>
      <c r="AS821">
        <f t="shared" si="129"/>
        <v>0</v>
      </c>
    </row>
    <row r="822" spans="1:4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s="20">
        <v>4968</v>
      </c>
      <c r="T822">
        <v>18500</v>
      </c>
      <c r="U822">
        <v>1</v>
      </c>
      <c r="V822" t="s">
        <v>42</v>
      </c>
      <c r="W822" t="s">
        <v>43</v>
      </c>
      <c r="X822" s="19">
        <v>11</v>
      </c>
      <c r="Y822">
        <v>3</v>
      </c>
      <c r="Z822">
        <v>4</v>
      </c>
      <c r="AA822">
        <v>80</v>
      </c>
      <c r="AB822">
        <v>1</v>
      </c>
      <c r="AC822">
        <v>5</v>
      </c>
      <c r="AD822">
        <v>3</v>
      </c>
      <c r="AE822">
        <v>3</v>
      </c>
      <c r="AF822">
        <v>5</v>
      </c>
      <c r="AG822">
        <v>2</v>
      </c>
      <c r="AH822">
        <v>0</v>
      </c>
      <c r="AI822">
        <v>2</v>
      </c>
      <c r="AJ822">
        <f t="shared" si="120"/>
        <v>0</v>
      </c>
      <c r="AK822">
        <f t="shared" si="121"/>
        <v>0</v>
      </c>
      <c r="AL822">
        <f t="shared" si="122"/>
        <v>1</v>
      </c>
      <c r="AM822">
        <f t="shared" si="123"/>
        <v>3.75</v>
      </c>
      <c r="AN822">
        <f t="shared" si="124"/>
        <v>9936</v>
      </c>
      <c r="AO822">
        <f t="shared" si="125"/>
        <v>0.83333333333333337</v>
      </c>
      <c r="AP822" t="str">
        <f t="shared" si="126"/>
        <v>30-39</v>
      </c>
      <c r="AQ822" t="str">
        <f t="shared" si="127"/>
        <v>High</v>
      </c>
      <c r="AR822" t="str">
        <f t="shared" si="128"/>
        <v>Medium</v>
      </c>
      <c r="AS822">
        <f t="shared" si="129"/>
        <v>1</v>
      </c>
    </row>
    <row r="823" spans="1:4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s="20">
        <v>13120</v>
      </c>
      <c r="T823">
        <v>11879</v>
      </c>
      <c r="U823">
        <v>6</v>
      </c>
      <c r="V823" t="s">
        <v>42</v>
      </c>
      <c r="W823" t="s">
        <v>43</v>
      </c>
      <c r="X823" s="19">
        <v>17</v>
      </c>
      <c r="Y823">
        <v>3</v>
      </c>
      <c r="Z823">
        <v>2</v>
      </c>
      <c r="AA823">
        <v>80</v>
      </c>
      <c r="AB823">
        <v>1</v>
      </c>
      <c r="AC823">
        <v>22</v>
      </c>
      <c r="AD823">
        <v>3</v>
      </c>
      <c r="AE823">
        <v>3</v>
      </c>
      <c r="AF823">
        <v>9</v>
      </c>
      <c r="AG823">
        <v>8</v>
      </c>
      <c r="AH823">
        <v>2</v>
      </c>
      <c r="AI823">
        <v>3</v>
      </c>
      <c r="AJ823">
        <f t="shared" si="120"/>
        <v>0</v>
      </c>
      <c r="AK823">
        <f t="shared" si="121"/>
        <v>0</v>
      </c>
      <c r="AL823">
        <f t="shared" si="122"/>
        <v>1</v>
      </c>
      <c r="AM823">
        <f t="shared" si="123"/>
        <v>2.75</v>
      </c>
      <c r="AN823">
        <f t="shared" si="124"/>
        <v>15744</v>
      </c>
      <c r="AO823">
        <f t="shared" si="125"/>
        <v>0.39130434782608697</v>
      </c>
      <c r="AP823" t="str">
        <f t="shared" si="126"/>
        <v>40-49</v>
      </c>
      <c r="AQ823" t="str">
        <f t="shared" si="127"/>
        <v>Very High</v>
      </c>
      <c r="AR823" t="str">
        <f t="shared" si="128"/>
        <v>Medium</v>
      </c>
      <c r="AS823">
        <f t="shared" si="129"/>
        <v>0</v>
      </c>
    </row>
    <row r="824" spans="1:4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s="20">
        <v>4033</v>
      </c>
      <c r="T824">
        <v>15834</v>
      </c>
      <c r="U824">
        <v>2</v>
      </c>
      <c r="V824" t="s">
        <v>42</v>
      </c>
      <c r="W824" t="s">
        <v>43</v>
      </c>
      <c r="X824" s="19">
        <v>11</v>
      </c>
      <c r="Y824">
        <v>3</v>
      </c>
      <c r="Z824">
        <v>4</v>
      </c>
      <c r="AA824">
        <v>80</v>
      </c>
      <c r="AB824">
        <v>0</v>
      </c>
      <c r="AC824">
        <v>5</v>
      </c>
      <c r="AD824">
        <v>3</v>
      </c>
      <c r="AE824">
        <v>2</v>
      </c>
      <c r="AF824">
        <v>3</v>
      </c>
      <c r="AG824">
        <v>2</v>
      </c>
      <c r="AH824">
        <v>0</v>
      </c>
      <c r="AI824">
        <v>2</v>
      </c>
      <c r="AJ824">
        <f t="shared" si="120"/>
        <v>0</v>
      </c>
      <c r="AK824">
        <f t="shared" si="121"/>
        <v>0</v>
      </c>
      <c r="AL824">
        <f t="shared" si="122"/>
        <v>1</v>
      </c>
      <c r="AM824">
        <f t="shared" si="123"/>
        <v>3.25</v>
      </c>
      <c r="AN824">
        <f t="shared" si="124"/>
        <v>12099</v>
      </c>
      <c r="AO824">
        <f t="shared" si="125"/>
        <v>0.5</v>
      </c>
      <c r="AP824" t="str">
        <f t="shared" si="126"/>
        <v>30-39</v>
      </c>
      <c r="AQ824" t="str">
        <f t="shared" si="127"/>
        <v>Medium</v>
      </c>
      <c r="AR824" t="str">
        <f t="shared" si="128"/>
        <v>Short</v>
      </c>
      <c r="AS824">
        <f t="shared" si="129"/>
        <v>1</v>
      </c>
    </row>
    <row r="825" spans="1:4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s="20">
        <v>3291</v>
      </c>
      <c r="T825">
        <v>17940</v>
      </c>
      <c r="U825">
        <v>0</v>
      </c>
      <c r="V825" t="s">
        <v>42</v>
      </c>
      <c r="W825" t="s">
        <v>43</v>
      </c>
      <c r="X825" s="19">
        <v>14</v>
      </c>
      <c r="Y825">
        <v>3</v>
      </c>
      <c r="Z825">
        <v>4</v>
      </c>
      <c r="AA825">
        <v>80</v>
      </c>
      <c r="AB825">
        <v>2</v>
      </c>
      <c r="AC825">
        <v>8</v>
      </c>
      <c r="AD825">
        <v>2</v>
      </c>
      <c r="AE825">
        <v>2</v>
      </c>
      <c r="AF825">
        <v>7</v>
      </c>
      <c r="AG825">
        <v>5</v>
      </c>
      <c r="AH825">
        <v>1</v>
      </c>
      <c r="AI825">
        <v>1</v>
      </c>
      <c r="AJ825">
        <f t="shared" si="120"/>
        <v>0</v>
      </c>
      <c r="AK825">
        <f t="shared" si="121"/>
        <v>0</v>
      </c>
      <c r="AL825">
        <f t="shared" si="122"/>
        <v>0</v>
      </c>
      <c r="AM825">
        <f t="shared" si="123"/>
        <v>3</v>
      </c>
      <c r="AN825">
        <f t="shared" si="124"/>
        <v>4936.5</v>
      </c>
      <c r="AO825">
        <f t="shared" si="125"/>
        <v>0.77777777777777779</v>
      </c>
      <c r="AP825" t="str">
        <f t="shared" si="126"/>
        <v>Under 30</v>
      </c>
      <c r="AQ825" t="str">
        <f t="shared" si="127"/>
        <v>Medium</v>
      </c>
      <c r="AR825" t="str">
        <f t="shared" si="128"/>
        <v>Medium</v>
      </c>
      <c r="AS825">
        <f t="shared" si="129"/>
        <v>1</v>
      </c>
    </row>
    <row r="826" spans="1:4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s="20">
        <v>4272</v>
      </c>
      <c r="T826">
        <v>9558</v>
      </c>
      <c r="U826">
        <v>4</v>
      </c>
      <c r="V826" t="s">
        <v>42</v>
      </c>
      <c r="W826" t="s">
        <v>43</v>
      </c>
      <c r="X826" s="19">
        <v>19</v>
      </c>
      <c r="Y826">
        <v>3</v>
      </c>
      <c r="Z826">
        <v>1</v>
      </c>
      <c r="AA826">
        <v>80</v>
      </c>
      <c r="AB826">
        <v>0</v>
      </c>
      <c r="AC826">
        <v>16</v>
      </c>
      <c r="AD826">
        <v>3</v>
      </c>
      <c r="AE826">
        <v>3</v>
      </c>
      <c r="AF826">
        <v>1</v>
      </c>
      <c r="AG826">
        <v>0</v>
      </c>
      <c r="AH826">
        <v>0</v>
      </c>
      <c r="AI826">
        <v>0</v>
      </c>
      <c r="AJ826">
        <f t="shared" si="120"/>
        <v>0</v>
      </c>
      <c r="AK826">
        <f t="shared" si="121"/>
        <v>0</v>
      </c>
      <c r="AL826">
        <f t="shared" si="122"/>
        <v>1</v>
      </c>
      <c r="AM826">
        <f t="shared" si="123"/>
        <v>2.5</v>
      </c>
      <c r="AN826">
        <f t="shared" si="124"/>
        <v>25632</v>
      </c>
      <c r="AO826">
        <f t="shared" si="125"/>
        <v>5.8823529411764705E-2</v>
      </c>
      <c r="AP826" t="str">
        <f t="shared" si="126"/>
        <v>40-49</v>
      </c>
      <c r="AQ826" t="str">
        <f t="shared" si="127"/>
        <v>Medium</v>
      </c>
      <c r="AR826" t="str">
        <f t="shared" si="128"/>
        <v>Long</v>
      </c>
      <c r="AS826">
        <f t="shared" si="129"/>
        <v>0</v>
      </c>
    </row>
    <row r="827" spans="1:4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s="20">
        <v>5056</v>
      </c>
      <c r="T827">
        <v>17689</v>
      </c>
      <c r="U827">
        <v>1</v>
      </c>
      <c r="V827" t="s">
        <v>42</v>
      </c>
      <c r="W827" t="s">
        <v>35</v>
      </c>
      <c r="X827" s="19">
        <v>15</v>
      </c>
      <c r="Y827">
        <v>3</v>
      </c>
      <c r="Z827">
        <v>3</v>
      </c>
      <c r="AA827">
        <v>80</v>
      </c>
      <c r="AB827">
        <v>1</v>
      </c>
      <c r="AC827">
        <v>10</v>
      </c>
      <c r="AD827">
        <v>2</v>
      </c>
      <c r="AE827">
        <v>2</v>
      </c>
      <c r="AF827">
        <v>10</v>
      </c>
      <c r="AG827">
        <v>7</v>
      </c>
      <c r="AH827">
        <v>1</v>
      </c>
      <c r="AI827">
        <v>2</v>
      </c>
      <c r="AJ827">
        <f t="shared" si="120"/>
        <v>0</v>
      </c>
      <c r="AK827">
        <f t="shared" si="121"/>
        <v>1</v>
      </c>
      <c r="AL827">
        <f t="shared" si="122"/>
        <v>1</v>
      </c>
      <c r="AM827">
        <f t="shared" si="123"/>
        <v>2.75</v>
      </c>
      <c r="AN827">
        <f t="shared" si="124"/>
        <v>5515.636363636364</v>
      </c>
      <c r="AO827">
        <f t="shared" si="125"/>
        <v>0.90909090909090906</v>
      </c>
      <c r="AP827" t="str">
        <f t="shared" si="126"/>
        <v>Under 30</v>
      </c>
      <c r="AQ827" t="str">
        <f t="shared" si="127"/>
        <v>High</v>
      </c>
      <c r="AR827" t="str">
        <f t="shared" si="128"/>
        <v>Medium</v>
      </c>
      <c r="AS827">
        <f t="shared" si="129"/>
        <v>0</v>
      </c>
    </row>
    <row r="828" spans="1:4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s="20">
        <v>2844</v>
      </c>
      <c r="T828">
        <v>6004</v>
      </c>
      <c r="U828">
        <v>1</v>
      </c>
      <c r="V828" t="s">
        <v>42</v>
      </c>
      <c r="W828" t="s">
        <v>43</v>
      </c>
      <c r="X828" s="19">
        <v>13</v>
      </c>
      <c r="Y828">
        <v>3</v>
      </c>
      <c r="Z828">
        <v>4</v>
      </c>
      <c r="AA828">
        <v>80</v>
      </c>
      <c r="AB828">
        <v>1</v>
      </c>
      <c r="AC828">
        <v>7</v>
      </c>
      <c r="AD828">
        <v>2</v>
      </c>
      <c r="AE828">
        <v>4</v>
      </c>
      <c r="AF828">
        <v>7</v>
      </c>
      <c r="AG828">
        <v>6</v>
      </c>
      <c r="AH828">
        <v>5</v>
      </c>
      <c r="AI828">
        <v>0</v>
      </c>
      <c r="AJ828">
        <f t="shared" si="120"/>
        <v>0</v>
      </c>
      <c r="AK828">
        <f t="shared" si="121"/>
        <v>0</v>
      </c>
      <c r="AL828">
        <f t="shared" si="122"/>
        <v>1</v>
      </c>
      <c r="AM828">
        <f t="shared" si="123"/>
        <v>3.5</v>
      </c>
      <c r="AN828">
        <f t="shared" si="124"/>
        <v>4266</v>
      </c>
      <c r="AO828">
        <f t="shared" si="125"/>
        <v>0.875</v>
      </c>
      <c r="AP828" t="str">
        <f t="shared" si="126"/>
        <v>30-39</v>
      </c>
      <c r="AQ828" t="str">
        <f t="shared" si="127"/>
        <v>Low</v>
      </c>
      <c r="AR828" t="str">
        <f t="shared" si="128"/>
        <v>Short</v>
      </c>
      <c r="AS828">
        <f t="shared" si="129"/>
        <v>0</v>
      </c>
    </row>
    <row r="829" spans="1:4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s="20">
        <v>2703</v>
      </c>
      <c r="T829">
        <v>22088</v>
      </c>
      <c r="U829">
        <v>1</v>
      </c>
      <c r="V829" t="s">
        <v>42</v>
      </c>
      <c r="W829" t="s">
        <v>35</v>
      </c>
      <c r="X829" s="19">
        <v>14</v>
      </c>
      <c r="Y829">
        <v>3</v>
      </c>
      <c r="Z829">
        <v>4</v>
      </c>
      <c r="AA829">
        <v>80</v>
      </c>
      <c r="AB829">
        <v>1</v>
      </c>
      <c r="AC829">
        <v>3</v>
      </c>
      <c r="AD829">
        <v>2</v>
      </c>
      <c r="AE829">
        <v>3</v>
      </c>
      <c r="AF829">
        <v>3</v>
      </c>
      <c r="AG829">
        <v>1</v>
      </c>
      <c r="AH829">
        <v>0</v>
      </c>
      <c r="AI829">
        <v>2</v>
      </c>
      <c r="AJ829">
        <f t="shared" si="120"/>
        <v>0</v>
      </c>
      <c r="AK829">
        <f t="shared" si="121"/>
        <v>1</v>
      </c>
      <c r="AL829">
        <f t="shared" si="122"/>
        <v>1</v>
      </c>
      <c r="AM829">
        <f t="shared" si="123"/>
        <v>3.25</v>
      </c>
      <c r="AN829">
        <f t="shared" si="124"/>
        <v>8109</v>
      </c>
      <c r="AO829">
        <f t="shared" si="125"/>
        <v>0.75</v>
      </c>
      <c r="AP829" t="str">
        <f t="shared" si="126"/>
        <v>Under 30</v>
      </c>
      <c r="AQ829" t="str">
        <f t="shared" si="127"/>
        <v>Low</v>
      </c>
      <c r="AR829" t="str">
        <f t="shared" si="128"/>
        <v>Medium</v>
      </c>
      <c r="AS829">
        <f t="shared" si="129"/>
        <v>1</v>
      </c>
    </row>
    <row r="830" spans="1:4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s="20">
        <v>1904</v>
      </c>
      <c r="T830">
        <v>13556</v>
      </c>
      <c r="U830">
        <v>1</v>
      </c>
      <c r="V830" t="s">
        <v>42</v>
      </c>
      <c r="W830" t="s">
        <v>43</v>
      </c>
      <c r="X830" s="19">
        <v>12</v>
      </c>
      <c r="Y830">
        <v>3</v>
      </c>
      <c r="Z830">
        <v>4</v>
      </c>
      <c r="AA830">
        <v>80</v>
      </c>
      <c r="AB830">
        <v>0</v>
      </c>
      <c r="AC830">
        <v>0</v>
      </c>
      <c r="AD830">
        <v>0</v>
      </c>
      <c r="AE830">
        <v>3</v>
      </c>
      <c r="AF830">
        <v>0</v>
      </c>
      <c r="AG830">
        <v>0</v>
      </c>
      <c r="AH830">
        <v>0</v>
      </c>
      <c r="AI830">
        <v>0</v>
      </c>
      <c r="AJ830">
        <f t="shared" si="120"/>
        <v>1</v>
      </c>
      <c r="AK830">
        <f t="shared" si="121"/>
        <v>0</v>
      </c>
      <c r="AL830">
        <f t="shared" si="122"/>
        <v>1</v>
      </c>
      <c r="AM830">
        <f t="shared" si="123"/>
        <v>3.25</v>
      </c>
      <c r="AN830">
        <f t="shared" si="124"/>
        <v>22848</v>
      </c>
      <c r="AO830">
        <f t="shared" si="125"/>
        <v>0</v>
      </c>
      <c r="AP830" t="str">
        <f t="shared" si="126"/>
        <v>Under 30</v>
      </c>
      <c r="AQ830" t="str">
        <f t="shared" si="127"/>
        <v>Low</v>
      </c>
      <c r="AR830" t="str">
        <f t="shared" si="128"/>
        <v>Medium</v>
      </c>
      <c r="AS830">
        <f t="shared" si="129"/>
        <v>0</v>
      </c>
    </row>
    <row r="831" spans="1:4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s="20">
        <v>8224</v>
      </c>
      <c r="T831">
        <v>18385</v>
      </c>
      <c r="U831">
        <v>0</v>
      </c>
      <c r="V831" t="s">
        <v>42</v>
      </c>
      <c r="W831" t="s">
        <v>35</v>
      </c>
      <c r="X831" s="19">
        <v>17</v>
      </c>
      <c r="Y831">
        <v>3</v>
      </c>
      <c r="Z831">
        <v>1</v>
      </c>
      <c r="AA831">
        <v>80</v>
      </c>
      <c r="AB831">
        <v>0</v>
      </c>
      <c r="AC831">
        <v>6</v>
      </c>
      <c r="AD831">
        <v>3</v>
      </c>
      <c r="AE831">
        <v>3</v>
      </c>
      <c r="AF831">
        <v>5</v>
      </c>
      <c r="AG831">
        <v>2</v>
      </c>
      <c r="AH831">
        <v>0</v>
      </c>
      <c r="AI831">
        <v>3</v>
      </c>
      <c r="AJ831">
        <f t="shared" si="120"/>
        <v>1</v>
      </c>
      <c r="AK831">
        <f t="shared" si="121"/>
        <v>1</v>
      </c>
      <c r="AL831">
        <f t="shared" si="122"/>
        <v>0</v>
      </c>
      <c r="AM831">
        <f t="shared" si="123"/>
        <v>1.5</v>
      </c>
      <c r="AN831">
        <f t="shared" si="124"/>
        <v>16448</v>
      </c>
      <c r="AO831">
        <f t="shared" si="125"/>
        <v>0.7142857142857143</v>
      </c>
      <c r="AP831" t="str">
        <f t="shared" si="126"/>
        <v>30-39</v>
      </c>
      <c r="AQ831" t="str">
        <f t="shared" si="127"/>
        <v>High</v>
      </c>
      <c r="AR831" t="str">
        <f t="shared" si="128"/>
        <v>Medium</v>
      </c>
      <c r="AS831">
        <f t="shared" si="129"/>
        <v>0</v>
      </c>
    </row>
    <row r="832" spans="1:4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s="20">
        <v>4766</v>
      </c>
      <c r="T832">
        <v>9051</v>
      </c>
      <c r="U832">
        <v>3</v>
      </c>
      <c r="V832" t="s">
        <v>42</v>
      </c>
      <c r="W832" t="s">
        <v>35</v>
      </c>
      <c r="X832" s="19">
        <v>11</v>
      </c>
      <c r="Y832">
        <v>3</v>
      </c>
      <c r="Z832">
        <v>1</v>
      </c>
      <c r="AA832">
        <v>80</v>
      </c>
      <c r="AB832">
        <v>1</v>
      </c>
      <c r="AC832">
        <v>6</v>
      </c>
      <c r="AD832">
        <v>4</v>
      </c>
      <c r="AE832">
        <v>3</v>
      </c>
      <c r="AF832">
        <v>1</v>
      </c>
      <c r="AG832">
        <v>0</v>
      </c>
      <c r="AH832">
        <v>0</v>
      </c>
      <c r="AI832">
        <v>0</v>
      </c>
      <c r="AJ832">
        <f t="shared" si="120"/>
        <v>0</v>
      </c>
      <c r="AK832">
        <f t="shared" si="121"/>
        <v>1</v>
      </c>
      <c r="AL832">
        <f t="shared" si="122"/>
        <v>1</v>
      </c>
      <c r="AM832">
        <f t="shared" si="123"/>
        <v>2.5</v>
      </c>
      <c r="AN832">
        <f t="shared" si="124"/>
        <v>28596</v>
      </c>
      <c r="AO832">
        <f t="shared" si="125"/>
        <v>0.14285714285714285</v>
      </c>
      <c r="AP832" t="str">
        <f t="shared" si="126"/>
        <v>40-49</v>
      </c>
      <c r="AQ832" t="str">
        <f t="shared" si="127"/>
        <v>Medium</v>
      </c>
      <c r="AR832" t="str">
        <f t="shared" si="128"/>
        <v>Medium</v>
      </c>
      <c r="AS832">
        <f t="shared" si="129"/>
        <v>0</v>
      </c>
    </row>
    <row r="833" spans="1:4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s="20">
        <v>2610</v>
      </c>
      <c r="T833">
        <v>6233</v>
      </c>
      <c r="U833">
        <v>1</v>
      </c>
      <c r="V833" t="s">
        <v>42</v>
      </c>
      <c r="W833" t="s">
        <v>43</v>
      </c>
      <c r="X833" s="19">
        <v>12</v>
      </c>
      <c r="Y833">
        <v>3</v>
      </c>
      <c r="Z833">
        <v>3</v>
      </c>
      <c r="AA833">
        <v>80</v>
      </c>
      <c r="AB833">
        <v>1</v>
      </c>
      <c r="AC833">
        <v>2</v>
      </c>
      <c r="AD833">
        <v>5</v>
      </c>
      <c r="AE833">
        <v>2</v>
      </c>
      <c r="AF833">
        <v>2</v>
      </c>
      <c r="AG833">
        <v>2</v>
      </c>
      <c r="AH833">
        <v>2</v>
      </c>
      <c r="AI833">
        <v>2</v>
      </c>
      <c r="AJ833">
        <f t="shared" si="120"/>
        <v>1</v>
      </c>
      <c r="AK833">
        <f t="shared" si="121"/>
        <v>0</v>
      </c>
      <c r="AL833">
        <f t="shared" si="122"/>
        <v>1</v>
      </c>
      <c r="AM833">
        <f t="shared" si="123"/>
        <v>2.75</v>
      </c>
      <c r="AN833">
        <f t="shared" si="124"/>
        <v>10440</v>
      </c>
      <c r="AO833">
        <f t="shared" si="125"/>
        <v>0.66666666666666663</v>
      </c>
      <c r="AP833" t="str">
        <f t="shared" si="126"/>
        <v>30-39</v>
      </c>
      <c r="AQ833" t="str">
        <f t="shared" si="127"/>
        <v>Low</v>
      </c>
      <c r="AR833" t="str">
        <f t="shared" si="128"/>
        <v>Medium</v>
      </c>
      <c r="AS833">
        <f t="shared" si="129"/>
        <v>1</v>
      </c>
    </row>
    <row r="834" spans="1:4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s="20">
        <v>5731</v>
      </c>
      <c r="T834">
        <v>17171</v>
      </c>
      <c r="U834">
        <v>7</v>
      </c>
      <c r="V834" t="s">
        <v>42</v>
      </c>
      <c r="W834" t="s">
        <v>43</v>
      </c>
      <c r="X834" s="19">
        <v>13</v>
      </c>
      <c r="Y834">
        <v>3</v>
      </c>
      <c r="Z834">
        <v>3</v>
      </c>
      <c r="AA834">
        <v>80</v>
      </c>
      <c r="AB834">
        <v>2</v>
      </c>
      <c r="AC834">
        <v>9</v>
      </c>
      <c r="AD834">
        <v>2</v>
      </c>
      <c r="AE834">
        <v>3</v>
      </c>
      <c r="AF834">
        <v>6</v>
      </c>
      <c r="AG834">
        <v>2</v>
      </c>
      <c r="AH834">
        <v>1</v>
      </c>
      <c r="AI834">
        <v>3</v>
      </c>
      <c r="AJ834">
        <f t="shared" si="120"/>
        <v>0</v>
      </c>
      <c r="AK834">
        <f t="shared" si="121"/>
        <v>0</v>
      </c>
      <c r="AL834">
        <f t="shared" si="122"/>
        <v>0</v>
      </c>
      <c r="AM834">
        <f t="shared" si="123"/>
        <v>3.25</v>
      </c>
      <c r="AN834">
        <f t="shared" si="124"/>
        <v>9824.5714285714294</v>
      </c>
      <c r="AO834">
        <f t="shared" si="125"/>
        <v>0.6</v>
      </c>
      <c r="AP834" t="str">
        <f t="shared" si="126"/>
        <v>30-39</v>
      </c>
      <c r="AQ834" t="str">
        <f t="shared" si="127"/>
        <v>High</v>
      </c>
      <c r="AR834" t="str">
        <f t="shared" si="128"/>
        <v>Long</v>
      </c>
      <c r="AS834">
        <f t="shared" si="129"/>
        <v>0</v>
      </c>
    </row>
    <row r="835" spans="1:4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s="20">
        <v>2539</v>
      </c>
      <c r="T835">
        <v>7950</v>
      </c>
      <c r="U835">
        <v>1</v>
      </c>
      <c r="V835" t="s">
        <v>42</v>
      </c>
      <c r="W835" t="s">
        <v>43</v>
      </c>
      <c r="X835" s="19">
        <v>13</v>
      </c>
      <c r="Y835">
        <v>3</v>
      </c>
      <c r="Z835">
        <v>3</v>
      </c>
      <c r="AA835">
        <v>80</v>
      </c>
      <c r="AB835">
        <v>1</v>
      </c>
      <c r="AC835">
        <v>4</v>
      </c>
      <c r="AD835">
        <v>0</v>
      </c>
      <c r="AE835">
        <v>3</v>
      </c>
      <c r="AF835">
        <v>4</v>
      </c>
      <c r="AG835">
        <v>2</v>
      </c>
      <c r="AH835">
        <v>2</v>
      </c>
      <c r="AI835">
        <v>2</v>
      </c>
      <c r="AJ835">
        <f t="shared" ref="AJ835:AJ898" si="130">IF(B835="Yes",1,0)</f>
        <v>0</v>
      </c>
      <c r="AK835">
        <f t="shared" ref="AK835:AK898" si="131">IF(W835="Yes",1,0)</f>
        <v>0</v>
      </c>
      <c r="AL835">
        <f t="shared" ref="AL835:AL898" si="132">IF(L835="Male",1,0)</f>
        <v>1</v>
      </c>
      <c r="AM835">
        <f t="shared" ref="AM835:AM898" si="133">AVERAGE(K835,Q835,Z835,AE835)</f>
        <v>3.25</v>
      </c>
      <c r="AN835">
        <f t="shared" ref="AN835:AN898" si="134">(S835*12)/(AF835+1)</f>
        <v>6093.6</v>
      </c>
      <c r="AO835">
        <f t="shared" ref="AO835:AO898" si="135">AF835/(AC835+1)</f>
        <v>0.8</v>
      </c>
      <c r="AP835" t="str">
        <f t="shared" ref="AP835:AP898" si="136">IF(A835&lt;30,"Under 30",IF(A835&lt;40,"30-39",IF(A835&lt;50,"40-49","50+")))</f>
        <v>Under 30</v>
      </c>
      <c r="AQ835" t="str">
        <f t="shared" ref="AQ835:AQ898" si="137">IF(S835&lt;=$AV$1,"Low",IF(S835&lt;=$AV$2,"Medium",IF(S835&lt;=$AV$3,"High","Very High")))</f>
        <v>Low</v>
      </c>
      <c r="AR835" t="str">
        <f t="shared" ref="AR835:AR898" si="138">IF(F835&lt;=5,"Short",IF(F835&lt;=15,"Medium","Long"))</f>
        <v>Medium</v>
      </c>
      <c r="AS835">
        <f t="shared" ref="AS835:AS898" si="139">IF(C835="Travel_Frequently",1,0)</f>
        <v>0</v>
      </c>
    </row>
    <row r="836" spans="1:4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s="20">
        <v>5714</v>
      </c>
      <c r="T836">
        <v>5829</v>
      </c>
      <c r="U836">
        <v>1</v>
      </c>
      <c r="V836" t="s">
        <v>42</v>
      </c>
      <c r="W836" t="s">
        <v>43</v>
      </c>
      <c r="X836" s="19">
        <v>20</v>
      </c>
      <c r="Y836">
        <v>4</v>
      </c>
      <c r="Z836">
        <v>1</v>
      </c>
      <c r="AA836">
        <v>80</v>
      </c>
      <c r="AB836">
        <v>0</v>
      </c>
      <c r="AC836">
        <v>6</v>
      </c>
      <c r="AD836">
        <v>3</v>
      </c>
      <c r="AE836">
        <v>2</v>
      </c>
      <c r="AF836">
        <v>6</v>
      </c>
      <c r="AG836">
        <v>5</v>
      </c>
      <c r="AH836">
        <v>1</v>
      </c>
      <c r="AI836">
        <v>3</v>
      </c>
      <c r="AJ836">
        <f t="shared" si="130"/>
        <v>0</v>
      </c>
      <c r="AK836">
        <f t="shared" si="131"/>
        <v>0</v>
      </c>
      <c r="AL836">
        <f t="shared" si="132"/>
        <v>0</v>
      </c>
      <c r="AM836">
        <f t="shared" si="133"/>
        <v>2</v>
      </c>
      <c r="AN836">
        <f t="shared" si="134"/>
        <v>9795.4285714285706</v>
      </c>
      <c r="AO836">
        <f t="shared" si="135"/>
        <v>0.8571428571428571</v>
      </c>
      <c r="AP836" t="str">
        <f t="shared" si="136"/>
        <v>30-39</v>
      </c>
      <c r="AQ836" t="str">
        <f t="shared" si="137"/>
        <v>High</v>
      </c>
      <c r="AR836" t="str">
        <f t="shared" si="138"/>
        <v>Medium</v>
      </c>
      <c r="AS836">
        <f t="shared" si="139"/>
        <v>0</v>
      </c>
    </row>
    <row r="837" spans="1:4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s="20">
        <v>4323</v>
      </c>
      <c r="T837">
        <v>7108</v>
      </c>
      <c r="U837">
        <v>1</v>
      </c>
      <c r="V837" t="s">
        <v>42</v>
      </c>
      <c r="W837" t="s">
        <v>43</v>
      </c>
      <c r="X837" s="19">
        <v>17</v>
      </c>
      <c r="Y837">
        <v>3</v>
      </c>
      <c r="Z837">
        <v>2</v>
      </c>
      <c r="AA837">
        <v>80</v>
      </c>
      <c r="AB837">
        <v>0</v>
      </c>
      <c r="AC837">
        <v>6</v>
      </c>
      <c r="AD837">
        <v>2</v>
      </c>
      <c r="AE837">
        <v>1</v>
      </c>
      <c r="AF837">
        <v>5</v>
      </c>
      <c r="AG837">
        <v>4</v>
      </c>
      <c r="AH837">
        <v>1</v>
      </c>
      <c r="AI837">
        <v>4</v>
      </c>
      <c r="AJ837">
        <f t="shared" si="130"/>
        <v>0</v>
      </c>
      <c r="AK837">
        <f t="shared" si="131"/>
        <v>0</v>
      </c>
      <c r="AL837">
        <f t="shared" si="132"/>
        <v>1</v>
      </c>
      <c r="AM837">
        <f t="shared" si="133"/>
        <v>2.25</v>
      </c>
      <c r="AN837">
        <f t="shared" si="134"/>
        <v>8646</v>
      </c>
      <c r="AO837">
        <f t="shared" si="135"/>
        <v>0.7142857142857143</v>
      </c>
      <c r="AP837" t="str">
        <f t="shared" si="136"/>
        <v>30-39</v>
      </c>
      <c r="AQ837" t="str">
        <f t="shared" si="137"/>
        <v>Medium</v>
      </c>
      <c r="AR837" t="str">
        <f t="shared" si="138"/>
        <v>Medium</v>
      </c>
      <c r="AS837">
        <f t="shared" si="139"/>
        <v>0</v>
      </c>
    </row>
    <row r="838" spans="1:4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s="20">
        <v>7336</v>
      </c>
      <c r="T838">
        <v>11162</v>
      </c>
      <c r="U838">
        <v>1</v>
      </c>
      <c r="V838" t="s">
        <v>42</v>
      </c>
      <c r="W838" t="s">
        <v>43</v>
      </c>
      <c r="X838" s="19">
        <v>13</v>
      </c>
      <c r="Y838">
        <v>3</v>
      </c>
      <c r="Z838">
        <v>1</v>
      </c>
      <c r="AA838">
        <v>80</v>
      </c>
      <c r="AB838">
        <v>1</v>
      </c>
      <c r="AC838">
        <v>11</v>
      </c>
      <c r="AD838">
        <v>3</v>
      </c>
      <c r="AE838">
        <v>1</v>
      </c>
      <c r="AF838">
        <v>11</v>
      </c>
      <c r="AG838">
        <v>8</v>
      </c>
      <c r="AH838">
        <v>3</v>
      </c>
      <c r="AI838">
        <v>10</v>
      </c>
      <c r="AJ838">
        <f t="shared" si="130"/>
        <v>1</v>
      </c>
      <c r="AK838">
        <f t="shared" si="131"/>
        <v>0</v>
      </c>
      <c r="AL838">
        <f t="shared" si="132"/>
        <v>0</v>
      </c>
      <c r="AM838">
        <f t="shared" si="133"/>
        <v>1.75</v>
      </c>
      <c r="AN838">
        <f t="shared" si="134"/>
        <v>7336</v>
      </c>
      <c r="AO838">
        <f t="shared" si="135"/>
        <v>0.91666666666666663</v>
      </c>
      <c r="AP838" t="str">
        <f t="shared" si="136"/>
        <v>Under 30</v>
      </c>
      <c r="AQ838" t="str">
        <f t="shared" si="137"/>
        <v>High</v>
      </c>
      <c r="AR838" t="str">
        <f t="shared" si="138"/>
        <v>Long</v>
      </c>
      <c r="AS838">
        <f t="shared" si="139"/>
        <v>0</v>
      </c>
    </row>
    <row r="839" spans="1:4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s="20">
        <v>13499</v>
      </c>
      <c r="T839">
        <v>13782</v>
      </c>
      <c r="U839">
        <v>9</v>
      </c>
      <c r="V839" t="s">
        <v>42</v>
      </c>
      <c r="W839" t="s">
        <v>43</v>
      </c>
      <c r="X839" s="19">
        <v>17</v>
      </c>
      <c r="Y839">
        <v>3</v>
      </c>
      <c r="Z839">
        <v>3</v>
      </c>
      <c r="AA839">
        <v>80</v>
      </c>
      <c r="AB839">
        <v>0</v>
      </c>
      <c r="AC839">
        <v>20</v>
      </c>
      <c r="AD839">
        <v>3</v>
      </c>
      <c r="AE839">
        <v>2</v>
      </c>
      <c r="AF839">
        <v>18</v>
      </c>
      <c r="AG839">
        <v>7</v>
      </c>
      <c r="AH839">
        <v>2</v>
      </c>
      <c r="AI839">
        <v>13</v>
      </c>
      <c r="AJ839">
        <f t="shared" si="130"/>
        <v>0</v>
      </c>
      <c r="AK839">
        <f t="shared" si="131"/>
        <v>0</v>
      </c>
      <c r="AL839">
        <f t="shared" si="132"/>
        <v>0</v>
      </c>
      <c r="AM839">
        <f t="shared" si="133"/>
        <v>2.5</v>
      </c>
      <c r="AN839">
        <f t="shared" si="134"/>
        <v>8525.6842105263149</v>
      </c>
      <c r="AO839">
        <f t="shared" si="135"/>
        <v>0.8571428571428571</v>
      </c>
      <c r="AP839" t="str">
        <f t="shared" si="136"/>
        <v>40-49</v>
      </c>
      <c r="AQ839" t="str">
        <f t="shared" si="137"/>
        <v>Very High</v>
      </c>
      <c r="AR839" t="str">
        <f t="shared" si="138"/>
        <v>Medium</v>
      </c>
      <c r="AS839">
        <f t="shared" si="139"/>
        <v>1</v>
      </c>
    </row>
    <row r="840" spans="1:4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s="20">
        <v>13758</v>
      </c>
      <c r="T840">
        <v>2447</v>
      </c>
      <c r="U840">
        <v>0</v>
      </c>
      <c r="V840" t="s">
        <v>42</v>
      </c>
      <c r="W840" t="s">
        <v>35</v>
      </c>
      <c r="X840" s="19">
        <v>12</v>
      </c>
      <c r="Y840">
        <v>3</v>
      </c>
      <c r="Z840">
        <v>2</v>
      </c>
      <c r="AA840">
        <v>80</v>
      </c>
      <c r="AB840">
        <v>0</v>
      </c>
      <c r="AC840">
        <v>22</v>
      </c>
      <c r="AD840">
        <v>2</v>
      </c>
      <c r="AE840">
        <v>2</v>
      </c>
      <c r="AF840">
        <v>21</v>
      </c>
      <c r="AG840">
        <v>9</v>
      </c>
      <c r="AH840">
        <v>13</v>
      </c>
      <c r="AI840">
        <v>14</v>
      </c>
      <c r="AJ840">
        <f t="shared" si="130"/>
        <v>1</v>
      </c>
      <c r="AK840">
        <f t="shared" si="131"/>
        <v>1</v>
      </c>
      <c r="AL840">
        <f t="shared" si="132"/>
        <v>1</v>
      </c>
      <c r="AM840">
        <f t="shared" si="133"/>
        <v>2</v>
      </c>
      <c r="AN840">
        <f t="shared" si="134"/>
        <v>7504.363636363636</v>
      </c>
      <c r="AO840">
        <f t="shared" si="135"/>
        <v>0.91304347826086951</v>
      </c>
      <c r="AP840" t="str">
        <f t="shared" si="136"/>
        <v>40-49</v>
      </c>
      <c r="AQ840" t="str">
        <f t="shared" si="137"/>
        <v>Very High</v>
      </c>
      <c r="AR840" t="str">
        <f t="shared" si="138"/>
        <v>Medium</v>
      </c>
      <c r="AS840">
        <f t="shared" si="139"/>
        <v>1</v>
      </c>
    </row>
    <row r="841" spans="1:4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s="20">
        <v>5155</v>
      </c>
      <c r="T841">
        <v>2253</v>
      </c>
      <c r="U841">
        <v>7</v>
      </c>
      <c r="V841" t="s">
        <v>42</v>
      </c>
      <c r="W841" t="s">
        <v>43</v>
      </c>
      <c r="X841" s="19">
        <v>13</v>
      </c>
      <c r="Y841">
        <v>3</v>
      </c>
      <c r="Z841">
        <v>4</v>
      </c>
      <c r="AA841">
        <v>80</v>
      </c>
      <c r="AB841">
        <v>0</v>
      </c>
      <c r="AC841">
        <v>9</v>
      </c>
      <c r="AD841">
        <v>3</v>
      </c>
      <c r="AE841">
        <v>4</v>
      </c>
      <c r="AF841">
        <v>6</v>
      </c>
      <c r="AG841">
        <v>4</v>
      </c>
      <c r="AH841">
        <v>1</v>
      </c>
      <c r="AI841">
        <v>5</v>
      </c>
      <c r="AJ841">
        <f t="shared" si="130"/>
        <v>0</v>
      </c>
      <c r="AK841">
        <f t="shared" si="131"/>
        <v>0</v>
      </c>
      <c r="AL841">
        <f t="shared" si="132"/>
        <v>1</v>
      </c>
      <c r="AM841">
        <f t="shared" si="133"/>
        <v>2.75</v>
      </c>
      <c r="AN841">
        <f t="shared" si="134"/>
        <v>8837.1428571428569</v>
      </c>
      <c r="AO841">
        <f t="shared" si="135"/>
        <v>0.6</v>
      </c>
      <c r="AP841" t="str">
        <f t="shared" si="136"/>
        <v>40-49</v>
      </c>
      <c r="AQ841" t="str">
        <f t="shared" si="137"/>
        <v>High</v>
      </c>
      <c r="AR841" t="str">
        <f t="shared" si="138"/>
        <v>Short</v>
      </c>
      <c r="AS841">
        <f t="shared" si="139"/>
        <v>0</v>
      </c>
    </row>
    <row r="842" spans="1:4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s="20">
        <v>2258</v>
      </c>
      <c r="T842">
        <v>16340</v>
      </c>
      <c r="U842">
        <v>6</v>
      </c>
      <c r="V842" t="s">
        <v>42</v>
      </c>
      <c r="W842" t="s">
        <v>43</v>
      </c>
      <c r="X842" s="19">
        <v>12</v>
      </c>
      <c r="Y842">
        <v>3</v>
      </c>
      <c r="Z842">
        <v>2</v>
      </c>
      <c r="AA842">
        <v>80</v>
      </c>
      <c r="AB842">
        <v>1</v>
      </c>
      <c r="AC842">
        <v>10</v>
      </c>
      <c r="AD842">
        <v>2</v>
      </c>
      <c r="AE842">
        <v>3</v>
      </c>
      <c r="AF842">
        <v>8</v>
      </c>
      <c r="AG842">
        <v>0</v>
      </c>
      <c r="AH842">
        <v>1</v>
      </c>
      <c r="AI842">
        <v>7</v>
      </c>
      <c r="AJ842">
        <f t="shared" si="130"/>
        <v>0</v>
      </c>
      <c r="AK842">
        <f t="shared" si="131"/>
        <v>0</v>
      </c>
      <c r="AL842">
        <f t="shared" si="132"/>
        <v>1</v>
      </c>
      <c r="AM842">
        <f t="shared" si="133"/>
        <v>3</v>
      </c>
      <c r="AN842">
        <f t="shared" si="134"/>
        <v>3010.6666666666665</v>
      </c>
      <c r="AO842">
        <f t="shared" si="135"/>
        <v>0.72727272727272729</v>
      </c>
      <c r="AP842" t="str">
        <f t="shared" si="136"/>
        <v>30-39</v>
      </c>
      <c r="AQ842" t="str">
        <f t="shared" si="137"/>
        <v>Low</v>
      </c>
      <c r="AR842" t="str">
        <f t="shared" si="138"/>
        <v>Short</v>
      </c>
      <c r="AS842">
        <f t="shared" si="139"/>
        <v>0</v>
      </c>
    </row>
    <row r="843" spans="1:4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s="20">
        <v>3597</v>
      </c>
      <c r="T843">
        <v>6409</v>
      </c>
      <c r="U843">
        <v>8</v>
      </c>
      <c r="V843" t="s">
        <v>42</v>
      </c>
      <c r="W843" t="s">
        <v>43</v>
      </c>
      <c r="X843" s="19">
        <v>22</v>
      </c>
      <c r="Y843">
        <v>4</v>
      </c>
      <c r="Z843">
        <v>4</v>
      </c>
      <c r="AA843">
        <v>80</v>
      </c>
      <c r="AB843">
        <v>0</v>
      </c>
      <c r="AC843">
        <v>6</v>
      </c>
      <c r="AD843">
        <v>2</v>
      </c>
      <c r="AE843">
        <v>3</v>
      </c>
      <c r="AF843">
        <v>4</v>
      </c>
      <c r="AG843">
        <v>3</v>
      </c>
      <c r="AH843">
        <v>1</v>
      </c>
      <c r="AI843">
        <v>2</v>
      </c>
      <c r="AJ843">
        <f t="shared" si="130"/>
        <v>0</v>
      </c>
      <c r="AK843">
        <f t="shared" si="131"/>
        <v>0</v>
      </c>
      <c r="AL843">
        <f t="shared" si="132"/>
        <v>1</v>
      </c>
      <c r="AM843">
        <f t="shared" si="133"/>
        <v>3.25</v>
      </c>
      <c r="AN843">
        <f t="shared" si="134"/>
        <v>8632.7999999999993</v>
      </c>
      <c r="AO843">
        <f t="shared" si="135"/>
        <v>0.5714285714285714</v>
      </c>
      <c r="AP843" t="str">
        <f t="shared" si="136"/>
        <v>Under 30</v>
      </c>
      <c r="AQ843" t="str">
        <f t="shared" si="137"/>
        <v>Medium</v>
      </c>
      <c r="AR843" t="str">
        <f t="shared" si="138"/>
        <v>Long</v>
      </c>
      <c r="AS843">
        <f t="shared" si="139"/>
        <v>0</v>
      </c>
    </row>
    <row r="844" spans="1:4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s="20">
        <v>2515</v>
      </c>
      <c r="T844">
        <v>22955</v>
      </c>
      <c r="U844">
        <v>1</v>
      </c>
      <c r="V844" t="s">
        <v>42</v>
      </c>
      <c r="W844" t="s">
        <v>35</v>
      </c>
      <c r="X844" s="19">
        <v>11</v>
      </c>
      <c r="Y844">
        <v>3</v>
      </c>
      <c r="Z844">
        <v>4</v>
      </c>
      <c r="AA844">
        <v>80</v>
      </c>
      <c r="AB844">
        <v>0</v>
      </c>
      <c r="AC844">
        <v>1</v>
      </c>
      <c r="AD844">
        <v>4</v>
      </c>
      <c r="AE844">
        <v>2</v>
      </c>
      <c r="AF844">
        <v>1</v>
      </c>
      <c r="AG844">
        <v>1</v>
      </c>
      <c r="AH844">
        <v>0</v>
      </c>
      <c r="AI844">
        <v>0</v>
      </c>
      <c r="AJ844">
        <f t="shared" si="130"/>
        <v>1</v>
      </c>
      <c r="AK844">
        <f t="shared" si="131"/>
        <v>1</v>
      </c>
      <c r="AL844">
        <f t="shared" si="132"/>
        <v>0</v>
      </c>
      <c r="AM844">
        <f t="shared" si="133"/>
        <v>3.25</v>
      </c>
      <c r="AN844">
        <f t="shared" si="134"/>
        <v>15090</v>
      </c>
      <c r="AO844">
        <f t="shared" si="135"/>
        <v>0.5</v>
      </c>
      <c r="AP844" t="str">
        <f t="shared" si="136"/>
        <v>Under 30</v>
      </c>
      <c r="AQ844" t="str">
        <f t="shared" si="137"/>
        <v>Low</v>
      </c>
      <c r="AR844" t="str">
        <f t="shared" si="138"/>
        <v>Medium</v>
      </c>
      <c r="AS844">
        <f t="shared" si="139"/>
        <v>0</v>
      </c>
    </row>
    <row r="845" spans="1:4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s="20">
        <v>4420</v>
      </c>
      <c r="T845">
        <v>13421</v>
      </c>
      <c r="U845">
        <v>1</v>
      </c>
      <c r="V845" t="s">
        <v>42</v>
      </c>
      <c r="W845" t="s">
        <v>43</v>
      </c>
      <c r="X845" s="19">
        <v>22</v>
      </c>
      <c r="Y845">
        <v>4</v>
      </c>
      <c r="Z845">
        <v>2</v>
      </c>
      <c r="AA845">
        <v>80</v>
      </c>
      <c r="AB845">
        <v>1</v>
      </c>
      <c r="AC845">
        <v>8</v>
      </c>
      <c r="AD845">
        <v>2</v>
      </c>
      <c r="AE845">
        <v>3</v>
      </c>
      <c r="AF845">
        <v>8</v>
      </c>
      <c r="AG845">
        <v>7</v>
      </c>
      <c r="AH845">
        <v>0</v>
      </c>
      <c r="AI845">
        <v>7</v>
      </c>
      <c r="AJ845">
        <f t="shared" si="130"/>
        <v>0</v>
      </c>
      <c r="AK845">
        <f t="shared" si="131"/>
        <v>0</v>
      </c>
      <c r="AL845">
        <f t="shared" si="132"/>
        <v>1</v>
      </c>
      <c r="AM845">
        <f t="shared" si="133"/>
        <v>2.5</v>
      </c>
      <c r="AN845">
        <f t="shared" si="134"/>
        <v>5893.333333333333</v>
      </c>
      <c r="AO845">
        <f t="shared" si="135"/>
        <v>0.88888888888888884</v>
      </c>
      <c r="AP845" t="str">
        <f t="shared" si="136"/>
        <v>Under 30</v>
      </c>
      <c r="AQ845" t="str">
        <f t="shared" si="137"/>
        <v>Medium</v>
      </c>
      <c r="AR845" t="str">
        <f t="shared" si="138"/>
        <v>Short</v>
      </c>
      <c r="AS845">
        <f t="shared" si="139"/>
        <v>0</v>
      </c>
    </row>
    <row r="846" spans="1:4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s="20">
        <v>6578</v>
      </c>
      <c r="T846">
        <v>2706</v>
      </c>
      <c r="U846">
        <v>1</v>
      </c>
      <c r="V846" t="s">
        <v>42</v>
      </c>
      <c r="W846" t="s">
        <v>43</v>
      </c>
      <c r="X846" s="19">
        <v>18</v>
      </c>
      <c r="Y846">
        <v>3</v>
      </c>
      <c r="Z846">
        <v>1</v>
      </c>
      <c r="AA846">
        <v>80</v>
      </c>
      <c r="AB846">
        <v>1</v>
      </c>
      <c r="AC846">
        <v>10</v>
      </c>
      <c r="AD846">
        <v>3</v>
      </c>
      <c r="AE846">
        <v>3</v>
      </c>
      <c r="AF846">
        <v>10</v>
      </c>
      <c r="AG846">
        <v>3</v>
      </c>
      <c r="AH846">
        <v>1</v>
      </c>
      <c r="AI846">
        <v>4</v>
      </c>
      <c r="AJ846">
        <f t="shared" si="130"/>
        <v>0</v>
      </c>
      <c r="AK846">
        <f t="shared" si="131"/>
        <v>0</v>
      </c>
      <c r="AL846">
        <f t="shared" si="132"/>
        <v>1</v>
      </c>
      <c r="AM846">
        <f t="shared" si="133"/>
        <v>2.5</v>
      </c>
      <c r="AN846">
        <f t="shared" si="134"/>
        <v>7176</v>
      </c>
      <c r="AO846">
        <f t="shared" si="135"/>
        <v>0.90909090909090906</v>
      </c>
      <c r="AP846" t="str">
        <f t="shared" si="136"/>
        <v>30-39</v>
      </c>
      <c r="AQ846" t="str">
        <f t="shared" si="137"/>
        <v>High</v>
      </c>
      <c r="AR846" t="str">
        <f t="shared" si="138"/>
        <v>Medium</v>
      </c>
      <c r="AS846">
        <f t="shared" si="139"/>
        <v>0</v>
      </c>
    </row>
    <row r="847" spans="1:4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s="20">
        <v>4422</v>
      </c>
      <c r="T847">
        <v>21203</v>
      </c>
      <c r="U847">
        <v>3</v>
      </c>
      <c r="V847" t="s">
        <v>42</v>
      </c>
      <c r="W847" t="s">
        <v>35</v>
      </c>
      <c r="X847" s="19">
        <v>13</v>
      </c>
      <c r="Y847">
        <v>3</v>
      </c>
      <c r="Z847">
        <v>4</v>
      </c>
      <c r="AA847">
        <v>80</v>
      </c>
      <c r="AB847">
        <v>1</v>
      </c>
      <c r="AC847">
        <v>16</v>
      </c>
      <c r="AD847">
        <v>3</v>
      </c>
      <c r="AE847">
        <v>1</v>
      </c>
      <c r="AF847">
        <v>1</v>
      </c>
      <c r="AG847">
        <v>1</v>
      </c>
      <c r="AH847">
        <v>0</v>
      </c>
      <c r="AI847">
        <v>0</v>
      </c>
      <c r="AJ847">
        <f t="shared" si="130"/>
        <v>0</v>
      </c>
      <c r="AK847">
        <f t="shared" si="131"/>
        <v>1</v>
      </c>
      <c r="AL847">
        <f t="shared" si="132"/>
        <v>0</v>
      </c>
      <c r="AM847">
        <f t="shared" si="133"/>
        <v>3</v>
      </c>
      <c r="AN847">
        <f t="shared" si="134"/>
        <v>26532</v>
      </c>
      <c r="AO847">
        <f t="shared" si="135"/>
        <v>5.8823529411764705E-2</v>
      </c>
      <c r="AP847" t="str">
        <f t="shared" si="136"/>
        <v>40-49</v>
      </c>
      <c r="AQ847" t="str">
        <f t="shared" si="137"/>
        <v>Medium</v>
      </c>
      <c r="AR847" t="str">
        <f t="shared" si="138"/>
        <v>Long</v>
      </c>
      <c r="AS847">
        <f t="shared" si="139"/>
        <v>1</v>
      </c>
    </row>
    <row r="848" spans="1:4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s="20">
        <v>10274</v>
      </c>
      <c r="T848">
        <v>19588</v>
      </c>
      <c r="U848">
        <v>2</v>
      </c>
      <c r="V848" t="s">
        <v>42</v>
      </c>
      <c r="W848" t="s">
        <v>43</v>
      </c>
      <c r="X848" s="19">
        <v>18</v>
      </c>
      <c r="Y848">
        <v>3</v>
      </c>
      <c r="Z848">
        <v>2</v>
      </c>
      <c r="AA848">
        <v>80</v>
      </c>
      <c r="AB848">
        <v>1</v>
      </c>
      <c r="AC848">
        <v>15</v>
      </c>
      <c r="AD848">
        <v>2</v>
      </c>
      <c r="AE848">
        <v>4</v>
      </c>
      <c r="AF848">
        <v>7</v>
      </c>
      <c r="AG848">
        <v>7</v>
      </c>
      <c r="AH848">
        <v>6</v>
      </c>
      <c r="AI848">
        <v>4</v>
      </c>
      <c r="AJ848">
        <f t="shared" si="130"/>
        <v>0</v>
      </c>
      <c r="AK848">
        <f t="shared" si="131"/>
        <v>0</v>
      </c>
      <c r="AL848">
        <f t="shared" si="132"/>
        <v>1</v>
      </c>
      <c r="AM848">
        <f t="shared" si="133"/>
        <v>2.75</v>
      </c>
      <c r="AN848">
        <f t="shared" si="134"/>
        <v>15411</v>
      </c>
      <c r="AO848">
        <f t="shared" si="135"/>
        <v>0.4375</v>
      </c>
      <c r="AP848" t="str">
        <f t="shared" si="136"/>
        <v>30-39</v>
      </c>
      <c r="AQ848" t="str">
        <f t="shared" si="137"/>
        <v>Very High</v>
      </c>
      <c r="AR848" t="str">
        <f t="shared" si="138"/>
        <v>Short</v>
      </c>
      <c r="AS848">
        <f t="shared" si="139"/>
        <v>0</v>
      </c>
    </row>
    <row r="849" spans="1:4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s="20">
        <v>5343</v>
      </c>
      <c r="T849">
        <v>25755</v>
      </c>
      <c r="U849">
        <v>0</v>
      </c>
      <c r="V849" t="s">
        <v>42</v>
      </c>
      <c r="W849" t="s">
        <v>43</v>
      </c>
      <c r="X849" s="19">
        <v>20</v>
      </c>
      <c r="Y849">
        <v>4</v>
      </c>
      <c r="Z849">
        <v>3</v>
      </c>
      <c r="AA849">
        <v>80</v>
      </c>
      <c r="AB849">
        <v>0</v>
      </c>
      <c r="AC849">
        <v>14</v>
      </c>
      <c r="AD849">
        <v>3</v>
      </c>
      <c r="AE849">
        <v>3</v>
      </c>
      <c r="AF849">
        <v>13</v>
      </c>
      <c r="AG849">
        <v>9</v>
      </c>
      <c r="AH849">
        <v>4</v>
      </c>
      <c r="AI849">
        <v>9</v>
      </c>
      <c r="AJ849">
        <f t="shared" si="130"/>
        <v>0</v>
      </c>
      <c r="AK849">
        <f t="shared" si="131"/>
        <v>0</v>
      </c>
      <c r="AL849">
        <f t="shared" si="132"/>
        <v>1</v>
      </c>
      <c r="AM849">
        <f t="shared" si="133"/>
        <v>2.75</v>
      </c>
      <c r="AN849">
        <f t="shared" si="134"/>
        <v>4579.7142857142853</v>
      </c>
      <c r="AO849">
        <f t="shared" si="135"/>
        <v>0.8666666666666667</v>
      </c>
      <c r="AP849" t="str">
        <f t="shared" si="136"/>
        <v>30-39</v>
      </c>
      <c r="AQ849" t="str">
        <f t="shared" si="137"/>
        <v>High</v>
      </c>
      <c r="AR849" t="str">
        <f t="shared" si="138"/>
        <v>Short</v>
      </c>
      <c r="AS849">
        <f t="shared" si="139"/>
        <v>1</v>
      </c>
    </row>
    <row r="850" spans="1:4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s="20">
        <v>2376</v>
      </c>
      <c r="T850">
        <v>26537</v>
      </c>
      <c r="U850">
        <v>1</v>
      </c>
      <c r="V850" t="s">
        <v>42</v>
      </c>
      <c r="W850" t="s">
        <v>43</v>
      </c>
      <c r="X850" s="19">
        <v>13</v>
      </c>
      <c r="Y850">
        <v>3</v>
      </c>
      <c r="Z850">
        <v>2</v>
      </c>
      <c r="AA850">
        <v>80</v>
      </c>
      <c r="AB850">
        <v>1</v>
      </c>
      <c r="AC850">
        <v>2</v>
      </c>
      <c r="AD850">
        <v>2</v>
      </c>
      <c r="AE850">
        <v>4</v>
      </c>
      <c r="AF850">
        <v>2</v>
      </c>
      <c r="AG850">
        <v>2</v>
      </c>
      <c r="AH850">
        <v>2</v>
      </c>
      <c r="AI850">
        <v>2</v>
      </c>
      <c r="AJ850">
        <f t="shared" si="130"/>
        <v>0</v>
      </c>
      <c r="AK850">
        <f t="shared" si="131"/>
        <v>0</v>
      </c>
      <c r="AL850">
        <f t="shared" si="132"/>
        <v>1</v>
      </c>
      <c r="AM850">
        <f t="shared" si="133"/>
        <v>3.5</v>
      </c>
      <c r="AN850">
        <f t="shared" si="134"/>
        <v>9504</v>
      </c>
      <c r="AO850">
        <f t="shared" si="135"/>
        <v>0.66666666666666663</v>
      </c>
      <c r="AP850" t="str">
        <f t="shared" si="136"/>
        <v>30-39</v>
      </c>
      <c r="AQ850" t="str">
        <f t="shared" si="137"/>
        <v>Low</v>
      </c>
      <c r="AR850" t="str">
        <f t="shared" si="138"/>
        <v>Short</v>
      </c>
      <c r="AS850">
        <f t="shared" si="139"/>
        <v>1</v>
      </c>
    </row>
    <row r="851" spans="1:4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s="20">
        <v>5346</v>
      </c>
      <c r="T851">
        <v>9489</v>
      </c>
      <c r="U851">
        <v>8</v>
      </c>
      <c r="V851" t="s">
        <v>42</v>
      </c>
      <c r="W851" t="s">
        <v>43</v>
      </c>
      <c r="X851" s="19">
        <v>13</v>
      </c>
      <c r="Y851">
        <v>3</v>
      </c>
      <c r="Z851">
        <v>2</v>
      </c>
      <c r="AA851">
        <v>80</v>
      </c>
      <c r="AB851">
        <v>0</v>
      </c>
      <c r="AC851">
        <v>7</v>
      </c>
      <c r="AD851">
        <v>2</v>
      </c>
      <c r="AE851">
        <v>2</v>
      </c>
      <c r="AF851">
        <v>4</v>
      </c>
      <c r="AG851">
        <v>3</v>
      </c>
      <c r="AH851">
        <v>1</v>
      </c>
      <c r="AI851">
        <v>3</v>
      </c>
      <c r="AJ851">
        <f t="shared" si="130"/>
        <v>1</v>
      </c>
      <c r="AK851">
        <f t="shared" si="131"/>
        <v>0</v>
      </c>
      <c r="AL851">
        <f t="shared" si="132"/>
        <v>0</v>
      </c>
      <c r="AM851">
        <f t="shared" si="133"/>
        <v>2</v>
      </c>
      <c r="AN851">
        <f t="shared" si="134"/>
        <v>12830.4</v>
      </c>
      <c r="AO851">
        <f t="shared" si="135"/>
        <v>0.5</v>
      </c>
      <c r="AP851" t="str">
        <f t="shared" si="136"/>
        <v>40-49</v>
      </c>
      <c r="AQ851" t="str">
        <f t="shared" si="137"/>
        <v>High</v>
      </c>
      <c r="AR851" t="str">
        <f t="shared" si="138"/>
        <v>Medium</v>
      </c>
      <c r="AS851">
        <f t="shared" si="139"/>
        <v>0</v>
      </c>
    </row>
    <row r="852" spans="1:45" x14ac:dyDescent="0.3">
      <c r="A852">
        <v>32</v>
      </c>
      <c r="B852" t="s">
        <v>43</v>
      </c>
      <c r="C852" t="s">
        <v>55</v>
      </c>
      <c r="D852">
        <v>862</v>
      </c>
      <c r="E852" t="s">
        <v>45</v>
      </c>
      <c r="F852">
        <v>2</v>
      </c>
      <c r="G852">
        <v>1</v>
      </c>
      <c r="H852" t="s">
        <v>38</v>
      </c>
      <c r="I852">
        <v>1</v>
      </c>
      <c r="J852">
        <v>1190</v>
      </c>
      <c r="K852">
        <v>3</v>
      </c>
      <c r="L852" t="s">
        <v>39</v>
      </c>
      <c r="M852">
        <v>76</v>
      </c>
      <c r="N852">
        <v>3</v>
      </c>
      <c r="O852">
        <v>1</v>
      </c>
      <c r="P852" t="s">
        <v>57</v>
      </c>
      <c r="Q852">
        <v>1</v>
      </c>
      <c r="R852" t="s">
        <v>52</v>
      </c>
      <c r="S852" s="20">
        <v>2827</v>
      </c>
      <c r="T852">
        <v>14947</v>
      </c>
      <c r="U852">
        <v>1</v>
      </c>
      <c r="V852" t="s">
        <v>42</v>
      </c>
      <c r="W852" t="s">
        <v>43</v>
      </c>
      <c r="X852" s="19">
        <v>12</v>
      </c>
      <c r="Y852">
        <v>3</v>
      </c>
      <c r="Z852">
        <v>3</v>
      </c>
      <c r="AA852">
        <v>80</v>
      </c>
      <c r="AB852">
        <v>3</v>
      </c>
      <c r="AC852">
        <v>1</v>
      </c>
      <c r="AD852">
        <v>3</v>
      </c>
      <c r="AE852">
        <v>3</v>
      </c>
      <c r="AF852">
        <v>1</v>
      </c>
      <c r="AG852">
        <v>0</v>
      </c>
      <c r="AH852">
        <v>0</v>
      </c>
      <c r="AI852">
        <v>0</v>
      </c>
      <c r="AJ852">
        <f t="shared" si="130"/>
        <v>0</v>
      </c>
      <c r="AK852">
        <f t="shared" si="131"/>
        <v>0</v>
      </c>
      <c r="AL852">
        <f t="shared" si="132"/>
        <v>0</v>
      </c>
      <c r="AM852">
        <f t="shared" si="133"/>
        <v>2.5</v>
      </c>
      <c r="AN852">
        <f t="shared" si="134"/>
        <v>16962</v>
      </c>
      <c r="AO852">
        <f t="shared" si="135"/>
        <v>0.5</v>
      </c>
      <c r="AP852" t="str">
        <f t="shared" si="136"/>
        <v>30-39</v>
      </c>
      <c r="AQ852" t="str">
        <f t="shared" si="137"/>
        <v>Low</v>
      </c>
      <c r="AR852" t="str">
        <f t="shared" si="138"/>
        <v>Short</v>
      </c>
      <c r="AS852">
        <f t="shared" si="139"/>
        <v>0</v>
      </c>
    </row>
    <row r="853" spans="1:4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s="20">
        <v>19943</v>
      </c>
      <c r="T853">
        <v>18575</v>
      </c>
      <c r="U853">
        <v>4</v>
      </c>
      <c r="V853" t="s">
        <v>42</v>
      </c>
      <c r="W853" t="s">
        <v>43</v>
      </c>
      <c r="X853" s="19">
        <v>13</v>
      </c>
      <c r="Y853">
        <v>3</v>
      </c>
      <c r="Z853">
        <v>4</v>
      </c>
      <c r="AA853">
        <v>80</v>
      </c>
      <c r="AB853">
        <v>1</v>
      </c>
      <c r="AC853">
        <v>28</v>
      </c>
      <c r="AD853">
        <v>2</v>
      </c>
      <c r="AE853">
        <v>3</v>
      </c>
      <c r="AF853">
        <v>5</v>
      </c>
      <c r="AG853">
        <v>2</v>
      </c>
      <c r="AH853">
        <v>4</v>
      </c>
      <c r="AI853">
        <v>2</v>
      </c>
      <c r="AJ853">
        <f t="shared" si="130"/>
        <v>0</v>
      </c>
      <c r="AK853">
        <f t="shared" si="131"/>
        <v>0</v>
      </c>
      <c r="AL853">
        <f t="shared" si="132"/>
        <v>0</v>
      </c>
      <c r="AM853">
        <f t="shared" si="133"/>
        <v>3</v>
      </c>
      <c r="AN853">
        <f t="shared" si="134"/>
        <v>39886</v>
      </c>
      <c r="AO853">
        <f t="shared" si="135"/>
        <v>0.17241379310344829</v>
      </c>
      <c r="AP853" t="str">
        <f t="shared" si="136"/>
        <v>50+</v>
      </c>
      <c r="AQ853" t="str">
        <f t="shared" si="137"/>
        <v>Very High</v>
      </c>
      <c r="AR853" t="str">
        <f t="shared" si="138"/>
        <v>Short</v>
      </c>
      <c r="AS853">
        <f t="shared" si="139"/>
        <v>0</v>
      </c>
    </row>
    <row r="854" spans="1:4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s="20">
        <v>3131</v>
      </c>
      <c r="T854">
        <v>26342</v>
      </c>
      <c r="U854">
        <v>1</v>
      </c>
      <c r="V854" t="s">
        <v>42</v>
      </c>
      <c r="W854" t="s">
        <v>43</v>
      </c>
      <c r="X854" s="19">
        <v>13</v>
      </c>
      <c r="Y854">
        <v>3</v>
      </c>
      <c r="Z854">
        <v>1</v>
      </c>
      <c r="AA854">
        <v>80</v>
      </c>
      <c r="AB854">
        <v>1</v>
      </c>
      <c r="AC854">
        <v>10</v>
      </c>
      <c r="AD854">
        <v>5</v>
      </c>
      <c r="AE854">
        <v>3</v>
      </c>
      <c r="AF854">
        <v>10</v>
      </c>
      <c r="AG854">
        <v>8</v>
      </c>
      <c r="AH854">
        <v>0</v>
      </c>
      <c r="AI854">
        <v>8</v>
      </c>
      <c r="AJ854">
        <f t="shared" si="130"/>
        <v>0</v>
      </c>
      <c r="AK854">
        <f t="shared" si="131"/>
        <v>0</v>
      </c>
      <c r="AL854">
        <f t="shared" si="132"/>
        <v>0</v>
      </c>
      <c r="AM854">
        <f t="shared" si="133"/>
        <v>2.5</v>
      </c>
      <c r="AN854">
        <f t="shared" si="134"/>
        <v>3415.6363636363635</v>
      </c>
      <c r="AO854">
        <f t="shared" si="135"/>
        <v>0.90909090909090906</v>
      </c>
      <c r="AP854" t="str">
        <f t="shared" si="136"/>
        <v>Under 30</v>
      </c>
      <c r="AQ854" t="str">
        <f t="shared" si="137"/>
        <v>Medium</v>
      </c>
      <c r="AR854" t="str">
        <f t="shared" si="138"/>
        <v>Medium</v>
      </c>
      <c r="AS854">
        <f t="shared" si="139"/>
        <v>0</v>
      </c>
    </row>
    <row r="855" spans="1:4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s="20">
        <v>2552</v>
      </c>
      <c r="T855">
        <v>7172</v>
      </c>
      <c r="U855">
        <v>1</v>
      </c>
      <c r="V855" t="s">
        <v>42</v>
      </c>
      <c r="W855" t="s">
        <v>43</v>
      </c>
      <c r="X855" s="19">
        <v>25</v>
      </c>
      <c r="Y855">
        <v>4</v>
      </c>
      <c r="Z855">
        <v>3</v>
      </c>
      <c r="AA855">
        <v>80</v>
      </c>
      <c r="AB855">
        <v>0</v>
      </c>
      <c r="AC855">
        <v>1</v>
      </c>
      <c r="AD855">
        <v>4</v>
      </c>
      <c r="AE855">
        <v>3</v>
      </c>
      <c r="AF855">
        <v>1</v>
      </c>
      <c r="AG855">
        <v>1</v>
      </c>
      <c r="AH855">
        <v>0</v>
      </c>
      <c r="AI855">
        <v>0</v>
      </c>
      <c r="AJ855">
        <f t="shared" si="130"/>
        <v>0</v>
      </c>
      <c r="AK855">
        <f t="shared" si="131"/>
        <v>0</v>
      </c>
      <c r="AL855">
        <f t="shared" si="132"/>
        <v>1</v>
      </c>
      <c r="AM855">
        <f t="shared" si="133"/>
        <v>2.5</v>
      </c>
      <c r="AN855">
        <f t="shared" si="134"/>
        <v>15312</v>
      </c>
      <c r="AO855">
        <f t="shared" si="135"/>
        <v>0.5</v>
      </c>
      <c r="AP855" t="str">
        <f t="shared" si="136"/>
        <v>Under 30</v>
      </c>
      <c r="AQ855" t="str">
        <f t="shared" si="137"/>
        <v>Low</v>
      </c>
      <c r="AR855" t="str">
        <f t="shared" si="138"/>
        <v>Medium</v>
      </c>
      <c r="AS855">
        <f t="shared" si="139"/>
        <v>0</v>
      </c>
    </row>
    <row r="856" spans="1:4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s="20">
        <v>4477</v>
      </c>
      <c r="T856">
        <v>20100</v>
      </c>
      <c r="U856">
        <v>4</v>
      </c>
      <c r="V856" t="s">
        <v>42</v>
      </c>
      <c r="W856" t="s">
        <v>35</v>
      </c>
      <c r="X856" s="19">
        <v>19</v>
      </c>
      <c r="Y856">
        <v>3</v>
      </c>
      <c r="Z856">
        <v>3</v>
      </c>
      <c r="AA856">
        <v>80</v>
      </c>
      <c r="AB856">
        <v>1</v>
      </c>
      <c r="AC856">
        <v>7</v>
      </c>
      <c r="AD856">
        <v>2</v>
      </c>
      <c r="AE856">
        <v>2</v>
      </c>
      <c r="AF856">
        <v>3</v>
      </c>
      <c r="AG856">
        <v>2</v>
      </c>
      <c r="AH856">
        <v>0</v>
      </c>
      <c r="AI856">
        <v>2</v>
      </c>
      <c r="AJ856">
        <f t="shared" si="130"/>
        <v>0</v>
      </c>
      <c r="AK856">
        <f t="shared" si="131"/>
        <v>1</v>
      </c>
      <c r="AL856">
        <f t="shared" si="132"/>
        <v>0</v>
      </c>
      <c r="AM856">
        <f t="shared" si="133"/>
        <v>2.25</v>
      </c>
      <c r="AN856">
        <f t="shared" si="134"/>
        <v>13431</v>
      </c>
      <c r="AO856">
        <f t="shared" si="135"/>
        <v>0.375</v>
      </c>
      <c r="AP856" t="str">
        <f t="shared" si="136"/>
        <v>40-49</v>
      </c>
      <c r="AQ856" t="str">
        <f t="shared" si="137"/>
        <v>Medium</v>
      </c>
      <c r="AR856" t="str">
        <f t="shared" si="138"/>
        <v>Medium</v>
      </c>
      <c r="AS856">
        <f t="shared" si="139"/>
        <v>0</v>
      </c>
    </row>
    <row r="857" spans="1:4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s="20">
        <v>6474</v>
      </c>
      <c r="T857">
        <v>9961</v>
      </c>
      <c r="U857">
        <v>1</v>
      </c>
      <c r="V857" t="s">
        <v>42</v>
      </c>
      <c r="W857" t="s">
        <v>43</v>
      </c>
      <c r="X857" s="19">
        <v>13</v>
      </c>
      <c r="Y857">
        <v>3</v>
      </c>
      <c r="Z857">
        <v>2</v>
      </c>
      <c r="AA857">
        <v>80</v>
      </c>
      <c r="AB857">
        <v>1</v>
      </c>
      <c r="AC857">
        <v>14</v>
      </c>
      <c r="AD857">
        <v>2</v>
      </c>
      <c r="AE857">
        <v>2</v>
      </c>
      <c r="AF857">
        <v>14</v>
      </c>
      <c r="AG857">
        <v>8</v>
      </c>
      <c r="AH857">
        <v>3</v>
      </c>
      <c r="AI857">
        <v>11</v>
      </c>
      <c r="AJ857">
        <f t="shared" si="130"/>
        <v>0</v>
      </c>
      <c r="AK857">
        <f t="shared" si="131"/>
        <v>0</v>
      </c>
      <c r="AL857">
        <f t="shared" si="132"/>
        <v>0</v>
      </c>
      <c r="AM857">
        <f t="shared" si="133"/>
        <v>3</v>
      </c>
      <c r="AN857">
        <f t="shared" si="134"/>
        <v>5179.2</v>
      </c>
      <c r="AO857">
        <f t="shared" si="135"/>
        <v>0.93333333333333335</v>
      </c>
      <c r="AP857" t="str">
        <f t="shared" si="136"/>
        <v>30-39</v>
      </c>
      <c r="AQ857" t="str">
        <f t="shared" si="137"/>
        <v>High</v>
      </c>
      <c r="AR857" t="str">
        <f t="shared" si="138"/>
        <v>Short</v>
      </c>
      <c r="AS857">
        <f t="shared" si="139"/>
        <v>0</v>
      </c>
    </row>
    <row r="858" spans="1:4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s="20">
        <v>3033</v>
      </c>
      <c r="T858">
        <v>12828</v>
      </c>
      <c r="U858">
        <v>1</v>
      </c>
      <c r="V858" t="s">
        <v>42</v>
      </c>
      <c r="W858" t="s">
        <v>43</v>
      </c>
      <c r="X858" s="19">
        <v>12</v>
      </c>
      <c r="Y858">
        <v>3</v>
      </c>
      <c r="Z858">
        <v>1</v>
      </c>
      <c r="AA858">
        <v>80</v>
      </c>
      <c r="AB858">
        <v>0</v>
      </c>
      <c r="AC858">
        <v>2</v>
      </c>
      <c r="AD858">
        <v>2</v>
      </c>
      <c r="AE858">
        <v>2</v>
      </c>
      <c r="AF858">
        <v>2</v>
      </c>
      <c r="AG858">
        <v>2</v>
      </c>
      <c r="AH858">
        <v>1</v>
      </c>
      <c r="AI858">
        <v>2</v>
      </c>
      <c r="AJ858">
        <f t="shared" si="130"/>
        <v>0</v>
      </c>
      <c r="AK858">
        <f t="shared" si="131"/>
        <v>0</v>
      </c>
      <c r="AL858">
        <f t="shared" si="132"/>
        <v>1</v>
      </c>
      <c r="AM858">
        <f t="shared" si="133"/>
        <v>1.75</v>
      </c>
      <c r="AN858">
        <f t="shared" si="134"/>
        <v>12132</v>
      </c>
      <c r="AO858">
        <f t="shared" si="135"/>
        <v>0.66666666666666663</v>
      </c>
      <c r="AP858" t="str">
        <f t="shared" si="136"/>
        <v>Under 30</v>
      </c>
      <c r="AQ858" t="str">
        <f t="shared" si="137"/>
        <v>Medium</v>
      </c>
      <c r="AR858" t="str">
        <f t="shared" si="138"/>
        <v>Short</v>
      </c>
      <c r="AS858">
        <f t="shared" si="139"/>
        <v>0</v>
      </c>
    </row>
    <row r="859" spans="1:4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s="20">
        <v>2936</v>
      </c>
      <c r="T859">
        <v>10826</v>
      </c>
      <c r="U859">
        <v>1</v>
      </c>
      <c r="V859" t="s">
        <v>42</v>
      </c>
      <c r="W859" t="s">
        <v>35</v>
      </c>
      <c r="X859" s="19">
        <v>11</v>
      </c>
      <c r="Y859">
        <v>3</v>
      </c>
      <c r="Z859">
        <v>3</v>
      </c>
      <c r="AA859">
        <v>80</v>
      </c>
      <c r="AB859">
        <v>0</v>
      </c>
      <c r="AC859">
        <v>6</v>
      </c>
      <c r="AD859">
        <v>4</v>
      </c>
      <c r="AE859">
        <v>3</v>
      </c>
      <c r="AF859">
        <v>6</v>
      </c>
      <c r="AG859">
        <v>4</v>
      </c>
      <c r="AH859">
        <v>0</v>
      </c>
      <c r="AI859">
        <v>2</v>
      </c>
      <c r="AJ859">
        <f t="shared" si="130"/>
        <v>1</v>
      </c>
      <c r="AK859">
        <f t="shared" si="131"/>
        <v>1</v>
      </c>
      <c r="AL859">
        <f t="shared" si="132"/>
        <v>1</v>
      </c>
      <c r="AM859">
        <f t="shared" si="133"/>
        <v>3</v>
      </c>
      <c r="AN859">
        <f t="shared" si="134"/>
        <v>5033.1428571428569</v>
      </c>
      <c r="AO859">
        <f t="shared" si="135"/>
        <v>0.8571428571428571</v>
      </c>
      <c r="AP859" t="str">
        <f t="shared" si="136"/>
        <v>40-49</v>
      </c>
      <c r="AQ859" t="str">
        <f t="shared" si="137"/>
        <v>Medium</v>
      </c>
      <c r="AR859" t="str">
        <f t="shared" si="138"/>
        <v>Medium</v>
      </c>
      <c r="AS859">
        <f t="shared" si="139"/>
        <v>0</v>
      </c>
    </row>
    <row r="860" spans="1:4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s="20">
        <v>18606</v>
      </c>
      <c r="T860">
        <v>18640</v>
      </c>
      <c r="U860">
        <v>3</v>
      </c>
      <c r="V860" t="s">
        <v>42</v>
      </c>
      <c r="W860" t="s">
        <v>43</v>
      </c>
      <c r="X860" s="19">
        <v>18</v>
      </c>
      <c r="Y860">
        <v>3</v>
      </c>
      <c r="Z860">
        <v>2</v>
      </c>
      <c r="AA860">
        <v>80</v>
      </c>
      <c r="AB860">
        <v>1</v>
      </c>
      <c r="AC860">
        <v>26</v>
      </c>
      <c r="AD860">
        <v>6</v>
      </c>
      <c r="AE860">
        <v>3</v>
      </c>
      <c r="AF860">
        <v>7</v>
      </c>
      <c r="AG860">
        <v>7</v>
      </c>
      <c r="AH860">
        <v>4</v>
      </c>
      <c r="AI860">
        <v>7</v>
      </c>
      <c r="AJ860">
        <f t="shared" si="130"/>
        <v>0</v>
      </c>
      <c r="AK860">
        <f t="shared" si="131"/>
        <v>0</v>
      </c>
      <c r="AL860">
        <f t="shared" si="132"/>
        <v>0</v>
      </c>
      <c r="AM860">
        <f t="shared" si="133"/>
        <v>3</v>
      </c>
      <c r="AN860">
        <f t="shared" si="134"/>
        <v>27909</v>
      </c>
      <c r="AO860">
        <f t="shared" si="135"/>
        <v>0.25925925925925924</v>
      </c>
      <c r="AP860" t="str">
        <f t="shared" si="136"/>
        <v>50+</v>
      </c>
      <c r="AQ860" t="str">
        <f t="shared" si="137"/>
        <v>Very High</v>
      </c>
      <c r="AR860" t="str">
        <f t="shared" si="138"/>
        <v>Medium</v>
      </c>
      <c r="AS860">
        <f t="shared" si="139"/>
        <v>0</v>
      </c>
    </row>
    <row r="861" spans="1:4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s="20">
        <v>2168</v>
      </c>
      <c r="T861">
        <v>26933</v>
      </c>
      <c r="U861">
        <v>0</v>
      </c>
      <c r="V861" t="s">
        <v>42</v>
      </c>
      <c r="W861" t="s">
        <v>35</v>
      </c>
      <c r="X861" s="19">
        <v>18</v>
      </c>
      <c r="Y861">
        <v>3</v>
      </c>
      <c r="Z861">
        <v>1</v>
      </c>
      <c r="AA861">
        <v>80</v>
      </c>
      <c r="AB861">
        <v>1</v>
      </c>
      <c r="AC861">
        <v>6</v>
      </c>
      <c r="AD861">
        <v>2</v>
      </c>
      <c r="AE861">
        <v>2</v>
      </c>
      <c r="AF861">
        <v>5</v>
      </c>
      <c r="AG861">
        <v>4</v>
      </c>
      <c r="AH861">
        <v>1</v>
      </c>
      <c r="AI861">
        <v>3</v>
      </c>
      <c r="AJ861">
        <f t="shared" si="130"/>
        <v>0</v>
      </c>
      <c r="AK861">
        <f t="shared" si="131"/>
        <v>1</v>
      </c>
      <c r="AL861">
        <f t="shared" si="132"/>
        <v>0</v>
      </c>
      <c r="AM861">
        <f t="shared" si="133"/>
        <v>2.25</v>
      </c>
      <c r="AN861">
        <f t="shared" si="134"/>
        <v>4336</v>
      </c>
      <c r="AO861">
        <f t="shared" si="135"/>
        <v>0.7142857142857143</v>
      </c>
      <c r="AP861" t="str">
        <f t="shared" si="136"/>
        <v>Under 30</v>
      </c>
      <c r="AQ861" t="str">
        <f t="shared" si="137"/>
        <v>Low</v>
      </c>
      <c r="AR861" t="str">
        <f t="shared" si="138"/>
        <v>Medium</v>
      </c>
      <c r="AS861">
        <f t="shared" si="139"/>
        <v>0</v>
      </c>
    </row>
    <row r="862" spans="1:4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s="20">
        <v>2853</v>
      </c>
      <c r="T862">
        <v>4223</v>
      </c>
      <c r="U862">
        <v>0</v>
      </c>
      <c r="V862" t="s">
        <v>42</v>
      </c>
      <c r="W862" t="s">
        <v>35</v>
      </c>
      <c r="X862" s="19">
        <v>11</v>
      </c>
      <c r="Y862">
        <v>3</v>
      </c>
      <c r="Z862">
        <v>2</v>
      </c>
      <c r="AA862">
        <v>80</v>
      </c>
      <c r="AB862">
        <v>1</v>
      </c>
      <c r="AC862">
        <v>10</v>
      </c>
      <c r="AD862">
        <v>5</v>
      </c>
      <c r="AE862">
        <v>3</v>
      </c>
      <c r="AF862">
        <v>0</v>
      </c>
      <c r="AG862">
        <v>0</v>
      </c>
      <c r="AH862">
        <v>0</v>
      </c>
      <c r="AI862">
        <v>0</v>
      </c>
      <c r="AJ862">
        <f t="shared" si="130"/>
        <v>1</v>
      </c>
      <c r="AK862">
        <f t="shared" si="131"/>
        <v>1</v>
      </c>
      <c r="AL862">
        <f t="shared" si="132"/>
        <v>1</v>
      </c>
      <c r="AM862">
        <f t="shared" si="133"/>
        <v>3</v>
      </c>
      <c r="AN862">
        <f t="shared" si="134"/>
        <v>34236</v>
      </c>
      <c r="AO862">
        <f t="shared" si="135"/>
        <v>0</v>
      </c>
      <c r="AP862" t="str">
        <f t="shared" si="136"/>
        <v>Under 30</v>
      </c>
      <c r="AQ862" t="str">
        <f t="shared" si="137"/>
        <v>Low</v>
      </c>
      <c r="AR862" t="str">
        <f t="shared" si="138"/>
        <v>Short</v>
      </c>
      <c r="AS862">
        <f t="shared" si="139"/>
        <v>1</v>
      </c>
    </row>
    <row r="863" spans="1:4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s="20">
        <v>17048</v>
      </c>
      <c r="T863">
        <v>24097</v>
      </c>
      <c r="U863">
        <v>8</v>
      </c>
      <c r="V863" t="s">
        <v>42</v>
      </c>
      <c r="W863" t="s">
        <v>43</v>
      </c>
      <c r="X863" s="19">
        <v>23</v>
      </c>
      <c r="Y863">
        <v>4</v>
      </c>
      <c r="Z863">
        <v>1</v>
      </c>
      <c r="AA863">
        <v>80</v>
      </c>
      <c r="AB863">
        <v>0</v>
      </c>
      <c r="AC863">
        <v>28</v>
      </c>
      <c r="AD863">
        <v>2</v>
      </c>
      <c r="AE863">
        <v>3</v>
      </c>
      <c r="AF863">
        <v>26</v>
      </c>
      <c r="AG863">
        <v>15</v>
      </c>
      <c r="AH863">
        <v>15</v>
      </c>
      <c r="AI863">
        <v>9</v>
      </c>
      <c r="AJ863">
        <f t="shared" si="130"/>
        <v>0</v>
      </c>
      <c r="AK863">
        <f t="shared" si="131"/>
        <v>0</v>
      </c>
      <c r="AL863">
        <f t="shared" si="132"/>
        <v>0</v>
      </c>
      <c r="AM863">
        <f t="shared" si="133"/>
        <v>2</v>
      </c>
      <c r="AN863">
        <f t="shared" si="134"/>
        <v>7576.8888888888887</v>
      </c>
      <c r="AO863">
        <f t="shared" si="135"/>
        <v>0.89655172413793105</v>
      </c>
      <c r="AP863" t="str">
        <f t="shared" si="136"/>
        <v>40-49</v>
      </c>
      <c r="AQ863" t="str">
        <f t="shared" si="137"/>
        <v>Very High</v>
      </c>
      <c r="AR863" t="str">
        <f t="shared" si="138"/>
        <v>Short</v>
      </c>
      <c r="AS863">
        <f t="shared" si="139"/>
        <v>0</v>
      </c>
    </row>
    <row r="864" spans="1:4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s="20">
        <v>2290</v>
      </c>
      <c r="T864">
        <v>4279</v>
      </c>
      <c r="U864">
        <v>2</v>
      </c>
      <c r="V864" t="s">
        <v>42</v>
      </c>
      <c r="W864" t="s">
        <v>43</v>
      </c>
      <c r="X864" s="19">
        <v>13</v>
      </c>
      <c r="Y864">
        <v>3</v>
      </c>
      <c r="Z864">
        <v>4</v>
      </c>
      <c r="AA864">
        <v>80</v>
      </c>
      <c r="AB864">
        <v>0</v>
      </c>
      <c r="AC864">
        <v>6</v>
      </c>
      <c r="AD864">
        <v>3</v>
      </c>
      <c r="AE864">
        <v>3</v>
      </c>
      <c r="AF864">
        <v>0</v>
      </c>
      <c r="AG864">
        <v>0</v>
      </c>
      <c r="AH864">
        <v>0</v>
      </c>
      <c r="AI864">
        <v>0</v>
      </c>
      <c r="AJ864">
        <f t="shared" si="130"/>
        <v>0</v>
      </c>
      <c r="AK864">
        <f t="shared" si="131"/>
        <v>0</v>
      </c>
      <c r="AL864">
        <f t="shared" si="132"/>
        <v>1</v>
      </c>
      <c r="AM864">
        <f t="shared" si="133"/>
        <v>3.5</v>
      </c>
      <c r="AN864">
        <f t="shared" si="134"/>
        <v>27480</v>
      </c>
      <c r="AO864">
        <f t="shared" si="135"/>
        <v>0</v>
      </c>
      <c r="AP864" t="str">
        <f t="shared" si="136"/>
        <v>40-49</v>
      </c>
      <c r="AQ864" t="str">
        <f t="shared" si="137"/>
        <v>Low</v>
      </c>
      <c r="AR864" t="str">
        <f t="shared" si="138"/>
        <v>Long</v>
      </c>
      <c r="AS864">
        <f t="shared" si="139"/>
        <v>0</v>
      </c>
    </row>
    <row r="865" spans="1:4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s="20">
        <v>3600</v>
      </c>
      <c r="T865">
        <v>8429</v>
      </c>
      <c r="U865">
        <v>1</v>
      </c>
      <c r="V865" t="s">
        <v>42</v>
      </c>
      <c r="W865" t="s">
        <v>43</v>
      </c>
      <c r="X865" s="19">
        <v>13</v>
      </c>
      <c r="Y865">
        <v>3</v>
      </c>
      <c r="Z865">
        <v>4</v>
      </c>
      <c r="AA865">
        <v>80</v>
      </c>
      <c r="AB865">
        <v>1</v>
      </c>
      <c r="AC865">
        <v>5</v>
      </c>
      <c r="AD865">
        <v>2</v>
      </c>
      <c r="AE865">
        <v>3</v>
      </c>
      <c r="AF865">
        <v>5</v>
      </c>
      <c r="AG865">
        <v>4</v>
      </c>
      <c r="AH865">
        <v>1</v>
      </c>
      <c r="AI865">
        <v>4</v>
      </c>
      <c r="AJ865">
        <f t="shared" si="130"/>
        <v>0</v>
      </c>
      <c r="AK865">
        <f t="shared" si="131"/>
        <v>0</v>
      </c>
      <c r="AL865">
        <f t="shared" si="132"/>
        <v>1</v>
      </c>
      <c r="AM865">
        <f t="shared" si="133"/>
        <v>3</v>
      </c>
      <c r="AN865">
        <f t="shared" si="134"/>
        <v>7200</v>
      </c>
      <c r="AO865">
        <f t="shared" si="135"/>
        <v>0.83333333333333337</v>
      </c>
      <c r="AP865" t="str">
        <f t="shared" si="136"/>
        <v>30-39</v>
      </c>
      <c r="AQ865" t="str">
        <f t="shared" si="137"/>
        <v>Medium</v>
      </c>
      <c r="AR865" t="str">
        <f t="shared" si="138"/>
        <v>Short</v>
      </c>
      <c r="AS865">
        <f t="shared" si="139"/>
        <v>0</v>
      </c>
    </row>
    <row r="866" spans="1:4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s="20">
        <v>2107</v>
      </c>
      <c r="T866">
        <v>20293</v>
      </c>
      <c r="U866">
        <v>6</v>
      </c>
      <c r="V866" t="s">
        <v>42</v>
      </c>
      <c r="W866" t="s">
        <v>43</v>
      </c>
      <c r="X866" s="19">
        <v>17</v>
      </c>
      <c r="Y866">
        <v>3</v>
      </c>
      <c r="Z866">
        <v>1</v>
      </c>
      <c r="AA866">
        <v>80</v>
      </c>
      <c r="AB866">
        <v>1</v>
      </c>
      <c r="AC866">
        <v>5</v>
      </c>
      <c r="AD866">
        <v>2</v>
      </c>
      <c r="AE866">
        <v>1</v>
      </c>
      <c r="AF866">
        <v>1</v>
      </c>
      <c r="AG866">
        <v>0</v>
      </c>
      <c r="AH866">
        <v>0</v>
      </c>
      <c r="AI866">
        <v>0</v>
      </c>
      <c r="AJ866">
        <f t="shared" si="130"/>
        <v>1</v>
      </c>
      <c r="AK866">
        <f t="shared" si="131"/>
        <v>0</v>
      </c>
      <c r="AL866">
        <f t="shared" si="132"/>
        <v>1</v>
      </c>
      <c r="AM866">
        <f t="shared" si="133"/>
        <v>1</v>
      </c>
      <c r="AN866">
        <f t="shared" si="134"/>
        <v>12642</v>
      </c>
      <c r="AO866">
        <f t="shared" si="135"/>
        <v>0.16666666666666666</v>
      </c>
      <c r="AP866" t="str">
        <f t="shared" si="136"/>
        <v>40-49</v>
      </c>
      <c r="AQ866" t="str">
        <f t="shared" si="137"/>
        <v>Low</v>
      </c>
      <c r="AR866" t="str">
        <f t="shared" si="138"/>
        <v>Short</v>
      </c>
      <c r="AS866">
        <f t="shared" si="139"/>
        <v>0</v>
      </c>
    </row>
    <row r="867" spans="1:4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s="20">
        <v>4115</v>
      </c>
      <c r="T867">
        <v>13192</v>
      </c>
      <c r="U867">
        <v>8</v>
      </c>
      <c r="V867" t="s">
        <v>42</v>
      </c>
      <c r="W867" t="s">
        <v>43</v>
      </c>
      <c r="X867" s="19">
        <v>19</v>
      </c>
      <c r="Y867">
        <v>3</v>
      </c>
      <c r="Z867">
        <v>3</v>
      </c>
      <c r="AA867">
        <v>80</v>
      </c>
      <c r="AB867">
        <v>3</v>
      </c>
      <c r="AC867">
        <v>8</v>
      </c>
      <c r="AD867">
        <v>3</v>
      </c>
      <c r="AE867">
        <v>3</v>
      </c>
      <c r="AF867">
        <v>4</v>
      </c>
      <c r="AG867">
        <v>3</v>
      </c>
      <c r="AH867">
        <v>0</v>
      </c>
      <c r="AI867">
        <v>3</v>
      </c>
      <c r="AJ867">
        <f t="shared" si="130"/>
        <v>0</v>
      </c>
      <c r="AK867">
        <f t="shared" si="131"/>
        <v>0</v>
      </c>
      <c r="AL867">
        <f t="shared" si="132"/>
        <v>1</v>
      </c>
      <c r="AM867">
        <f t="shared" si="133"/>
        <v>2.5</v>
      </c>
      <c r="AN867">
        <f t="shared" si="134"/>
        <v>9876</v>
      </c>
      <c r="AO867">
        <f t="shared" si="135"/>
        <v>0.44444444444444442</v>
      </c>
      <c r="AP867" t="str">
        <f t="shared" si="136"/>
        <v>30-39</v>
      </c>
      <c r="AQ867" t="str">
        <f t="shared" si="137"/>
        <v>Medium</v>
      </c>
      <c r="AR867" t="str">
        <f t="shared" si="138"/>
        <v>Long</v>
      </c>
      <c r="AS867">
        <f t="shared" si="139"/>
        <v>0</v>
      </c>
    </row>
    <row r="868" spans="1:4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s="20">
        <v>4327</v>
      </c>
      <c r="T868">
        <v>25440</v>
      </c>
      <c r="U868">
        <v>5</v>
      </c>
      <c r="V868" t="s">
        <v>42</v>
      </c>
      <c r="W868" t="s">
        <v>43</v>
      </c>
      <c r="X868" s="19">
        <v>12</v>
      </c>
      <c r="Y868">
        <v>3</v>
      </c>
      <c r="Z868">
        <v>4</v>
      </c>
      <c r="AA868">
        <v>80</v>
      </c>
      <c r="AB868">
        <v>3</v>
      </c>
      <c r="AC868">
        <v>5</v>
      </c>
      <c r="AD868">
        <v>2</v>
      </c>
      <c r="AE868">
        <v>3</v>
      </c>
      <c r="AF868">
        <v>0</v>
      </c>
      <c r="AG868">
        <v>0</v>
      </c>
      <c r="AH868">
        <v>0</v>
      </c>
      <c r="AI868">
        <v>0</v>
      </c>
      <c r="AJ868">
        <f t="shared" si="130"/>
        <v>0</v>
      </c>
      <c r="AK868">
        <f t="shared" si="131"/>
        <v>0</v>
      </c>
      <c r="AL868">
        <f t="shared" si="132"/>
        <v>1</v>
      </c>
      <c r="AM868">
        <f t="shared" si="133"/>
        <v>2.75</v>
      </c>
      <c r="AN868">
        <f t="shared" si="134"/>
        <v>51924</v>
      </c>
      <c r="AO868">
        <f t="shared" si="135"/>
        <v>0</v>
      </c>
      <c r="AP868" t="str">
        <f t="shared" si="136"/>
        <v>40-49</v>
      </c>
      <c r="AQ868" t="str">
        <f t="shared" si="137"/>
        <v>Medium</v>
      </c>
      <c r="AR868" t="str">
        <f t="shared" si="138"/>
        <v>Short</v>
      </c>
      <c r="AS868">
        <f t="shared" si="139"/>
        <v>1</v>
      </c>
    </row>
    <row r="869" spans="1:4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s="20">
        <v>17856</v>
      </c>
      <c r="T869">
        <v>9490</v>
      </c>
      <c r="U869">
        <v>2</v>
      </c>
      <c r="V869" t="s">
        <v>42</v>
      </c>
      <c r="W869" t="s">
        <v>43</v>
      </c>
      <c r="X869" s="19">
        <v>22</v>
      </c>
      <c r="Y869">
        <v>4</v>
      </c>
      <c r="Z869">
        <v>3</v>
      </c>
      <c r="AA869">
        <v>80</v>
      </c>
      <c r="AB869">
        <v>1</v>
      </c>
      <c r="AC869">
        <v>32</v>
      </c>
      <c r="AD869">
        <v>3</v>
      </c>
      <c r="AE869">
        <v>3</v>
      </c>
      <c r="AF869">
        <v>2</v>
      </c>
      <c r="AG869">
        <v>2</v>
      </c>
      <c r="AH869">
        <v>2</v>
      </c>
      <c r="AI869">
        <v>2</v>
      </c>
      <c r="AJ869">
        <f t="shared" si="130"/>
        <v>0</v>
      </c>
      <c r="AK869">
        <f t="shared" si="131"/>
        <v>0</v>
      </c>
      <c r="AL869">
        <f t="shared" si="132"/>
        <v>0</v>
      </c>
      <c r="AM869">
        <f t="shared" si="133"/>
        <v>2.75</v>
      </c>
      <c r="AN869">
        <f t="shared" si="134"/>
        <v>71424</v>
      </c>
      <c r="AO869">
        <f t="shared" si="135"/>
        <v>6.0606060606060608E-2</v>
      </c>
      <c r="AP869" t="str">
        <f t="shared" si="136"/>
        <v>50+</v>
      </c>
      <c r="AQ869" t="str">
        <f t="shared" si="137"/>
        <v>Very High</v>
      </c>
      <c r="AR869" t="str">
        <f t="shared" si="138"/>
        <v>Short</v>
      </c>
      <c r="AS869">
        <f t="shared" si="139"/>
        <v>1</v>
      </c>
    </row>
    <row r="870" spans="1:4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s="20">
        <v>3196</v>
      </c>
      <c r="T870">
        <v>12449</v>
      </c>
      <c r="U870">
        <v>1</v>
      </c>
      <c r="V870" t="s">
        <v>42</v>
      </c>
      <c r="W870" t="s">
        <v>43</v>
      </c>
      <c r="X870" s="19">
        <v>12</v>
      </c>
      <c r="Y870">
        <v>3</v>
      </c>
      <c r="Z870">
        <v>3</v>
      </c>
      <c r="AA870">
        <v>80</v>
      </c>
      <c r="AB870">
        <v>3</v>
      </c>
      <c r="AC870">
        <v>6</v>
      </c>
      <c r="AD870">
        <v>2</v>
      </c>
      <c r="AE870">
        <v>3</v>
      </c>
      <c r="AF870">
        <v>6</v>
      </c>
      <c r="AG870">
        <v>5</v>
      </c>
      <c r="AH870">
        <v>3</v>
      </c>
      <c r="AI870">
        <v>3</v>
      </c>
      <c r="AJ870">
        <f t="shared" si="130"/>
        <v>0</v>
      </c>
      <c r="AK870">
        <f t="shared" si="131"/>
        <v>0</v>
      </c>
      <c r="AL870">
        <f t="shared" si="132"/>
        <v>1</v>
      </c>
      <c r="AM870">
        <f t="shared" si="133"/>
        <v>2.75</v>
      </c>
      <c r="AN870">
        <f t="shared" si="134"/>
        <v>5478.8571428571431</v>
      </c>
      <c r="AO870">
        <f t="shared" si="135"/>
        <v>0.8571428571428571</v>
      </c>
      <c r="AP870" t="str">
        <f t="shared" si="136"/>
        <v>Under 30</v>
      </c>
      <c r="AQ870" t="str">
        <f t="shared" si="137"/>
        <v>Medium</v>
      </c>
      <c r="AR870" t="str">
        <f t="shared" si="138"/>
        <v>Long</v>
      </c>
      <c r="AS870">
        <f t="shared" si="139"/>
        <v>0</v>
      </c>
    </row>
    <row r="871" spans="1:4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s="20">
        <v>19081</v>
      </c>
      <c r="T871">
        <v>10849</v>
      </c>
      <c r="U871">
        <v>5</v>
      </c>
      <c r="V871" t="s">
        <v>42</v>
      </c>
      <c r="W871" t="s">
        <v>43</v>
      </c>
      <c r="X871" s="19">
        <v>11</v>
      </c>
      <c r="Y871">
        <v>3</v>
      </c>
      <c r="Z871">
        <v>1</v>
      </c>
      <c r="AA871">
        <v>80</v>
      </c>
      <c r="AB871">
        <v>1</v>
      </c>
      <c r="AC871">
        <v>25</v>
      </c>
      <c r="AD871">
        <v>2</v>
      </c>
      <c r="AE871">
        <v>3</v>
      </c>
      <c r="AF871">
        <v>4</v>
      </c>
      <c r="AG871">
        <v>2</v>
      </c>
      <c r="AH871">
        <v>0</v>
      </c>
      <c r="AI871">
        <v>3</v>
      </c>
      <c r="AJ871">
        <f t="shared" si="130"/>
        <v>0</v>
      </c>
      <c r="AK871">
        <f t="shared" si="131"/>
        <v>0</v>
      </c>
      <c r="AL871">
        <f t="shared" si="132"/>
        <v>1</v>
      </c>
      <c r="AM871">
        <f t="shared" si="133"/>
        <v>2.5</v>
      </c>
      <c r="AN871">
        <f t="shared" si="134"/>
        <v>45794.400000000001</v>
      </c>
      <c r="AO871">
        <f t="shared" si="135"/>
        <v>0.15384615384615385</v>
      </c>
      <c r="AP871" t="str">
        <f t="shared" si="136"/>
        <v>40-49</v>
      </c>
      <c r="AQ871" t="str">
        <f t="shared" si="137"/>
        <v>Very High</v>
      </c>
      <c r="AR871" t="str">
        <f t="shared" si="138"/>
        <v>Medium</v>
      </c>
      <c r="AS871">
        <f t="shared" si="139"/>
        <v>0</v>
      </c>
    </row>
    <row r="872" spans="1:4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s="20">
        <v>8966</v>
      </c>
      <c r="T872">
        <v>21026</v>
      </c>
      <c r="U872">
        <v>3</v>
      </c>
      <c r="V872" t="s">
        <v>42</v>
      </c>
      <c r="W872" t="s">
        <v>35</v>
      </c>
      <c r="X872" s="19">
        <v>15</v>
      </c>
      <c r="Y872">
        <v>3</v>
      </c>
      <c r="Z872">
        <v>4</v>
      </c>
      <c r="AA872">
        <v>80</v>
      </c>
      <c r="AB872">
        <v>3</v>
      </c>
      <c r="AC872">
        <v>15</v>
      </c>
      <c r="AD872">
        <v>2</v>
      </c>
      <c r="AE872">
        <v>3</v>
      </c>
      <c r="AF872">
        <v>7</v>
      </c>
      <c r="AG872">
        <v>7</v>
      </c>
      <c r="AH872">
        <v>1</v>
      </c>
      <c r="AI872">
        <v>7</v>
      </c>
      <c r="AJ872">
        <f t="shared" si="130"/>
        <v>0</v>
      </c>
      <c r="AK872">
        <f t="shared" si="131"/>
        <v>1</v>
      </c>
      <c r="AL872">
        <f t="shared" si="132"/>
        <v>1</v>
      </c>
      <c r="AM872">
        <f t="shared" si="133"/>
        <v>2.75</v>
      </c>
      <c r="AN872">
        <f t="shared" si="134"/>
        <v>13449</v>
      </c>
      <c r="AO872">
        <f t="shared" si="135"/>
        <v>0.4375</v>
      </c>
      <c r="AP872" t="str">
        <f t="shared" si="136"/>
        <v>30-39</v>
      </c>
      <c r="AQ872" t="str">
        <f t="shared" si="137"/>
        <v>Very High</v>
      </c>
      <c r="AR872" t="str">
        <f t="shared" si="138"/>
        <v>Long</v>
      </c>
      <c r="AS872">
        <f t="shared" si="139"/>
        <v>0</v>
      </c>
    </row>
    <row r="873" spans="1:4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s="20">
        <v>2210</v>
      </c>
      <c r="T873">
        <v>3372</v>
      </c>
      <c r="U873">
        <v>1</v>
      </c>
      <c r="V873" t="s">
        <v>42</v>
      </c>
      <c r="W873" t="s">
        <v>43</v>
      </c>
      <c r="X873" s="19">
        <v>13</v>
      </c>
      <c r="Y873">
        <v>3</v>
      </c>
      <c r="Z873">
        <v>1</v>
      </c>
      <c r="AA873">
        <v>80</v>
      </c>
      <c r="AB873">
        <v>1</v>
      </c>
      <c r="AC873">
        <v>1</v>
      </c>
      <c r="AD873">
        <v>3</v>
      </c>
      <c r="AE873">
        <v>1</v>
      </c>
      <c r="AF873">
        <v>1</v>
      </c>
      <c r="AG873">
        <v>0</v>
      </c>
      <c r="AH873">
        <v>0</v>
      </c>
      <c r="AI873">
        <v>0</v>
      </c>
      <c r="AJ873">
        <f t="shared" si="130"/>
        <v>1</v>
      </c>
      <c r="AK873">
        <f t="shared" si="131"/>
        <v>0</v>
      </c>
      <c r="AL873">
        <f t="shared" si="132"/>
        <v>0</v>
      </c>
      <c r="AM873">
        <f t="shared" si="133"/>
        <v>2</v>
      </c>
      <c r="AN873">
        <f t="shared" si="134"/>
        <v>13260</v>
      </c>
      <c r="AO873">
        <f t="shared" si="135"/>
        <v>0.5</v>
      </c>
      <c r="AP873" t="str">
        <f t="shared" si="136"/>
        <v>Under 30</v>
      </c>
      <c r="AQ873" t="str">
        <f t="shared" si="137"/>
        <v>Low</v>
      </c>
      <c r="AR873" t="str">
        <f t="shared" si="138"/>
        <v>Long</v>
      </c>
      <c r="AS873">
        <f t="shared" si="139"/>
        <v>0</v>
      </c>
    </row>
    <row r="874" spans="1:4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s="20">
        <v>4539</v>
      </c>
      <c r="T874">
        <v>4905</v>
      </c>
      <c r="U874">
        <v>1</v>
      </c>
      <c r="V874" t="s">
        <v>42</v>
      </c>
      <c r="W874" t="s">
        <v>43</v>
      </c>
      <c r="X874" s="19">
        <v>12</v>
      </c>
      <c r="Y874">
        <v>3</v>
      </c>
      <c r="Z874">
        <v>1</v>
      </c>
      <c r="AA874">
        <v>80</v>
      </c>
      <c r="AB874">
        <v>1</v>
      </c>
      <c r="AC874">
        <v>10</v>
      </c>
      <c r="AD874">
        <v>3</v>
      </c>
      <c r="AE874">
        <v>2</v>
      </c>
      <c r="AF874">
        <v>10</v>
      </c>
      <c r="AG874">
        <v>7</v>
      </c>
      <c r="AH874">
        <v>0</v>
      </c>
      <c r="AI874">
        <v>1</v>
      </c>
      <c r="AJ874">
        <f t="shared" si="130"/>
        <v>0</v>
      </c>
      <c r="AK874">
        <f t="shared" si="131"/>
        <v>0</v>
      </c>
      <c r="AL874">
        <f t="shared" si="132"/>
        <v>0</v>
      </c>
      <c r="AM874">
        <f t="shared" si="133"/>
        <v>2</v>
      </c>
      <c r="AN874">
        <f t="shared" si="134"/>
        <v>4951.636363636364</v>
      </c>
      <c r="AO874">
        <f t="shared" si="135"/>
        <v>0.90909090909090906</v>
      </c>
      <c r="AP874" t="str">
        <f t="shared" si="136"/>
        <v>30-39</v>
      </c>
      <c r="AQ874" t="str">
        <f t="shared" si="137"/>
        <v>Medium</v>
      </c>
      <c r="AR874" t="str">
        <f t="shared" si="138"/>
        <v>Long</v>
      </c>
      <c r="AS874">
        <f t="shared" si="139"/>
        <v>1</v>
      </c>
    </row>
    <row r="875" spans="1:4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s="20">
        <v>2741</v>
      </c>
      <c r="T875">
        <v>6865</v>
      </c>
      <c r="U875">
        <v>1</v>
      </c>
      <c r="V875" t="s">
        <v>42</v>
      </c>
      <c r="W875" t="s">
        <v>43</v>
      </c>
      <c r="X875" s="19">
        <v>14</v>
      </c>
      <c r="Y875">
        <v>3</v>
      </c>
      <c r="Z875">
        <v>3</v>
      </c>
      <c r="AA875">
        <v>80</v>
      </c>
      <c r="AB875">
        <v>1</v>
      </c>
      <c r="AC875">
        <v>7</v>
      </c>
      <c r="AD875">
        <v>4</v>
      </c>
      <c r="AE875">
        <v>3</v>
      </c>
      <c r="AF875">
        <v>7</v>
      </c>
      <c r="AG875">
        <v>7</v>
      </c>
      <c r="AH875">
        <v>1</v>
      </c>
      <c r="AI875">
        <v>7</v>
      </c>
      <c r="AJ875">
        <f t="shared" si="130"/>
        <v>0</v>
      </c>
      <c r="AK875">
        <f t="shared" si="131"/>
        <v>0</v>
      </c>
      <c r="AL875">
        <f t="shared" si="132"/>
        <v>1</v>
      </c>
      <c r="AM875">
        <f t="shared" si="133"/>
        <v>3</v>
      </c>
      <c r="AN875">
        <f t="shared" si="134"/>
        <v>4111.5</v>
      </c>
      <c r="AO875">
        <f t="shared" si="135"/>
        <v>0.875</v>
      </c>
      <c r="AP875" t="str">
        <f t="shared" si="136"/>
        <v>30-39</v>
      </c>
      <c r="AQ875" t="str">
        <f t="shared" si="137"/>
        <v>Low</v>
      </c>
      <c r="AR875" t="str">
        <f t="shared" si="138"/>
        <v>Medium</v>
      </c>
      <c r="AS875">
        <f t="shared" si="139"/>
        <v>0</v>
      </c>
    </row>
    <row r="876" spans="1:4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s="20">
        <v>3491</v>
      </c>
      <c r="T876">
        <v>11309</v>
      </c>
      <c r="U876">
        <v>1</v>
      </c>
      <c r="V876" t="s">
        <v>42</v>
      </c>
      <c r="W876" t="s">
        <v>43</v>
      </c>
      <c r="X876" s="19">
        <v>13</v>
      </c>
      <c r="Y876">
        <v>3</v>
      </c>
      <c r="Z876">
        <v>1</v>
      </c>
      <c r="AA876">
        <v>80</v>
      </c>
      <c r="AB876">
        <v>3</v>
      </c>
      <c r="AC876">
        <v>10</v>
      </c>
      <c r="AD876">
        <v>4</v>
      </c>
      <c r="AE876">
        <v>2</v>
      </c>
      <c r="AF876">
        <v>10</v>
      </c>
      <c r="AG876">
        <v>7</v>
      </c>
      <c r="AH876">
        <v>8</v>
      </c>
      <c r="AI876">
        <v>9</v>
      </c>
      <c r="AJ876">
        <f t="shared" si="130"/>
        <v>0</v>
      </c>
      <c r="AK876">
        <f t="shared" si="131"/>
        <v>0</v>
      </c>
      <c r="AL876">
        <f t="shared" si="132"/>
        <v>1</v>
      </c>
      <c r="AM876">
        <f t="shared" si="133"/>
        <v>2.25</v>
      </c>
      <c r="AN876">
        <f t="shared" si="134"/>
        <v>3808.3636363636365</v>
      </c>
      <c r="AO876">
        <f t="shared" si="135"/>
        <v>0.90909090909090906</v>
      </c>
      <c r="AP876" t="str">
        <f t="shared" si="136"/>
        <v>30-39</v>
      </c>
      <c r="AQ876" t="str">
        <f t="shared" si="137"/>
        <v>Medium</v>
      </c>
      <c r="AR876" t="str">
        <f t="shared" si="138"/>
        <v>Medium</v>
      </c>
      <c r="AS876">
        <f t="shared" si="139"/>
        <v>0</v>
      </c>
    </row>
    <row r="877" spans="1:4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s="20">
        <v>4541</v>
      </c>
      <c r="T877">
        <v>7744</v>
      </c>
      <c r="U877">
        <v>1</v>
      </c>
      <c r="V877" t="s">
        <v>42</v>
      </c>
      <c r="W877" t="s">
        <v>43</v>
      </c>
      <c r="X877" s="19">
        <v>25</v>
      </c>
      <c r="Y877">
        <v>4</v>
      </c>
      <c r="Z877">
        <v>2</v>
      </c>
      <c r="AA877">
        <v>80</v>
      </c>
      <c r="AB877">
        <v>0</v>
      </c>
      <c r="AC877">
        <v>20</v>
      </c>
      <c r="AD877">
        <v>3</v>
      </c>
      <c r="AE877">
        <v>3</v>
      </c>
      <c r="AF877">
        <v>20</v>
      </c>
      <c r="AG877">
        <v>11</v>
      </c>
      <c r="AH877">
        <v>13</v>
      </c>
      <c r="AI877">
        <v>17</v>
      </c>
      <c r="AJ877">
        <f t="shared" si="130"/>
        <v>0</v>
      </c>
      <c r="AK877">
        <f t="shared" si="131"/>
        <v>0</v>
      </c>
      <c r="AL877">
        <f t="shared" si="132"/>
        <v>1</v>
      </c>
      <c r="AM877">
        <f t="shared" si="133"/>
        <v>3.25</v>
      </c>
      <c r="AN877">
        <f t="shared" si="134"/>
        <v>2594.8571428571427</v>
      </c>
      <c r="AO877">
        <f t="shared" si="135"/>
        <v>0.95238095238095233</v>
      </c>
      <c r="AP877" t="str">
        <f t="shared" si="136"/>
        <v>40-49</v>
      </c>
      <c r="AQ877" t="str">
        <f t="shared" si="137"/>
        <v>Medium</v>
      </c>
      <c r="AR877" t="str">
        <f t="shared" si="138"/>
        <v>Long</v>
      </c>
      <c r="AS877">
        <f t="shared" si="139"/>
        <v>0</v>
      </c>
    </row>
    <row r="878" spans="1:4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s="20">
        <v>2678</v>
      </c>
      <c r="T878">
        <v>5050</v>
      </c>
      <c r="U878">
        <v>1</v>
      </c>
      <c r="V878" t="s">
        <v>42</v>
      </c>
      <c r="W878" t="s">
        <v>43</v>
      </c>
      <c r="X878" s="19">
        <v>17</v>
      </c>
      <c r="Y878">
        <v>3</v>
      </c>
      <c r="Z878">
        <v>4</v>
      </c>
      <c r="AA878">
        <v>80</v>
      </c>
      <c r="AB878">
        <v>0</v>
      </c>
      <c r="AC878">
        <v>2</v>
      </c>
      <c r="AD878">
        <v>2</v>
      </c>
      <c r="AE878">
        <v>3</v>
      </c>
      <c r="AF878">
        <v>2</v>
      </c>
      <c r="AG878">
        <v>1</v>
      </c>
      <c r="AH878">
        <v>2</v>
      </c>
      <c r="AI878">
        <v>2</v>
      </c>
      <c r="AJ878">
        <f t="shared" si="130"/>
        <v>0</v>
      </c>
      <c r="AK878">
        <f t="shared" si="131"/>
        <v>0</v>
      </c>
      <c r="AL878">
        <f t="shared" si="132"/>
        <v>1</v>
      </c>
      <c r="AM878">
        <f t="shared" si="133"/>
        <v>3.5</v>
      </c>
      <c r="AN878">
        <f t="shared" si="134"/>
        <v>10712</v>
      </c>
      <c r="AO878">
        <f t="shared" si="135"/>
        <v>0.66666666666666663</v>
      </c>
      <c r="AP878" t="str">
        <f t="shared" si="136"/>
        <v>Under 30</v>
      </c>
      <c r="AQ878" t="str">
        <f t="shared" si="137"/>
        <v>Low</v>
      </c>
      <c r="AR878" t="str">
        <f t="shared" si="138"/>
        <v>Long</v>
      </c>
      <c r="AS878">
        <f t="shared" si="139"/>
        <v>0</v>
      </c>
    </row>
    <row r="879" spans="1:4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s="20">
        <v>7379</v>
      </c>
      <c r="T879">
        <v>17433</v>
      </c>
      <c r="U879">
        <v>2</v>
      </c>
      <c r="V879" t="s">
        <v>42</v>
      </c>
      <c r="W879" t="s">
        <v>43</v>
      </c>
      <c r="X879" s="19">
        <v>11</v>
      </c>
      <c r="Y879">
        <v>3</v>
      </c>
      <c r="Z879">
        <v>3</v>
      </c>
      <c r="AA879">
        <v>80</v>
      </c>
      <c r="AB879">
        <v>1</v>
      </c>
      <c r="AC879">
        <v>12</v>
      </c>
      <c r="AD879">
        <v>3</v>
      </c>
      <c r="AE879">
        <v>2</v>
      </c>
      <c r="AF879">
        <v>6</v>
      </c>
      <c r="AG879">
        <v>3</v>
      </c>
      <c r="AH879">
        <v>1</v>
      </c>
      <c r="AI879">
        <v>4</v>
      </c>
      <c r="AJ879">
        <f t="shared" si="130"/>
        <v>0</v>
      </c>
      <c r="AK879">
        <f t="shared" si="131"/>
        <v>0</v>
      </c>
      <c r="AL879">
        <f t="shared" si="132"/>
        <v>1</v>
      </c>
      <c r="AM879">
        <f t="shared" si="133"/>
        <v>3.25</v>
      </c>
      <c r="AN879">
        <f t="shared" si="134"/>
        <v>12649.714285714286</v>
      </c>
      <c r="AO879">
        <f t="shared" si="135"/>
        <v>0.46153846153846156</v>
      </c>
      <c r="AP879" t="str">
        <f t="shared" si="136"/>
        <v>40-49</v>
      </c>
      <c r="AQ879" t="str">
        <f t="shared" si="137"/>
        <v>High</v>
      </c>
      <c r="AR879" t="str">
        <f t="shared" si="138"/>
        <v>Short</v>
      </c>
      <c r="AS879">
        <f t="shared" si="139"/>
        <v>0</v>
      </c>
    </row>
    <row r="880" spans="1:4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s="20">
        <v>6272</v>
      </c>
      <c r="T880">
        <v>12858</v>
      </c>
      <c r="U880">
        <v>7</v>
      </c>
      <c r="V880" t="s">
        <v>42</v>
      </c>
      <c r="W880" t="s">
        <v>43</v>
      </c>
      <c r="X880" s="19">
        <v>16</v>
      </c>
      <c r="Y880">
        <v>3</v>
      </c>
      <c r="Z880">
        <v>1</v>
      </c>
      <c r="AA880">
        <v>80</v>
      </c>
      <c r="AB880">
        <v>1</v>
      </c>
      <c r="AC880">
        <v>10</v>
      </c>
      <c r="AD880">
        <v>3</v>
      </c>
      <c r="AE880">
        <v>4</v>
      </c>
      <c r="AF880">
        <v>4</v>
      </c>
      <c r="AG880">
        <v>3</v>
      </c>
      <c r="AH880">
        <v>0</v>
      </c>
      <c r="AI880">
        <v>3</v>
      </c>
      <c r="AJ880">
        <f t="shared" si="130"/>
        <v>0</v>
      </c>
      <c r="AK880">
        <f t="shared" si="131"/>
        <v>0</v>
      </c>
      <c r="AL880">
        <f t="shared" si="132"/>
        <v>1</v>
      </c>
      <c r="AM880">
        <f t="shared" si="133"/>
        <v>2.5</v>
      </c>
      <c r="AN880">
        <f t="shared" si="134"/>
        <v>15052.8</v>
      </c>
      <c r="AO880">
        <f t="shared" si="135"/>
        <v>0.36363636363636365</v>
      </c>
      <c r="AP880" t="str">
        <f t="shared" si="136"/>
        <v>40-49</v>
      </c>
      <c r="AQ880" t="str">
        <f t="shared" si="137"/>
        <v>High</v>
      </c>
      <c r="AR880" t="str">
        <f t="shared" si="138"/>
        <v>Short</v>
      </c>
      <c r="AS880">
        <f t="shared" si="139"/>
        <v>0</v>
      </c>
    </row>
    <row r="881" spans="1:4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s="20">
        <v>5220</v>
      </c>
      <c r="T881">
        <v>10893</v>
      </c>
      <c r="U881">
        <v>0</v>
      </c>
      <c r="V881" t="s">
        <v>42</v>
      </c>
      <c r="W881" t="s">
        <v>35</v>
      </c>
      <c r="X881" s="19">
        <v>18</v>
      </c>
      <c r="Y881">
        <v>3</v>
      </c>
      <c r="Z881">
        <v>2</v>
      </c>
      <c r="AA881">
        <v>80</v>
      </c>
      <c r="AB881">
        <v>1</v>
      </c>
      <c r="AC881">
        <v>12</v>
      </c>
      <c r="AD881">
        <v>3</v>
      </c>
      <c r="AE881">
        <v>3</v>
      </c>
      <c r="AF881">
        <v>11</v>
      </c>
      <c r="AG881">
        <v>7</v>
      </c>
      <c r="AH881">
        <v>1</v>
      </c>
      <c r="AI881">
        <v>9</v>
      </c>
      <c r="AJ881">
        <f t="shared" si="130"/>
        <v>0</v>
      </c>
      <c r="AK881">
        <f t="shared" si="131"/>
        <v>1</v>
      </c>
      <c r="AL881">
        <f t="shared" si="132"/>
        <v>1</v>
      </c>
      <c r="AM881">
        <f t="shared" si="133"/>
        <v>2.75</v>
      </c>
      <c r="AN881">
        <f t="shared" si="134"/>
        <v>5220</v>
      </c>
      <c r="AO881">
        <f t="shared" si="135"/>
        <v>0.84615384615384615</v>
      </c>
      <c r="AP881" t="str">
        <f t="shared" si="136"/>
        <v>50+</v>
      </c>
      <c r="AQ881" t="str">
        <f t="shared" si="137"/>
        <v>High</v>
      </c>
      <c r="AR881" t="str">
        <f t="shared" si="138"/>
        <v>Medium</v>
      </c>
      <c r="AS881">
        <f t="shared" si="139"/>
        <v>0</v>
      </c>
    </row>
    <row r="882" spans="1:4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s="20">
        <v>2743</v>
      </c>
      <c r="T882">
        <v>7331</v>
      </c>
      <c r="U882">
        <v>1</v>
      </c>
      <c r="V882" t="s">
        <v>42</v>
      </c>
      <c r="W882" t="s">
        <v>43</v>
      </c>
      <c r="X882" s="19">
        <v>20</v>
      </c>
      <c r="Y882">
        <v>4</v>
      </c>
      <c r="Z882">
        <v>3</v>
      </c>
      <c r="AA882">
        <v>80</v>
      </c>
      <c r="AB882">
        <v>1</v>
      </c>
      <c r="AC882">
        <v>2</v>
      </c>
      <c r="AD882">
        <v>2</v>
      </c>
      <c r="AE882">
        <v>3</v>
      </c>
      <c r="AF882">
        <v>2</v>
      </c>
      <c r="AG882">
        <v>2</v>
      </c>
      <c r="AH882">
        <v>2</v>
      </c>
      <c r="AI882">
        <v>2</v>
      </c>
      <c r="AJ882">
        <f t="shared" si="130"/>
        <v>0</v>
      </c>
      <c r="AK882">
        <f t="shared" si="131"/>
        <v>0</v>
      </c>
      <c r="AL882">
        <f t="shared" si="132"/>
        <v>0</v>
      </c>
      <c r="AM882">
        <f t="shared" si="133"/>
        <v>2.75</v>
      </c>
      <c r="AN882">
        <f t="shared" si="134"/>
        <v>10972</v>
      </c>
      <c r="AO882">
        <f t="shared" si="135"/>
        <v>0.66666666666666663</v>
      </c>
      <c r="AP882" t="str">
        <f t="shared" si="136"/>
        <v>30-39</v>
      </c>
      <c r="AQ882" t="str">
        <f t="shared" si="137"/>
        <v>Low</v>
      </c>
      <c r="AR882" t="str">
        <f t="shared" si="138"/>
        <v>Medium</v>
      </c>
      <c r="AS882">
        <f t="shared" si="139"/>
        <v>1</v>
      </c>
    </row>
    <row r="883" spans="1:4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s="20">
        <v>4998</v>
      </c>
      <c r="T883">
        <v>2338</v>
      </c>
      <c r="U883">
        <v>4</v>
      </c>
      <c r="V883" t="s">
        <v>42</v>
      </c>
      <c r="W883" t="s">
        <v>35</v>
      </c>
      <c r="X883" s="19">
        <v>14</v>
      </c>
      <c r="Y883">
        <v>3</v>
      </c>
      <c r="Z883">
        <v>4</v>
      </c>
      <c r="AA883">
        <v>80</v>
      </c>
      <c r="AB883">
        <v>0</v>
      </c>
      <c r="AC883">
        <v>10</v>
      </c>
      <c r="AD883">
        <v>2</v>
      </c>
      <c r="AE883">
        <v>3</v>
      </c>
      <c r="AF883">
        <v>8</v>
      </c>
      <c r="AG883">
        <v>7</v>
      </c>
      <c r="AH883">
        <v>0</v>
      </c>
      <c r="AI883">
        <v>7</v>
      </c>
      <c r="AJ883">
        <f t="shared" si="130"/>
        <v>0</v>
      </c>
      <c r="AK883">
        <f t="shared" si="131"/>
        <v>1</v>
      </c>
      <c r="AL883">
        <f t="shared" si="132"/>
        <v>0</v>
      </c>
      <c r="AM883">
        <f t="shared" si="133"/>
        <v>3.5</v>
      </c>
      <c r="AN883">
        <f t="shared" si="134"/>
        <v>6664</v>
      </c>
      <c r="AO883">
        <f t="shared" si="135"/>
        <v>0.72727272727272729</v>
      </c>
      <c r="AP883" t="str">
        <f t="shared" si="136"/>
        <v>30-39</v>
      </c>
      <c r="AQ883" t="str">
        <f t="shared" si="137"/>
        <v>High</v>
      </c>
      <c r="AR883" t="str">
        <f t="shared" si="138"/>
        <v>Short</v>
      </c>
      <c r="AS883">
        <f t="shared" si="139"/>
        <v>1</v>
      </c>
    </row>
    <row r="884" spans="1:4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s="20">
        <v>10252</v>
      </c>
      <c r="T884">
        <v>4235</v>
      </c>
      <c r="U884">
        <v>2</v>
      </c>
      <c r="V884" t="s">
        <v>42</v>
      </c>
      <c r="W884" t="s">
        <v>35</v>
      </c>
      <c r="X884" s="19">
        <v>21</v>
      </c>
      <c r="Y884">
        <v>4</v>
      </c>
      <c r="Z884">
        <v>3</v>
      </c>
      <c r="AA884">
        <v>80</v>
      </c>
      <c r="AB884">
        <v>1</v>
      </c>
      <c r="AC884">
        <v>17</v>
      </c>
      <c r="AD884">
        <v>2</v>
      </c>
      <c r="AE884">
        <v>3</v>
      </c>
      <c r="AF884">
        <v>7</v>
      </c>
      <c r="AG884">
        <v>7</v>
      </c>
      <c r="AH884">
        <v>7</v>
      </c>
      <c r="AI884">
        <v>7</v>
      </c>
      <c r="AJ884">
        <f t="shared" si="130"/>
        <v>0</v>
      </c>
      <c r="AK884">
        <f t="shared" si="131"/>
        <v>1</v>
      </c>
      <c r="AL884">
        <f t="shared" si="132"/>
        <v>0</v>
      </c>
      <c r="AM884">
        <f t="shared" si="133"/>
        <v>2.5</v>
      </c>
      <c r="AN884">
        <f t="shared" si="134"/>
        <v>15378</v>
      </c>
      <c r="AO884">
        <f t="shared" si="135"/>
        <v>0.3888888888888889</v>
      </c>
      <c r="AP884" t="str">
        <f t="shared" si="136"/>
        <v>30-39</v>
      </c>
      <c r="AQ884" t="str">
        <f t="shared" si="137"/>
        <v>Very High</v>
      </c>
      <c r="AR884" t="str">
        <f t="shared" si="138"/>
        <v>Short</v>
      </c>
      <c r="AS884">
        <f t="shared" si="139"/>
        <v>0</v>
      </c>
    </row>
    <row r="885" spans="1:4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s="20">
        <v>2781</v>
      </c>
      <c r="T885">
        <v>6311</v>
      </c>
      <c r="U885">
        <v>0</v>
      </c>
      <c r="V885" t="s">
        <v>42</v>
      </c>
      <c r="W885" t="s">
        <v>43</v>
      </c>
      <c r="X885" s="19">
        <v>13</v>
      </c>
      <c r="Y885">
        <v>3</v>
      </c>
      <c r="Z885">
        <v>2</v>
      </c>
      <c r="AA885">
        <v>80</v>
      </c>
      <c r="AB885">
        <v>1</v>
      </c>
      <c r="AC885">
        <v>15</v>
      </c>
      <c r="AD885">
        <v>5</v>
      </c>
      <c r="AE885">
        <v>3</v>
      </c>
      <c r="AF885">
        <v>14</v>
      </c>
      <c r="AG885">
        <v>10</v>
      </c>
      <c r="AH885">
        <v>4</v>
      </c>
      <c r="AI885">
        <v>10</v>
      </c>
      <c r="AJ885">
        <f t="shared" si="130"/>
        <v>0</v>
      </c>
      <c r="AK885">
        <f t="shared" si="131"/>
        <v>0</v>
      </c>
      <c r="AL885">
        <f t="shared" si="132"/>
        <v>1</v>
      </c>
      <c r="AM885">
        <f t="shared" si="133"/>
        <v>2.5</v>
      </c>
      <c r="AN885">
        <f t="shared" si="134"/>
        <v>2224.8000000000002</v>
      </c>
      <c r="AO885">
        <f t="shared" si="135"/>
        <v>0.875</v>
      </c>
      <c r="AP885" t="str">
        <f t="shared" si="136"/>
        <v>30-39</v>
      </c>
      <c r="AQ885" t="str">
        <f t="shared" si="137"/>
        <v>Low</v>
      </c>
      <c r="AR885" t="str">
        <f t="shared" si="138"/>
        <v>Medium</v>
      </c>
      <c r="AS885">
        <f t="shared" si="139"/>
        <v>0</v>
      </c>
    </row>
    <row r="886" spans="1:4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s="20">
        <v>6852</v>
      </c>
      <c r="T886">
        <v>11591</v>
      </c>
      <c r="U886">
        <v>7</v>
      </c>
      <c r="V886" t="s">
        <v>42</v>
      </c>
      <c r="W886" t="s">
        <v>43</v>
      </c>
      <c r="X886" s="19">
        <v>12</v>
      </c>
      <c r="Y886">
        <v>3</v>
      </c>
      <c r="Z886">
        <v>2</v>
      </c>
      <c r="AA886">
        <v>80</v>
      </c>
      <c r="AB886">
        <v>1</v>
      </c>
      <c r="AC886">
        <v>7</v>
      </c>
      <c r="AD886">
        <v>2</v>
      </c>
      <c r="AE886">
        <v>4</v>
      </c>
      <c r="AF886">
        <v>5</v>
      </c>
      <c r="AG886">
        <v>1</v>
      </c>
      <c r="AH886">
        <v>1</v>
      </c>
      <c r="AI886">
        <v>3</v>
      </c>
      <c r="AJ886">
        <f t="shared" si="130"/>
        <v>0</v>
      </c>
      <c r="AK886">
        <f t="shared" si="131"/>
        <v>0</v>
      </c>
      <c r="AL886">
        <f t="shared" si="132"/>
        <v>0</v>
      </c>
      <c r="AM886">
        <f t="shared" si="133"/>
        <v>2.5</v>
      </c>
      <c r="AN886">
        <f t="shared" si="134"/>
        <v>13704</v>
      </c>
      <c r="AO886">
        <f t="shared" si="135"/>
        <v>0.625</v>
      </c>
      <c r="AP886" t="str">
        <f t="shared" si="136"/>
        <v>40-49</v>
      </c>
      <c r="AQ886" t="str">
        <f t="shared" si="137"/>
        <v>High</v>
      </c>
      <c r="AR886" t="str">
        <f t="shared" si="138"/>
        <v>Medium</v>
      </c>
      <c r="AS886">
        <f t="shared" si="139"/>
        <v>0</v>
      </c>
    </row>
    <row r="887" spans="1:4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s="20">
        <v>4950</v>
      </c>
      <c r="T887">
        <v>20623</v>
      </c>
      <c r="U887">
        <v>0</v>
      </c>
      <c r="V887" t="s">
        <v>42</v>
      </c>
      <c r="W887" t="s">
        <v>43</v>
      </c>
      <c r="X887" s="19">
        <v>14</v>
      </c>
      <c r="Y887">
        <v>3</v>
      </c>
      <c r="Z887">
        <v>2</v>
      </c>
      <c r="AA887">
        <v>80</v>
      </c>
      <c r="AB887">
        <v>0</v>
      </c>
      <c r="AC887">
        <v>5</v>
      </c>
      <c r="AD887">
        <v>4</v>
      </c>
      <c r="AE887">
        <v>3</v>
      </c>
      <c r="AF887">
        <v>4</v>
      </c>
      <c r="AG887">
        <v>3</v>
      </c>
      <c r="AH887">
        <v>1</v>
      </c>
      <c r="AI887">
        <v>1</v>
      </c>
      <c r="AJ887">
        <f t="shared" si="130"/>
        <v>0</v>
      </c>
      <c r="AK887">
        <f t="shared" si="131"/>
        <v>0</v>
      </c>
      <c r="AL887">
        <f t="shared" si="132"/>
        <v>1</v>
      </c>
      <c r="AM887">
        <f t="shared" si="133"/>
        <v>3</v>
      </c>
      <c r="AN887">
        <f t="shared" si="134"/>
        <v>11880</v>
      </c>
      <c r="AO887">
        <f t="shared" si="135"/>
        <v>0.66666666666666663</v>
      </c>
      <c r="AP887" t="str">
        <f t="shared" si="136"/>
        <v>Under 30</v>
      </c>
      <c r="AQ887" t="str">
        <f t="shared" si="137"/>
        <v>High</v>
      </c>
      <c r="AR887" t="str">
        <f t="shared" si="138"/>
        <v>Medium</v>
      </c>
      <c r="AS887">
        <f t="shared" si="139"/>
        <v>0</v>
      </c>
    </row>
    <row r="888" spans="1:4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s="20">
        <v>3579</v>
      </c>
      <c r="T888">
        <v>9369</v>
      </c>
      <c r="U888">
        <v>0</v>
      </c>
      <c r="V888" t="s">
        <v>42</v>
      </c>
      <c r="W888" t="s">
        <v>35</v>
      </c>
      <c r="X888" s="19">
        <v>21</v>
      </c>
      <c r="Y888">
        <v>4</v>
      </c>
      <c r="Z888">
        <v>1</v>
      </c>
      <c r="AA888">
        <v>80</v>
      </c>
      <c r="AB888">
        <v>1</v>
      </c>
      <c r="AC888">
        <v>12</v>
      </c>
      <c r="AD888">
        <v>2</v>
      </c>
      <c r="AE888">
        <v>3</v>
      </c>
      <c r="AF888">
        <v>11</v>
      </c>
      <c r="AG888">
        <v>9</v>
      </c>
      <c r="AH888">
        <v>5</v>
      </c>
      <c r="AI888">
        <v>7</v>
      </c>
      <c r="AJ888">
        <f t="shared" si="130"/>
        <v>0</v>
      </c>
      <c r="AK888">
        <f t="shared" si="131"/>
        <v>1</v>
      </c>
      <c r="AL888">
        <f t="shared" si="132"/>
        <v>1</v>
      </c>
      <c r="AM888">
        <f t="shared" si="133"/>
        <v>2.5</v>
      </c>
      <c r="AN888">
        <f t="shared" si="134"/>
        <v>3579</v>
      </c>
      <c r="AO888">
        <f t="shared" si="135"/>
        <v>0.84615384615384615</v>
      </c>
      <c r="AP888" t="str">
        <f t="shared" si="136"/>
        <v>30-39</v>
      </c>
      <c r="AQ888" t="str">
        <f t="shared" si="137"/>
        <v>Medium</v>
      </c>
      <c r="AR888" t="str">
        <f t="shared" si="138"/>
        <v>Short</v>
      </c>
      <c r="AS888">
        <f t="shared" si="139"/>
        <v>0</v>
      </c>
    </row>
    <row r="889" spans="1:4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s="20">
        <v>13191</v>
      </c>
      <c r="T889">
        <v>23281</v>
      </c>
      <c r="U889">
        <v>3</v>
      </c>
      <c r="V889" t="s">
        <v>42</v>
      </c>
      <c r="W889" t="s">
        <v>35</v>
      </c>
      <c r="X889" s="19">
        <v>17</v>
      </c>
      <c r="Y889">
        <v>3</v>
      </c>
      <c r="Z889">
        <v>3</v>
      </c>
      <c r="AA889">
        <v>80</v>
      </c>
      <c r="AB889">
        <v>0</v>
      </c>
      <c r="AC889">
        <v>20</v>
      </c>
      <c r="AD889">
        <v>6</v>
      </c>
      <c r="AE889">
        <v>3</v>
      </c>
      <c r="AF889">
        <v>1</v>
      </c>
      <c r="AG889">
        <v>0</v>
      </c>
      <c r="AH889">
        <v>0</v>
      </c>
      <c r="AI889">
        <v>0</v>
      </c>
      <c r="AJ889">
        <f t="shared" si="130"/>
        <v>0</v>
      </c>
      <c r="AK889">
        <f t="shared" si="131"/>
        <v>1</v>
      </c>
      <c r="AL889">
        <f t="shared" si="132"/>
        <v>0</v>
      </c>
      <c r="AM889">
        <f t="shared" si="133"/>
        <v>2</v>
      </c>
      <c r="AN889">
        <f t="shared" si="134"/>
        <v>79146</v>
      </c>
      <c r="AO889">
        <f t="shared" si="135"/>
        <v>4.7619047619047616E-2</v>
      </c>
      <c r="AP889" t="str">
        <f t="shared" si="136"/>
        <v>40-49</v>
      </c>
      <c r="AQ889" t="str">
        <f t="shared" si="137"/>
        <v>Very High</v>
      </c>
      <c r="AR889" t="str">
        <f t="shared" si="138"/>
        <v>Long</v>
      </c>
      <c r="AS889">
        <f t="shared" si="139"/>
        <v>1</v>
      </c>
    </row>
    <row r="890" spans="1:4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s="20">
        <v>10377</v>
      </c>
      <c r="T890">
        <v>13755</v>
      </c>
      <c r="U890">
        <v>4</v>
      </c>
      <c r="V890" t="s">
        <v>42</v>
      </c>
      <c r="W890" t="s">
        <v>35</v>
      </c>
      <c r="X890" s="19">
        <v>11</v>
      </c>
      <c r="Y890">
        <v>3</v>
      </c>
      <c r="Z890">
        <v>2</v>
      </c>
      <c r="AA890">
        <v>80</v>
      </c>
      <c r="AB890">
        <v>1</v>
      </c>
      <c r="AC890">
        <v>16</v>
      </c>
      <c r="AD890">
        <v>6</v>
      </c>
      <c r="AE890">
        <v>2</v>
      </c>
      <c r="AF890">
        <v>13</v>
      </c>
      <c r="AG890">
        <v>2</v>
      </c>
      <c r="AH890">
        <v>4</v>
      </c>
      <c r="AI890">
        <v>12</v>
      </c>
      <c r="AJ890">
        <f t="shared" si="130"/>
        <v>0</v>
      </c>
      <c r="AK890">
        <f t="shared" si="131"/>
        <v>1</v>
      </c>
      <c r="AL890">
        <f t="shared" si="132"/>
        <v>0</v>
      </c>
      <c r="AM890">
        <f t="shared" si="133"/>
        <v>2.75</v>
      </c>
      <c r="AN890">
        <f t="shared" si="134"/>
        <v>8894.5714285714294</v>
      </c>
      <c r="AO890">
        <f t="shared" si="135"/>
        <v>0.76470588235294112</v>
      </c>
      <c r="AP890" t="str">
        <f t="shared" si="136"/>
        <v>30-39</v>
      </c>
      <c r="AQ890" t="str">
        <f t="shared" si="137"/>
        <v>Very High</v>
      </c>
      <c r="AR890" t="str">
        <f t="shared" si="138"/>
        <v>Medium</v>
      </c>
      <c r="AS890">
        <f t="shared" si="139"/>
        <v>0</v>
      </c>
    </row>
    <row r="891" spans="1:4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s="20">
        <v>2235</v>
      </c>
      <c r="T891">
        <v>14377</v>
      </c>
      <c r="U891">
        <v>1</v>
      </c>
      <c r="V891" t="s">
        <v>42</v>
      </c>
      <c r="W891" t="s">
        <v>35</v>
      </c>
      <c r="X891" s="19">
        <v>14</v>
      </c>
      <c r="Y891">
        <v>3</v>
      </c>
      <c r="Z891">
        <v>4</v>
      </c>
      <c r="AA891">
        <v>80</v>
      </c>
      <c r="AB891">
        <v>2</v>
      </c>
      <c r="AC891">
        <v>9</v>
      </c>
      <c r="AD891">
        <v>3</v>
      </c>
      <c r="AE891">
        <v>2</v>
      </c>
      <c r="AF891">
        <v>9</v>
      </c>
      <c r="AG891">
        <v>7</v>
      </c>
      <c r="AH891">
        <v>6</v>
      </c>
      <c r="AI891">
        <v>8</v>
      </c>
      <c r="AJ891">
        <f t="shared" si="130"/>
        <v>0</v>
      </c>
      <c r="AK891">
        <f t="shared" si="131"/>
        <v>1</v>
      </c>
      <c r="AL891">
        <f t="shared" si="132"/>
        <v>1</v>
      </c>
      <c r="AM891">
        <f t="shared" si="133"/>
        <v>2</v>
      </c>
      <c r="AN891">
        <f t="shared" si="134"/>
        <v>2682</v>
      </c>
      <c r="AO891">
        <f t="shared" si="135"/>
        <v>0.9</v>
      </c>
      <c r="AP891" t="str">
        <f t="shared" si="136"/>
        <v>Under 30</v>
      </c>
      <c r="AQ891" t="str">
        <f t="shared" si="137"/>
        <v>Low</v>
      </c>
      <c r="AR891" t="str">
        <f t="shared" si="138"/>
        <v>Medium</v>
      </c>
      <c r="AS891">
        <f t="shared" si="139"/>
        <v>0</v>
      </c>
    </row>
    <row r="892" spans="1:4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s="20">
        <v>9950</v>
      </c>
      <c r="T892">
        <v>9659</v>
      </c>
      <c r="U892">
        <v>7</v>
      </c>
      <c r="V892" t="s">
        <v>42</v>
      </c>
      <c r="W892" t="s">
        <v>43</v>
      </c>
      <c r="X892" s="19">
        <v>17</v>
      </c>
      <c r="Y892">
        <v>3</v>
      </c>
      <c r="Z892">
        <v>1</v>
      </c>
      <c r="AA892">
        <v>80</v>
      </c>
      <c r="AB892">
        <v>1</v>
      </c>
      <c r="AC892">
        <v>33</v>
      </c>
      <c r="AD892">
        <v>2</v>
      </c>
      <c r="AE892">
        <v>1</v>
      </c>
      <c r="AF892">
        <v>5</v>
      </c>
      <c r="AG892">
        <v>4</v>
      </c>
      <c r="AH892">
        <v>1</v>
      </c>
      <c r="AI892">
        <v>4</v>
      </c>
      <c r="AJ892">
        <f t="shared" si="130"/>
        <v>0</v>
      </c>
      <c r="AK892">
        <f t="shared" si="131"/>
        <v>0</v>
      </c>
      <c r="AL892">
        <f t="shared" si="132"/>
        <v>0</v>
      </c>
      <c r="AM892">
        <f t="shared" si="133"/>
        <v>2.25</v>
      </c>
      <c r="AN892">
        <f t="shared" si="134"/>
        <v>19900</v>
      </c>
      <c r="AO892">
        <f t="shared" si="135"/>
        <v>0.14705882352941177</v>
      </c>
      <c r="AP892" t="str">
        <f t="shared" si="136"/>
        <v>50+</v>
      </c>
      <c r="AQ892" t="str">
        <f t="shared" si="137"/>
        <v>Very High</v>
      </c>
      <c r="AR892" t="str">
        <f t="shared" si="138"/>
        <v>Short</v>
      </c>
      <c r="AS892">
        <f t="shared" si="139"/>
        <v>1</v>
      </c>
    </row>
    <row r="893" spans="1:4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s="20">
        <v>2011</v>
      </c>
      <c r="T893">
        <v>19982</v>
      </c>
      <c r="U893">
        <v>1</v>
      </c>
      <c r="V893" t="s">
        <v>42</v>
      </c>
      <c r="W893" t="s">
        <v>43</v>
      </c>
      <c r="X893" s="19">
        <v>13</v>
      </c>
      <c r="Y893">
        <v>3</v>
      </c>
      <c r="Z893">
        <v>4</v>
      </c>
      <c r="AA893">
        <v>80</v>
      </c>
      <c r="AB893">
        <v>1</v>
      </c>
      <c r="AC893">
        <v>10</v>
      </c>
      <c r="AD893">
        <v>5</v>
      </c>
      <c r="AE893">
        <v>3</v>
      </c>
      <c r="AF893">
        <v>10</v>
      </c>
      <c r="AG893">
        <v>5</v>
      </c>
      <c r="AH893">
        <v>7</v>
      </c>
      <c r="AI893">
        <v>7</v>
      </c>
      <c r="AJ893">
        <f t="shared" si="130"/>
        <v>0</v>
      </c>
      <c r="AK893">
        <f t="shared" si="131"/>
        <v>0</v>
      </c>
      <c r="AL893">
        <f t="shared" si="132"/>
        <v>0</v>
      </c>
      <c r="AM893">
        <f t="shared" si="133"/>
        <v>3</v>
      </c>
      <c r="AN893">
        <f t="shared" si="134"/>
        <v>2193.818181818182</v>
      </c>
      <c r="AO893">
        <f t="shared" si="135"/>
        <v>0.90909090909090906</v>
      </c>
      <c r="AP893" t="str">
        <f t="shared" si="136"/>
        <v>40-49</v>
      </c>
      <c r="AQ893" t="str">
        <f t="shared" si="137"/>
        <v>Low</v>
      </c>
      <c r="AR893" t="str">
        <f t="shared" si="138"/>
        <v>Short</v>
      </c>
      <c r="AS893">
        <f t="shared" si="139"/>
        <v>0</v>
      </c>
    </row>
    <row r="894" spans="1:4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s="20">
        <v>1859</v>
      </c>
      <c r="T894">
        <v>6148</v>
      </c>
      <c r="U894">
        <v>1</v>
      </c>
      <c r="V894" t="s">
        <v>42</v>
      </c>
      <c r="W894" t="s">
        <v>35</v>
      </c>
      <c r="X894" s="19">
        <v>25</v>
      </c>
      <c r="Y894">
        <v>4</v>
      </c>
      <c r="Z894">
        <v>2</v>
      </c>
      <c r="AA894">
        <v>80</v>
      </c>
      <c r="AB894">
        <v>0</v>
      </c>
      <c r="AC894">
        <v>1</v>
      </c>
      <c r="AD894">
        <v>2</v>
      </c>
      <c r="AE894">
        <v>4</v>
      </c>
      <c r="AF894">
        <v>1</v>
      </c>
      <c r="AG894">
        <v>1</v>
      </c>
      <c r="AH894">
        <v>0</v>
      </c>
      <c r="AI894">
        <v>0</v>
      </c>
      <c r="AJ894">
        <f t="shared" si="130"/>
        <v>1</v>
      </c>
      <c r="AK894">
        <f t="shared" si="131"/>
        <v>1</v>
      </c>
      <c r="AL894">
        <f t="shared" si="132"/>
        <v>0</v>
      </c>
      <c r="AM894">
        <f t="shared" si="133"/>
        <v>2.25</v>
      </c>
      <c r="AN894">
        <f t="shared" si="134"/>
        <v>11154</v>
      </c>
      <c r="AO894">
        <f t="shared" si="135"/>
        <v>0.5</v>
      </c>
      <c r="AP894" t="str">
        <f t="shared" si="136"/>
        <v>Under 30</v>
      </c>
      <c r="AQ894" t="str">
        <f t="shared" si="137"/>
        <v>Low</v>
      </c>
      <c r="AR894" t="str">
        <f t="shared" si="138"/>
        <v>Medium</v>
      </c>
      <c r="AS894">
        <f t="shared" si="139"/>
        <v>0</v>
      </c>
    </row>
    <row r="895" spans="1:4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s="20">
        <v>3760</v>
      </c>
      <c r="T895">
        <v>5598</v>
      </c>
      <c r="U895">
        <v>1</v>
      </c>
      <c r="V895" t="s">
        <v>42</v>
      </c>
      <c r="W895" t="s">
        <v>43</v>
      </c>
      <c r="X895" s="19">
        <v>15</v>
      </c>
      <c r="Y895">
        <v>3</v>
      </c>
      <c r="Z895">
        <v>1</v>
      </c>
      <c r="AA895">
        <v>80</v>
      </c>
      <c r="AB895">
        <v>3</v>
      </c>
      <c r="AC895">
        <v>3</v>
      </c>
      <c r="AD895">
        <v>5</v>
      </c>
      <c r="AE895">
        <v>3</v>
      </c>
      <c r="AF895">
        <v>3</v>
      </c>
      <c r="AG895">
        <v>2</v>
      </c>
      <c r="AH895">
        <v>1</v>
      </c>
      <c r="AI895">
        <v>2</v>
      </c>
      <c r="AJ895">
        <f t="shared" si="130"/>
        <v>0</v>
      </c>
      <c r="AK895">
        <f t="shared" si="131"/>
        <v>0</v>
      </c>
      <c r="AL895">
        <f t="shared" si="132"/>
        <v>0</v>
      </c>
      <c r="AM895">
        <f t="shared" si="133"/>
        <v>2.25</v>
      </c>
      <c r="AN895">
        <f t="shared" si="134"/>
        <v>11280</v>
      </c>
      <c r="AO895">
        <f t="shared" si="135"/>
        <v>0.75</v>
      </c>
      <c r="AP895" t="str">
        <f t="shared" si="136"/>
        <v>Under 30</v>
      </c>
      <c r="AQ895" t="str">
        <f t="shared" si="137"/>
        <v>Medium</v>
      </c>
      <c r="AR895" t="str">
        <f t="shared" si="138"/>
        <v>Short</v>
      </c>
      <c r="AS895">
        <f t="shared" si="139"/>
        <v>0</v>
      </c>
    </row>
    <row r="896" spans="1:4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s="20">
        <v>17779</v>
      </c>
      <c r="T896">
        <v>23474</v>
      </c>
      <c r="U896">
        <v>3</v>
      </c>
      <c r="V896" t="s">
        <v>42</v>
      </c>
      <c r="W896" t="s">
        <v>43</v>
      </c>
      <c r="X896" s="19">
        <v>14</v>
      </c>
      <c r="Y896">
        <v>3</v>
      </c>
      <c r="Z896">
        <v>1</v>
      </c>
      <c r="AA896">
        <v>80</v>
      </c>
      <c r="AB896">
        <v>0</v>
      </c>
      <c r="AC896">
        <v>36</v>
      </c>
      <c r="AD896">
        <v>2</v>
      </c>
      <c r="AE896">
        <v>3</v>
      </c>
      <c r="AF896">
        <v>10</v>
      </c>
      <c r="AG896">
        <v>9</v>
      </c>
      <c r="AH896">
        <v>0</v>
      </c>
      <c r="AI896">
        <v>9</v>
      </c>
      <c r="AJ896">
        <f t="shared" si="130"/>
        <v>0</v>
      </c>
      <c r="AK896">
        <f t="shared" si="131"/>
        <v>0</v>
      </c>
      <c r="AL896">
        <f t="shared" si="132"/>
        <v>1</v>
      </c>
      <c r="AM896">
        <f t="shared" si="133"/>
        <v>3</v>
      </c>
      <c r="AN896">
        <f t="shared" si="134"/>
        <v>19395.272727272728</v>
      </c>
      <c r="AO896">
        <f t="shared" si="135"/>
        <v>0.27027027027027029</v>
      </c>
      <c r="AP896" t="str">
        <f t="shared" si="136"/>
        <v>50+</v>
      </c>
      <c r="AQ896" t="str">
        <f t="shared" si="137"/>
        <v>Very High</v>
      </c>
      <c r="AR896" t="str">
        <f t="shared" si="138"/>
        <v>Short</v>
      </c>
      <c r="AS896">
        <f t="shared" si="139"/>
        <v>0</v>
      </c>
    </row>
    <row r="897" spans="1:4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s="20">
        <v>6833</v>
      </c>
      <c r="T897">
        <v>17089</v>
      </c>
      <c r="U897">
        <v>1</v>
      </c>
      <c r="V897" t="s">
        <v>42</v>
      </c>
      <c r="W897" t="s">
        <v>35</v>
      </c>
      <c r="X897" s="19">
        <v>12</v>
      </c>
      <c r="Y897">
        <v>3</v>
      </c>
      <c r="Z897">
        <v>4</v>
      </c>
      <c r="AA897">
        <v>80</v>
      </c>
      <c r="AB897">
        <v>0</v>
      </c>
      <c r="AC897">
        <v>6</v>
      </c>
      <c r="AD897">
        <v>2</v>
      </c>
      <c r="AE897">
        <v>2</v>
      </c>
      <c r="AF897">
        <v>6</v>
      </c>
      <c r="AG897">
        <v>5</v>
      </c>
      <c r="AH897">
        <v>0</v>
      </c>
      <c r="AI897">
        <v>1</v>
      </c>
      <c r="AJ897">
        <f t="shared" si="130"/>
        <v>0</v>
      </c>
      <c r="AK897">
        <f t="shared" si="131"/>
        <v>1</v>
      </c>
      <c r="AL897">
        <f t="shared" si="132"/>
        <v>1</v>
      </c>
      <c r="AM897">
        <f t="shared" si="133"/>
        <v>2.5</v>
      </c>
      <c r="AN897">
        <f t="shared" si="134"/>
        <v>11713.714285714286</v>
      </c>
      <c r="AO897">
        <f t="shared" si="135"/>
        <v>0.8571428571428571</v>
      </c>
      <c r="AP897" t="str">
        <f t="shared" si="136"/>
        <v>30-39</v>
      </c>
      <c r="AQ897" t="str">
        <f t="shared" si="137"/>
        <v>High</v>
      </c>
      <c r="AR897" t="str">
        <f t="shared" si="138"/>
        <v>Medium</v>
      </c>
      <c r="AS897">
        <f t="shared" si="139"/>
        <v>0</v>
      </c>
    </row>
    <row r="898" spans="1:4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s="20">
        <v>6812</v>
      </c>
      <c r="T898">
        <v>17198</v>
      </c>
      <c r="U898">
        <v>1</v>
      </c>
      <c r="V898" t="s">
        <v>42</v>
      </c>
      <c r="W898" t="s">
        <v>43</v>
      </c>
      <c r="X898" s="19">
        <v>19</v>
      </c>
      <c r="Y898">
        <v>3</v>
      </c>
      <c r="Z898">
        <v>2</v>
      </c>
      <c r="AA898">
        <v>80</v>
      </c>
      <c r="AB898">
        <v>0</v>
      </c>
      <c r="AC898">
        <v>10</v>
      </c>
      <c r="AD898">
        <v>2</v>
      </c>
      <c r="AE898">
        <v>3</v>
      </c>
      <c r="AF898">
        <v>10</v>
      </c>
      <c r="AG898">
        <v>9</v>
      </c>
      <c r="AH898">
        <v>1</v>
      </c>
      <c r="AI898">
        <v>8</v>
      </c>
      <c r="AJ898">
        <f t="shared" si="130"/>
        <v>0</v>
      </c>
      <c r="AK898">
        <f t="shared" si="131"/>
        <v>0</v>
      </c>
      <c r="AL898">
        <f t="shared" si="132"/>
        <v>0</v>
      </c>
      <c r="AM898">
        <f t="shared" si="133"/>
        <v>2.25</v>
      </c>
      <c r="AN898">
        <f t="shared" si="134"/>
        <v>7431.272727272727</v>
      </c>
      <c r="AO898">
        <f t="shared" si="135"/>
        <v>0.90909090909090906</v>
      </c>
      <c r="AP898" t="str">
        <f t="shared" si="136"/>
        <v>30-39</v>
      </c>
      <c r="AQ898" t="str">
        <f t="shared" si="137"/>
        <v>High</v>
      </c>
      <c r="AR898" t="str">
        <f t="shared" si="138"/>
        <v>Long</v>
      </c>
      <c r="AS898">
        <f t="shared" si="139"/>
        <v>0</v>
      </c>
    </row>
    <row r="899" spans="1:4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s="20">
        <v>5171</v>
      </c>
      <c r="T899">
        <v>16490</v>
      </c>
      <c r="U899">
        <v>5</v>
      </c>
      <c r="V899" t="s">
        <v>42</v>
      </c>
      <c r="W899" t="s">
        <v>43</v>
      </c>
      <c r="X899" s="19">
        <v>17</v>
      </c>
      <c r="Y899">
        <v>3</v>
      </c>
      <c r="Z899">
        <v>4</v>
      </c>
      <c r="AA899">
        <v>80</v>
      </c>
      <c r="AB899">
        <v>0</v>
      </c>
      <c r="AC899">
        <v>13</v>
      </c>
      <c r="AD899">
        <v>2</v>
      </c>
      <c r="AE899">
        <v>3</v>
      </c>
      <c r="AF899">
        <v>6</v>
      </c>
      <c r="AG899">
        <v>1</v>
      </c>
      <c r="AH899">
        <v>0</v>
      </c>
      <c r="AI899">
        <v>5</v>
      </c>
      <c r="AJ899">
        <f t="shared" ref="AJ899:AJ962" si="140">IF(B899="Yes",1,0)</f>
        <v>0</v>
      </c>
      <c r="AK899">
        <f t="shared" ref="AK899:AK962" si="141">IF(W899="Yes",1,0)</f>
        <v>0</v>
      </c>
      <c r="AL899">
        <f t="shared" ref="AL899:AL962" si="142">IF(L899="Male",1,0)</f>
        <v>0</v>
      </c>
      <c r="AM899">
        <f t="shared" ref="AM899:AM962" si="143">AVERAGE(K899,Q899,Z899,AE899)</f>
        <v>3.5</v>
      </c>
      <c r="AN899">
        <f t="shared" ref="AN899:AN962" si="144">(S899*12)/(AF899+1)</f>
        <v>8864.5714285714294</v>
      </c>
      <c r="AO899">
        <f t="shared" ref="AO899:AO962" si="145">AF899/(AC899+1)</f>
        <v>0.42857142857142855</v>
      </c>
      <c r="AP899" t="str">
        <f t="shared" ref="AP899:AP962" si="146">IF(A899&lt;30,"Under 30",IF(A899&lt;40,"30-39",IF(A899&lt;50,"40-49","50+")))</f>
        <v>50+</v>
      </c>
      <c r="AQ899" t="str">
        <f t="shared" ref="AQ899:AQ962" si="147">IF(S899&lt;=$AV$1,"Low",IF(S899&lt;=$AV$2,"Medium",IF(S899&lt;=$AV$3,"High","Very High")))</f>
        <v>High</v>
      </c>
      <c r="AR899" t="str">
        <f t="shared" ref="AR899:AR962" si="148">IF(F899&lt;=5,"Short",IF(F899&lt;=15,"Medium","Long"))</f>
        <v>Short</v>
      </c>
      <c r="AS899">
        <f t="shared" ref="AS899:AS962" si="149">IF(C899="Travel_Frequently",1,0)</f>
        <v>0</v>
      </c>
    </row>
    <row r="900" spans="1:4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s="20">
        <v>19740</v>
      </c>
      <c r="T900">
        <v>18625</v>
      </c>
      <c r="U900">
        <v>3</v>
      </c>
      <c r="V900" t="s">
        <v>42</v>
      </c>
      <c r="W900" t="s">
        <v>43</v>
      </c>
      <c r="X900" s="19">
        <v>14</v>
      </c>
      <c r="Y900">
        <v>3</v>
      </c>
      <c r="Z900">
        <v>2</v>
      </c>
      <c r="AA900">
        <v>80</v>
      </c>
      <c r="AB900">
        <v>1</v>
      </c>
      <c r="AC900">
        <v>25</v>
      </c>
      <c r="AD900">
        <v>2</v>
      </c>
      <c r="AE900">
        <v>3</v>
      </c>
      <c r="AF900">
        <v>8</v>
      </c>
      <c r="AG900">
        <v>7</v>
      </c>
      <c r="AH900">
        <v>0</v>
      </c>
      <c r="AI900">
        <v>7</v>
      </c>
      <c r="AJ900">
        <f t="shared" si="140"/>
        <v>0</v>
      </c>
      <c r="AK900">
        <f t="shared" si="141"/>
        <v>0</v>
      </c>
      <c r="AL900">
        <f t="shared" si="142"/>
        <v>1</v>
      </c>
      <c r="AM900">
        <f t="shared" si="143"/>
        <v>3</v>
      </c>
      <c r="AN900">
        <f t="shared" si="144"/>
        <v>26320</v>
      </c>
      <c r="AO900">
        <f t="shared" si="145"/>
        <v>0.30769230769230771</v>
      </c>
      <c r="AP900" t="str">
        <f t="shared" si="146"/>
        <v>40-49</v>
      </c>
      <c r="AQ900" t="str">
        <f t="shared" si="147"/>
        <v>Very High</v>
      </c>
      <c r="AR900" t="str">
        <f t="shared" si="148"/>
        <v>Short</v>
      </c>
      <c r="AS900">
        <f t="shared" si="149"/>
        <v>0</v>
      </c>
    </row>
    <row r="901" spans="1:4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s="20">
        <v>18711</v>
      </c>
      <c r="T901">
        <v>12124</v>
      </c>
      <c r="U901">
        <v>2</v>
      </c>
      <c r="V901" t="s">
        <v>42</v>
      </c>
      <c r="W901" t="s">
        <v>43</v>
      </c>
      <c r="X901" s="19">
        <v>13</v>
      </c>
      <c r="Y901">
        <v>3</v>
      </c>
      <c r="Z901">
        <v>3</v>
      </c>
      <c r="AA901">
        <v>80</v>
      </c>
      <c r="AB901">
        <v>1</v>
      </c>
      <c r="AC901">
        <v>23</v>
      </c>
      <c r="AD901">
        <v>2</v>
      </c>
      <c r="AE901">
        <v>4</v>
      </c>
      <c r="AF901">
        <v>1</v>
      </c>
      <c r="AG901">
        <v>0</v>
      </c>
      <c r="AH901">
        <v>0</v>
      </c>
      <c r="AI901">
        <v>0</v>
      </c>
      <c r="AJ901">
        <f t="shared" si="140"/>
        <v>0</v>
      </c>
      <c r="AK901">
        <f t="shared" si="141"/>
        <v>0</v>
      </c>
      <c r="AL901">
        <f t="shared" si="142"/>
        <v>1</v>
      </c>
      <c r="AM901">
        <f t="shared" si="143"/>
        <v>2.75</v>
      </c>
      <c r="AN901">
        <f t="shared" si="144"/>
        <v>112266</v>
      </c>
      <c r="AO901">
        <f t="shared" si="145"/>
        <v>4.1666666666666664E-2</v>
      </c>
      <c r="AP901" t="str">
        <f t="shared" si="146"/>
        <v>40-49</v>
      </c>
      <c r="AQ901" t="str">
        <f t="shared" si="147"/>
        <v>Very High</v>
      </c>
      <c r="AR901" t="str">
        <f t="shared" si="148"/>
        <v>Short</v>
      </c>
      <c r="AS901">
        <f t="shared" si="149"/>
        <v>0</v>
      </c>
    </row>
    <row r="902" spans="1:4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s="20">
        <v>2674</v>
      </c>
      <c r="T902">
        <v>9256</v>
      </c>
      <c r="U902">
        <v>1</v>
      </c>
      <c r="V902" t="s">
        <v>42</v>
      </c>
      <c r="W902" t="s">
        <v>43</v>
      </c>
      <c r="X902" s="19">
        <v>12</v>
      </c>
      <c r="Y902">
        <v>3</v>
      </c>
      <c r="Z902">
        <v>3</v>
      </c>
      <c r="AA902">
        <v>80</v>
      </c>
      <c r="AB902">
        <v>0</v>
      </c>
      <c r="AC902">
        <v>12</v>
      </c>
      <c r="AD902">
        <v>2</v>
      </c>
      <c r="AE902">
        <v>2</v>
      </c>
      <c r="AF902">
        <v>11</v>
      </c>
      <c r="AG902">
        <v>10</v>
      </c>
      <c r="AH902">
        <v>0</v>
      </c>
      <c r="AI902">
        <v>7</v>
      </c>
      <c r="AJ902">
        <f t="shared" si="140"/>
        <v>0</v>
      </c>
      <c r="AK902">
        <f t="shared" si="141"/>
        <v>0</v>
      </c>
      <c r="AL902">
        <f t="shared" si="142"/>
        <v>1</v>
      </c>
      <c r="AM902">
        <f t="shared" si="143"/>
        <v>2.5</v>
      </c>
      <c r="AN902">
        <f t="shared" si="144"/>
        <v>2674</v>
      </c>
      <c r="AO902">
        <f t="shared" si="145"/>
        <v>0.84615384615384615</v>
      </c>
      <c r="AP902" t="str">
        <f t="shared" si="146"/>
        <v>30-39</v>
      </c>
      <c r="AQ902" t="str">
        <f t="shared" si="147"/>
        <v>Low</v>
      </c>
      <c r="AR902" t="str">
        <f t="shared" si="148"/>
        <v>Short</v>
      </c>
      <c r="AS902">
        <f t="shared" si="149"/>
        <v>1</v>
      </c>
    </row>
    <row r="903" spans="1:4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s="20">
        <v>2559</v>
      </c>
      <c r="T903">
        <v>16620</v>
      </c>
      <c r="U903">
        <v>5</v>
      </c>
      <c r="V903" t="s">
        <v>42</v>
      </c>
      <c r="W903" t="s">
        <v>43</v>
      </c>
      <c r="X903" s="19">
        <v>11</v>
      </c>
      <c r="Y903">
        <v>3</v>
      </c>
      <c r="Z903">
        <v>3</v>
      </c>
      <c r="AA903">
        <v>80</v>
      </c>
      <c r="AB903">
        <v>0</v>
      </c>
      <c r="AC903">
        <v>7</v>
      </c>
      <c r="AD903">
        <v>4</v>
      </c>
      <c r="AE903">
        <v>2</v>
      </c>
      <c r="AF903">
        <v>1</v>
      </c>
      <c r="AG903">
        <v>0</v>
      </c>
      <c r="AH903">
        <v>0</v>
      </c>
      <c r="AI903">
        <v>0</v>
      </c>
      <c r="AJ903">
        <f t="shared" si="140"/>
        <v>0</v>
      </c>
      <c r="AK903">
        <f t="shared" si="141"/>
        <v>0</v>
      </c>
      <c r="AL903">
        <f t="shared" si="142"/>
        <v>1</v>
      </c>
      <c r="AM903">
        <f t="shared" si="143"/>
        <v>2.75</v>
      </c>
      <c r="AN903">
        <f t="shared" si="144"/>
        <v>15354</v>
      </c>
      <c r="AO903">
        <f t="shared" si="145"/>
        <v>0.125</v>
      </c>
      <c r="AP903" t="str">
        <f t="shared" si="146"/>
        <v>40-49</v>
      </c>
      <c r="AQ903" t="str">
        <f t="shared" si="147"/>
        <v>Low</v>
      </c>
      <c r="AR903" t="str">
        <f t="shared" si="148"/>
        <v>Short</v>
      </c>
      <c r="AS903">
        <f t="shared" si="149"/>
        <v>0</v>
      </c>
    </row>
    <row r="904" spans="1:4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s="20">
        <v>2517</v>
      </c>
      <c r="T904">
        <v>3208</v>
      </c>
      <c r="U904">
        <v>1</v>
      </c>
      <c r="V904" t="s">
        <v>42</v>
      </c>
      <c r="W904" t="s">
        <v>43</v>
      </c>
      <c r="X904" s="19">
        <v>11</v>
      </c>
      <c r="Y904">
        <v>3</v>
      </c>
      <c r="Z904">
        <v>2</v>
      </c>
      <c r="AA904">
        <v>80</v>
      </c>
      <c r="AB904">
        <v>3</v>
      </c>
      <c r="AC904">
        <v>5</v>
      </c>
      <c r="AD904">
        <v>2</v>
      </c>
      <c r="AE904">
        <v>3</v>
      </c>
      <c r="AF904">
        <v>5</v>
      </c>
      <c r="AG904">
        <v>3</v>
      </c>
      <c r="AH904">
        <v>0</v>
      </c>
      <c r="AI904">
        <v>3</v>
      </c>
      <c r="AJ904">
        <f t="shared" si="140"/>
        <v>0</v>
      </c>
      <c r="AK904">
        <f t="shared" si="141"/>
        <v>0</v>
      </c>
      <c r="AL904">
        <f t="shared" si="142"/>
        <v>1</v>
      </c>
      <c r="AM904">
        <f t="shared" si="143"/>
        <v>2.25</v>
      </c>
      <c r="AN904">
        <f t="shared" si="144"/>
        <v>5034</v>
      </c>
      <c r="AO904">
        <f t="shared" si="145"/>
        <v>0.83333333333333337</v>
      </c>
      <c r="AP904" t="str">
        <f t="shared" si="146"/>
        <v>Under 30</v>
      </c>
      <c r="AQ904" t="str">
        <f t="shared" si="147"/>
        <v>Low</v>
      </c>
      <c r="AR904" t="str">
        <f t="shared" si="148"/>
        <v>Short</v>
      </c>
      <c r="AS904">
        <f t="shared" si="149"/>
        <v>0</v>
      </c>
    </row>
    <row r="905" spans="1:4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s="20">
        <v>6623</v>
      </c>
      <c r="T905">
        <v>4204</v>
      </c>
      <c r="U905">
        <v>1</v>
      </c>
      <c r="V905" t="s">
        <v>42</v>
      </c>
      <c r="W905" t="s">
        <v>35</v>
      </c>
      <c r="X905" s="19">
        <v>11</v>
      </c>
      <c r="Y905">
        <v>3</v>
      </c>
      <c r="Z905">
        <v>2</v>
      </c>
      <c r="AA905">
        <v>80</v>
      </c>
      <c r="AB905">
        <v>2</v>
      </c>
      <c r="AC905">
        <v>6</v>
      </c>
      <c r="AD905">
        <v>2</v>
      </c>
      <c r="AE905">
        <v>3</v>
      </c>
      <c r="AF905">
        <v>6</v>
      </c>
      <c r="AG905">
        <v>0</v>
      </c>
      <c r="AH905">
        <v>1</v>
      </c>
      <c r="AI905">
        <v>0</v>
      </c>
      <c r="AJ905">
        <f t="shared" si="140"/>
        <v>0</v>
      </c>
      <c r="AK905">
        <f t="shared" si="141"/>
        <v>1</v>
      </c>
      <c r="AL905">
        <f t="shared" si="142"/>
        <v>1</v>
      </c>
      <c r="AM905">
        <f t="shared" si="143"/>
        <v>3</v>
      </c>
      <c r="AN905">
        <f t="shared" si="144"/>
        <v>11353.714285714286</v>
      </c>
      <c r="AO905">
        <f t="shared" si="145"/>
        <v>0.8571428571428571</v>
      </c>
      <c r="AP905" t="str">
        <f t="shared" si="146"/>
        <v>Under 30</v>
      </c>
      <c r="AQ905" t="str">
        <f t="shared" si="147"/>
        <v>High</v>
      </c>
      <c r="AR905" t="str">
        <f t="shared" si="148"/>
        <v>Medium</v>
      </c>
      <c r="AS905">
        <f t="shared" si="149"/>
        <v>0</v>
      </c>
    </row>
    <row r="906" spans="1:4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s="20">
        <v>18265</v>
      </c>
      <c r="T906">
        <v>8733</v>
      </c>
      <c r="U906">
        <v>6</v>
      </c>
      <c r="V906" t="s">
        <v>42</v>
      </c>
      <c r="W906" t="s">
        <v>43</v>
      </c>
      <c r="X906" s="19">
        <v>12</v>
      </c>
      <c r="Y906">
        <v>3</v>
      </c>
      <c r="Z906">
        <v>3</v>
      </c>
      <c r="AA906">
        <v>80</v>
      </c>
      <c r="AB906">
        <v>0</v>
      </c>
      <c r="AC906">
        <v>25</v>
      </c>
      <c r="AD906">
        <v>3</v>
      </c>
      <c r="AE906">
        <v>4</v>
      </c>
      <c r="AF906">
        <v>1</v>
      </c>
      <c r="AG906">
        <v>0</v>
      </c>
      <c r="AH906">
        <v>0</v>
      </c>
      <c r="AI906">
        <v>0</v>
      </c>
      <c r="AJ906">
        <f t="shared" si="140"/>
        <v>0</v>
      </c>
      <c r="AK906">
        <f t="shared" si="141"/>
        <v>0</v>
      </c>
      <c r="AL906">
        <f t="shared" si="142"/>
        <v>1</v>
      </c>
      <c r="AM906">
        <f t="shared" si="143"/>
        <v>3.75</v>
      </c>
      <c r="AN906">
        <f t="shared" si="144"/>
        <v>109590</v>
      </c>
      <c r="AO906">
        <f t="shared" si="145"/>
        <v>3.8461538461538464E-2</v>
      </c>
      <c r="AP906" t="str">
        <f t="shared" si="146"/>
        <v>40-49</v>
      </c>
      <c r="AQ906" t="str">
        <f t="shared" si="147"/>
        <v>Very High</v>
      </c>
      <c r="AR906" t="str">
        <f t="shared" si="148"/>
        <v>Short</v>
      </c>
      <c r="AS906">
        <f t="shared" si="149"/>
        <v>0</v>
      </c>
    </row>
    <row r="907" spans="1:4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s="20">
        <v>16124</v>
      </c>
      <c r="T907">
        <v>3423</v>
      </c>
      <c r="U907">
        <v>3</v>
      </c>
      <c r="V907" t="s">
        <v>42</v>
      </c>
      <c r="W907" t="s">
        <v>43</v>
      </c>
      <c r="X907" s="19">
        <v>14</v>
      </c>
      <c r="Y907">
        <v>3</v>
      </c>
      <c r="Z907">
        <v>2</v>
      </c>
      <c r="AA907">
        <v>80</v>
      </c>
      <c r="AB907">
        <v>2</v>
      </c>
      <c r="AC907">
        <v>9</v>
      </c>
      <c r="AD907">
        <v>2</v>
      </c>
      <c r="AE907">
        <v>2</v>
      </c>
      <c r="AF907">
        <v>7</v>
      </c>
      <c r="AG907">
        <v>7</v>
      </c>
      <c r="AH907">
        <v>1</v>
      </c>
      <c r="AI907">
        <v>7</v>
      </c>
      <c r="AJ907">
        <f t="shared" si="140"/>
        <v>0</v>
      </c>
      <c r="AK907">
        <f t="shared" si="141"/>
        <v>0</v>
      </c>
      <c r="AL907">
        <f t="shared" si="142"/>
        <v>0</v>
      </c>
      <c r="AM907">
        <f t="shared" si="143"/>
        <v>3</v>
      </c>
      <c r="AN907">
        <f t="shared" si="144"/>
        <v>24186</v>
      </c>
      <c r="AO907">
        <f t="shared" si="145"/>
        <v>0.7</v>
      </c>
      <c r="AP907" t="str">
        <f t="shared" si="146"/>
        <v>Under 30</v>
      </c>
      <c r="AQ907" t="str">
        <f t="shared" si="147"/>
        <v>Very High</v>
      </c>
      <c r="AR907" t="str">
        <f t="shared" si="148"/>
        <v>Short</v>
      </c>
      <c r="AS907">
        <f t="shared" si="149"/>
        <v>0</v>
      </c>
    </row>
    <row r="908" spans="1:4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s="20">
        <v>2585</v>
      </c>
      <c r="T908">
        <v>21643</v>
      </c>
      <c r="U908">
        <v>0</v>
      </c>
      <c r="V908" t="s">
        <v>42</v>
      </c>
      <c r="W908" t="s">
        <v>43</v>
      </c>
      <c r="X908" s="19">
        <v>17</v>
      </c>
      <c r="Y908">
        <v>3</v>
      </c>
      <c r="Z908">
        <v>4</v>
      </c>
      <c r="AA908">
        <v>80</v>
      </c>
      <c r="AB908">
        <v>0</v>
      </c>
      <c r="AC908">
        <v>2</v>
      </c>
      <c r="AD908">
        <v>5</v>
      </c>
      <c r="AE908">
        <v>2</v>
      </c>
      <c r="AF908">
        <v>1</v>
      </c>
      <c r="AG908">
        <v>0</v>
      </c>
      <c r="AH908">
        <v>0</v>
      </c>
      <c r="AI908">
        <v>0</v>
      </c>
      <c r="AJ908">
        <f t="shared" si="140"/>
        <v>0</v>
      </c>
      <c r="AK908">
        <f t="shared" si="141"/>
        <v>0</v>
      </c>
      <c r="AL908">
        <f t="shared" si="142"/>
        <v>0</v>
      </c>
      <c r="AM908">
        <f t="shared" si="143"/>
        <v>3</v>
      </c>
      <c r="AN908">
        <f t="shared" si="144"/>
        <v>15510</v>
      </c>
      <c r="AO908">
        <f t="shared" si="145"/>
        <v>0.33333333333333331</v>
      </c>
      <c r="AP908" t="str">
        <f t="shared" si="146"/>
        <v>30-39</v>
      </c>
      <c r="AQ908" t="str">
        <f t="shared" si="147"/>
        <v>Low</v>
      </c>
      <c r="AR908" t="str">
        <f t="shared" si="148"/>
        <v>Long</v>
      </c>
      <c r="AS908">
        <f t="shared" si="149"/>
        <v>0</v>
      </c>
    </row>
    <row r="909" spans="1:4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s="20">
        <v>18213</v>
      </c>
      <c r="T909">
        <v>8751</v>
      </c>
      <c r="U909">
        <v>7</v>
      </c>
      <c r="V909" t="s">
        <v>42</v>
      </c>
      <c r="W909" t="s">
        <v>43</v>
      </c>
      <c r="X909" s="19">
        <v>11</v>
      </c>
      <c r="Y909">
        <v>3</v>
      </c>
      <c r="Z909">
        <v>3</v>
      </c>
      <c r="AA909">
        <v>80</v>
      </c>
      <c r="AB909">
        <v>1</v>
      </c>
      <c r="AC909">
        <v>26</v>
      </c>
      <c r="AD909">
        <v>5</v>
      </c>
      <c r="AE909">
        <v>3</v>
      </c>
      <c r="AF909">
        <v>22</v>
      </c>
      <c r="AG909">
        <v>9</v>
      </c>
      <c r="AH909">
        <v>3</v>
      </c>
      <c r="AI909">
        <v>10</v>
      </c>
      <c r="AJ909">
        <f t="shared" si="140"/>
        <v>0</v>
      </c>
      <c r="AK909">
        <f t="shared" si="141"/>
        <v>0</v>
      </c>
      <c r="AL909">
        <f t="shared" si="142"/>
        <v>1</v>
      </c>
      <c r="AM909">
        <f t="shared" si="143"/>
        <v>2.5</v>
      </c>
      <c r="AN909">
        <f t="shared" si="144"/>
        <v>9502.434782608696</v>
      </c>
      <c r="AO909">
        <f t="shared" si="145"/>
        <v>0.81481481481481477</v>
      </c>
      <c r="AP909" t="str">
        <f t="shared" si="146"/>
        <v>40-49</v>
      </c>
      <c r="AQ909" t="str">
        <f t="shared" si="147"/>
        <v>Very High</v>
      </c>
      <c r="AR909" t="str">
        <f t="shared" si="148"/>
        <v>Short</v>
      </c>
      <c r="AS909">
        <f t="shared" si="149"/>
        <v>0</v>
      </c>
    </row>
    <row r="910" spans="1:4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s="20">
        <v>8380</v>
      </c>
      <c r="T910">
        <v>21708</v>
      </c>
      <c r="U910">
        <v>0</v>
      </c>
      <c r="V910" t="s">
        <v>42</v>
      </c>
      <c r="W910" t="s">
        <v>35</v>
      </c>
      <c r="X910" s="19">
        <v>14</v>
      </c>
      <c r="Y910">
        <v>3</v>
      </c>
      <c r="Z910">
        <v>4</v>
      </c>
      <c r="AA910">
        <v>80</v>
      </c>
      <c r="AB910">
        <v>2</v>
      </c>
      <c r="AC910">
        <v>10</v>
      </c>
      <c r="AD910">
        <v>3</v>
      </c>
      <c r="AE910">
        <v>3</v>
      </c>
      <c r="AF910">
        <v>9</v>
      </c>
      <c r="AG910">
        <v>8</v>
      </c>
      <c r="AH910">
        <v>0</v>
      </c>
      <c r="AI910">
        <v>8</v>
      </c>
      <c r="AJ910">
        <f t="shared" si="140"/>
        <v>0</v>
      </c>
      <c r="AK910">
        <f t="shared" si="141"/>
        <v>1</v>
      </c>
      <c r="AL910">
        <f t="shared" si="142"/>
        <v>1</v>
      </c>
      <c r="AM910">
        <f t="shared" si="143"/>
        <v>3.5</v>
      </c>
      <c r="AN910">
        <f t="shared" si="144"/>
        <v>10056</v>
      </c>
      <c r="AO910">
        <f t="shared" si="145"/>
        <v>0.81818181818181823</v>
      </c>
      <c r="AP910" t="str">
        <f t="shared" si="146"/>
        <v>30-39</v>
      </c>
      <c r="AQ910" t="str">
        <f t="shared" si="147"/>
        <v>Very High</v>
      </c>
      <c r="AR910" t="str">
        <f t="shared" si="148"/>
        <v>Medium</v>
      </c>
      <c r="AS910">
        <f t="shared" si="149"/>
        <v>0</v>
      </c>
    </row>
    <row r="911" spans="1:4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s="20">
        <v>2994</v>
      </c>
      <c r="T911">
        <v>21221</v>
      </c>
      <c r="U911">
        <v>1</v>
      </c>
      <c r="V911" t="s">
        <v>42</v>
      </c>
      <c r="W911" t="s">
        <v>35</v>
      </c>
      <c r="X911" s="19">
        <v>12</v>
      </c>
      <c r="Y911">
        <v>3</v>
      </c>
      <c r="Z911">
        <v>4</v>
      </c>
      <c r="AA911">
        <v>80</v>
      </c>
      <c r="AB911">
        <v>0</v>
      </c>
      <c r="AC911">
        <v>1</v>
      </c>
      <c r="AD911">
        <v>2</v>
      </c>
      <c r="AE911">
        <v>3</v>
      </c>
      <c r="AF911">
        <v>1</v>
      </c>
      <c r="AG911">
        <v>0</v>
      </c>
      <c r="AH911">
        <v>0</v>
      </c>
      <c r="AI911">
        <v>1</v>
      </c>
      <c r="AJ911">
        <f t="shared" si="140"/>
        <v>0</v>
      </c>
      <c r="AK911">
        <f t="shared" si="141"/>
        <v>1</v>
      </c>
      <c r="AL911">
        <f t="shared" si="142"/>
        <v>0</v>
      </c>
      <c r="AM911">
        <f t="shared" si="143"/>
        <v>3.25</v>
      </c>
      <c r="AN911">
        <f t="shared" si="144"/>
        <v>17964</v>
      </c>
      <c r="AO911">
        <f t="shared" si="145"/>
        <v>0.5</v>
      </c>
      <c r="AP911" t="str">
        <f t="shared" si="146"/>
        <v>Under 30</v>
      </c>
      <c r="AQ911" t="str">
        <f t="shared" si="147"/>
        <v>Medium</v>
      </c>
      <c r="AR911" t="str">
        <f t="shared" si="148"/>
        <v>Long</v>
      </c>
      <c r="AS911">
        <f t="shared" si="149"/>
        <v>0</v>
      </c>
    </row>
    <row r="912" spans="1:4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s="20">
        <v>1223</v>
      </c>
      <c r="T912">
        <v>16901</v>
      </c>
      <c r="U912">
        <v>1</v>
      </c>
      <c r="V912" t="s">
        <v>42</v>
      </c>
      <c r="W912" t="s">
        <v>43</v>
      </c>
      <c r="X912" s="19">
        <v>22</v>
      </c>
      <c r="Y912">
        <v>4</v>
      </c>
      <c r="Z912">
        <v>4</v>
      </c>
      <c r="AA912">
        <v>80</v>
      </c>
      <c r="AB912">
        <v>1</v>
      </c>
      <c r="AC912">
        <v>1</v>
      </c>
      <c r="AD912">
        <v>2</v>
      </c>
      <c r="AE912">
        <v>3</v>
      </c>
      <c r="AF912">
        <v>1</v>
      </c>
      <c r="AG912">
        <v>0</v>
      </c>
      <c r="AH912">
        <v>0</v>
      </c>
      <c r="AI912">
        <v>1</v>
      </c>
      <c r="AJ912">
        <f t="shared" si="140"/>
        <v>0</v>
      </c>
      <c r="AK912">
        <f t="shared" si="141"/>
        <v>0</v>
      </c>
      <c r="AL912">
        <f t="shared" si="142"/>
        <v>1</v>
      </c>
      <c r="AM912">
        <f t="shared" si="143"/>
        <v>3.5</v>
      </c>
      <c r="AN912">
        <f t="shared" si="144"/>
        <v>7338</v>
      </c>
      <c r="AO912">
        <f t="shared" si="145"/>
        <v>0.5</v>
      </c>
      <c r="AP912" t="str">
        <f t="shared" si="146"/>
        <v>Under 30</v>
      </c>
      <c r="AQ912" t="str">
        <f t="shared" si="147"/>
        <v>Low</v>
      </c>
      <c r="AR912" t="str">
        <f t="shared" si="148"/>
        <v>Short</v>
      </c>
      <c r="AS912">
        <f t="shared" si="149"/>
        <v>0</v>
      </c>
    </row>
    <row r="913" spans="1:4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s="20">
        <v>1118</v>
      </c>
      <c r="T913">
        <v>8040</v>
      </c>
      <c r="U913">
        <v>1</v>
      </c>
      <c r="V913" t="s">
        <v>42</v>
      </c>
      <c r="W913" t="s">
        <v>35</v>
      </c>
      <c r="X913" s="19">
        <v>14</v>
      </c>
      <c r="Y913">
        <v>3</v>
      </c>
      <c r="Z913">
        <v>4</v>
      </c>
      <c r="AA913">
        <v>80</v>
      </c>
      <c r="AB913">
        <v>0</v>
      </c>
      <c r="AC913">
        <v>1</v>
      </c>
      <c r="AD913">
        <v>4</v>
      </c>
      <c r="AE913">
        <v>3</v>
      </c>
      <c r="AF913">
        <v>1</v>
      </c>
      <c r="AG913">
        <v>0</v>
      </c>
      <c r="AH913">
        <v>1</v>
      </c>
      <c r="AI913">
        <v>0</v>
      </c>
      <c r="AJ913">
        <f t="shared" si="140"/>
        <v>1</v>
      </c>
      <c r="AK913">
        <f t="shared" si="141"/>
        <v>1</v>
      </c>
      <c r="AL913">
        <f t="shared" si="142"/>
        <v>1</v>
      </c>
      <c r="AM913">
        <f t="shared" si="143"/>
        <v>3.5</v>
      </c>
      <c r="AN913">
        <f t="shared" si="144"/>
        <v>6708</v>
      </c>
      <c r="AO913">
        <f t="shared" si="145"/>
        <v>0.5</v>
      </c>
      <c r="AP913" t="str">
        <f t="shared" si="146"/>
        <v>Under 30</v>
      </c>
      <c r="AQ913" t="str">
        <f t="shared" si="147"/>
        <v>Low</v>
      </c>
      <c r="AR913" t="str">
        <f t="shared" si="148"/>
        <v>Long</v>
      </c>
      <c r="AS913">
        <f t="shared" si="149"/>
        <v>1</v>
      </c>
    </row>
    <row r="914" spans="1:4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s="20">
        <v>2875</v>
      </c>
      <c r="T914">
        <v>9973</v>
      </c>
      <c r="U914">
        <v>1</v>
      </c>
      <c r="V914" t="s">
        <v>42</v>
      </c>
      <c r="W914" t="s">
        <v>35</v>
      </c>
      <c r="X914" s="19">
        <v>20</v>
      </c>
      <c r="Y914">
        <v>4</v>
      </c>
      <c r="Z914">
        <v>2</v>
      </c>
      <c r="AA914">
        <v>80</v>
      </c>
      <c r="AB914">
        <v>0</v>
      </c>
      <c r="AC914">
        <v>8</v>
      </c>
      <c r="AD914">
        <v>2</v>
      </c>
      <c r="AE914">
        <v>2</v>
      </c>
      <c r="AF914">
        <v>8</v>
      </c>
      <c r="AG914">
        <v>5</v>
      </c>
      <c r="AH914">
        <v>2</v>
      </c>
      <c r="AI914">
        <v>2</v>
      </c>
      <c r="AJ914">
        <f t="shared" si="140"/>
        <v>0</v>
      </c>
      <c r="AK914">
        <f t="shared" si="141"/>
        <v>1</v>
      </c>
      <c r="AL914">
        <f t="shared" si="142"/>
        <v>1</v>
      </c>
      <c r="AM914">
        <f t="shared" si="143"/>
        <v>2.75</v>
      </c>
      <c r="AN914">
        <f t="shared" si="144"/>
        <v>3833.3333333333335</v>
      </c>
      <c r="AO914">
        <f t="shared" si="145"/>
        <v>0.88888888888888884</v>
      </c>
      <c r="AP914" t="str">
        <f t="shared" si="146"/>
        <v>Under 30</v>
      </c>
      <c r="AQ914" t="str">
        <f t="shared" si="147"/>
        <v>Low</v>
      </c>
      <c r="AR914" t="str">
        <f t="shared" si="148"/>
        <v>Short</v>
      </c>
      <c r="AS914">
        <f t="shared" si="149"/>
        <v>0</v>
      </c>
    </row>
    <row r="915" spans="1:4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s="20">
        <v>18824</v>
      </c>
      <c r="T915">
        <v>2493</v>
      </c>
      <c r="U915">
        <v>2</v>
      </c>
      <c r="V915" t="s">
        <v>42</v>
      </c>
      <c r="W915" t="s">
        <v>35</v>
      </c>
      <c r="X915" s="19">
        <v>16</v>
      </c>
      <c r="Y915">
        <v>3</v>
      </c>
      <c r="Z915">
        <v>1</v>
      </c>
      <c r="AA915">
        <v>80</v>
      </c>
      <c r="AB915">
        <v>0</v>
      </c>
      <c r="AC915">
        <v>26</v>
      </c>
      <c r="AD915">
        <v>2</v>
      </c>
      <c r="AE915">
        <v>3</v>
      </c>
      <c r="AF915">
        <v>24</v>
      </c>
      <c r="AG915">
        <v>10</v>
      </c>
      <c r="AH915">
        <v>1</v>
      </c>
      <c r="AI915">
        <v>11</v>
      </c>
      <c r="AJ915">
        <f t="shared" si="140"/>
        <v>1</v>
      </c>
      <c r="AK915">
        <f t="shared" si="141"/>
        <v>1</v>
      </c>
      <c r="AL915">
        <f t="shared" si="142"/>
        <v>0</v>
      </c>
      <c r="AM915">
        <f t="shared" si="143"/>
        <v>1.75</v>
      </c>
      <c r="AN915">
        <f t="shared" si="144"/>
        <v>9035.52</v>
      </c>
      <c r="AO915">
        <f t="shared" si="145"/>
        <v>0.88888888888888884</v>
      </c>
      <c r="AP915" t="str">
        <f t="shared" si="146"/>
        <v>40-49</v>
      </c>
      <c r="AQ915" t="str">
        <f t="shared" si="147"/>
        <v>Very High</v>
      </c>
      <c r="AR915" t="str">
        <f t="shared" si="148"/>
        <v>Short</v>
      </c>
      <c r="AS915">
        <f t="shared" si="149"/>
        <v>0</v>
      </c>
    </row>
    <row r="916" spans="1:4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s="20">
        <v>13577</v>
      </c>
      <c r="T916">
        <v>25592</v>
      </c>
      <c r="U916">
        <v>1</v>
      </c>
      <c r="V916" t="s">
        <v>42</v>
      </c>
      <c r="W916" t="s">
        <v>35</v>
      </c>
      <c r="X916" s="19">
        <v>15</v>
      </c>
      <c r="Y916">
        <v>3</v>
      </c>
      <c r="Z916">
        <v>4</v>
      </c>
      <c r="AA916">
        <v>80</v>
      </c>
      <c r="AB916">
        <v>1</v>
      </c>
      <c r="AC916">
        <v>34</v>
      </c>
      <c r="AD916">
        <v>3</v>
      </c>
      <c r="AE916">
        <v>3</v>
      </c>
      <c r="AF916">
        <v>33</v>
      </c>
      <c r="AG916">
        <v>9</v>
      </c>
      <c r="AH916">
        <v>15</v>
      </c>
      <c r="AI916">
        <v>0</v>
      </c>
      <c r="AJ916">
        <f t="shared" si="140"/>
        <v>0</v>
      </c>
      <c r="AK916">
        <f t="shared" si="141"/>
        <v>1</v>
      </c>
      <c r="AL916">
        <f t="shared" si="142"/>
        <v>1</v>
      </c>
      <c r="AM916">
        <f t="shared" si="143"/>
        <v>3.25</v>
      </c>
      <c r="AN916">
        <f t="shared" si="144"/>
        <v>4791.8823529411766</v>
      </c>
      <c r="AO916">
        <f t="shared" si="145"/>
        <v>0.94285714285714284</v>
      </c>
      <c r="AP916" t="str">
        <f t="shared" si="146"/>
        <v>50+</v>
      </c>
      <c r="AQ916" t="str">
        <f t="shared" si="147"/>
        <v>Very High</v>
      </c>
      <c r="AR916" t="str">
        <f t="shared" si="148"/>
        <v>Medium</v>
      </c>
      <c r="AS916">
        <f t="shared" si="149"/>
        <v>0</v>
      </c>
    </row>
    <row r="917" spans="1:4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s="20">
        <v>2625</v>
      </c>
      <c r="T917">
        <v>25308</v>
      </c>
      <c r="U917">
        <v>1</v>
      </c>
      <c r="V917" t="s">
        <v>42</v>
      </c>
      <c r="W917" t="s">
        <v>43</v>
      </c>
      <c r="X917" s="19">
        <v>20</v>
      </c>
      <c r="Y917">
        <v>4</v>
      </c>
      <c r="Z917">
        <v>3</v>
      </c>
      <c r="AA917">
        <v>80</v>
      </c>
      <c r="AB917">
        <v>0</v>
      </c>
      <c r="AC917">
        <v>2</v>
      </c>
      <c r="AD917">
        <v>2</v>
      </c>
      <c r="AE917">
        <v>1</v>
      </c>
      <c r="AF917">
        <v>2</v>
      </c>
      <c r="AG917">
        <v>2</v>
      </c>
      <c r="AH917">
        <v>2</v>
      </c>
      <c r="AI917">
        <v>2</v>
      </c>
      <c r="AJ917">
        <f t="shared" si="140"/>
        <v>1</v>
      </c>
      <c r="AK917">
        <f t="shared" si="141"/>
        <v>0</v>
      </c>
      <c r="AL917">
        <f t="shared" si="142"/>
        <v>0</v>
      </c>
      <c r="AM917">
        <f t="shared" si="143"/>
        <v>2</v>
      </c>
      <c r="AN917">
        <f t="shared" si="144"/>
        <v>10500</v>
      </c>
      <c r="AO917">
        <f t="shared" si="145"/>
        <v>0.66666666666666663</v>
      </c>
      <c r="AP917" t="str">
        <f t="shared" si="146"/>
        <v>Under 30</v>
      </c>
      <c r="AQ917" t="str">
        <f t="shared" si="147"/>
        <v>Low</v>
      </c>
      <c r="AR917" t="str">
        <f t="shared" si="148"/>
        <v>Medium</v>
      </c>
      <c r="AS917">
        <f t="shared" si="149"/>
        <v>1</v>
      </c>
    </row>
    <row r="918" spans="1:4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s="20">
        <v>18789</v>
      </c>
      <c r="T918">
        <v>9946</v>
      </c>
      <c r="U918">
        <v>2</v>
      </c>
      <c r="V918" t="s">
        <v>42</v>
      </c>
      <c r="W918" t="s">
        <v>43</v>
      </c>
      <c r="X918" s="19">
        <v>14</v>
      </c>
      <c r="Y918">
        <v>3</v>
      </c>
      <c r="Z918">
        <v>3</v>
      </c>
      <c r="AA918">
        <v>80</v>
      </c>
      <c r="AB918">
        <v>1</v>
      </c>
      <c r="AC918">
        <v>26</v>
      </c>
      <c r="AD918">
        <v>2</v>
      </c>
      <c r="AE918">
        <v>3</v>
      </c>
      <c r="AF918">
        <v>11</v>
      </c>
      <c r="AG918">
        <v>4</v>
      </c>
      <c r="AH918">
        <v>0</v>
      </c>
      <c r="AI918">
        <v>8</v>
      </c>
      <c r="AJ918">
        <f t="shared" si="140"/>
        <v>0</v>
      </c>
      <c r="AK918">
        <f t="shared" si="141"/>
        <v>0</v>
      </c>
      <c r="AL918">
        <f t="shared" si="142"/>
        <v>0</v>
      </c>
      <c r="AM918">
        <f t="shared" si="143"/>
        <v>3</v>
      </c>
      <c r="AN918">
        <f t="shared" si="144"/>
        <v>18789</v>
      </c>
      <c r="AO918">
        <f t="shared" si="145"/>
        <v>0.40740740740740738</v>
      </c>
      <c r="AP918" t="str">
        <f t="shared" si="146"/>
        <v>40-49</v>
      </c>
      <c r="AQ918" t="str">
        <f t="shared" si="147"/>
        <v>Very High</v>
      </c>
      <c r="AR918" t="str">
        <f t="shared" si="148"/>
        <v>Short</v>
      </c>
      <c r="AS918">
        <f t="shared" si="149"/>
        <v>0</v>
      </c>
    </row>
    <row r="919" spans="1:4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s="20">
        <v>4538</v>
      </c>
      <c r="T919">
        <v>6039</v>
      </c>
      <c r="U919">
        <v>0</v>
      </c>
      <c r="V919" t="s">
        <v>42</v>
      </c>
      <c r="W919" t="s">
        <v>35</v>
      </c>
      <c r="X919" s="19">
        <v>12</v>
      </c>
      <c r="Y919">
        <v>3</v>
      </c>
      <c r="Z919">
        <v>4</v>
      </c>
      <c r="AA919">
        <v>80</v>
      </c>
      <c r="AB919">
        <v>0</v>
      </c>
      <c r="AC919">
        <v>4</v>
      </c>
      <c r="AD919">
        <v>3</v>
      </c>
      <c r="AE919">
        <v>3</v>
      </c>
      <c r="AF919">
        <v>3</v>
      </c>
      <c r="AG919">
        <v>2</v>
      </c>
      <c r="AH919">
        <v>0</v>
      </c>
      <c r="AI919">
        <v>2</v>
      </c>
      <c r="AJ919">
        <f t="shared" si="140"/>
        <v>0</v>
      </c>
      <c r="AK919">
        <f t="shared" si="141"/>
        <v>1</v>
      </c>
      <c r="AL919">
        <f t="shared" si="142"/>
        <v>0</v>
      </c>
      <c r="AM919">
        <f t="shared" si="143"/>
        <v>2.75</v>
      </c>
      <c r="AN919">
        <f t="shared" si="144"/>
        <v>13614</v>
      </c>
      <c r="AO919">
        <f t="shared" si="145"/>
        <v>0.6</v>
      </c>
      <c r="AP919" t="str">
        <f t="shared" si="146"/>
        <v>30-39</v>
      </c>
      <c r="AQ919" t="str">
        <f t="shared" si="147"/>
        <v>Medium</v>
      </c>
      <c r="AR919" t="str">
        <f t="shared" si="148"/>
        <v>Short</v>
      </c>
      <c r="AS919">
        <f t="shared" si="149"/>
        <v>0</v>
      </c>
    </row>
    <row r="920" spans="1:4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s="20">
        <v>19847</v>
      </c>
      <c r="T920">
        <v>19196</v>
      </c>
      <c r="U920">
        <v>4</v>
      </c>
      <c r="V920" t="s">
        <v>42</v>
      </c>
      <c r="W920" t="s">
        <v>35</v>
      </c>
      <c r="X920" s="19">
        <v>24</v>
      </c>
      <c r="Y920">
        <v>4</v>
      </c>
      <c r="Z920">
        <v>1</v>
      </c>
      <c r="AA920">
        <v>80</v>
      </c>
      <c r="AB920">
        <v>1</v>
      </c>
      <c r="AC920">
        <v>31</v>
      </c>
      <c r="AD920">
        <v>5</v>
      </c>
      <c r="AE920">
        <v>2</v>
      </c>
      <c r="AF920">
        <v>29</v>
      </c>
      <c r="AG920">
        <v>10</v>
      </c>
      <c r="AH920">
        <v>11</v>
      </c>
      <c r="AI920">
        <v>10</v>
      </c>
      <c r="AJ920">
        <f t="shared" si="140"/>
        <v>0</v>
      </c>
      <c r="AK920">
        <f t="shared" si="141"/>
        <v>1</v>
      </c>
      <c r="AL920">
        <f t="shared" si="142"/>
        <v>1</v>
      </c>
      <c r="AM920">
        <f t="shared" si="143"/>
        <v>2.25</v>
      </c>
      <c r="AN920">
        <f t="shared" si="144"/>
        <v>7938.8</v>
      </c>
      <c r="AO920">
        <f t="shared" si="145"/>
        <v>0.90625</v>
      </c>
      <c r="AP920" t="str">
        <f t="shared" si="146"/>
        <v>50+</v>
      </c>
      <c r="AQ920" t="str">
        <f t="shared" si="147"/>
        <v>Very High</v>
      </c>
      <c r="AR920" t="str">
        <f t="shared" si="148"/>
        <v>Medium</v>
      </c>
      <c r="AS920">
        <f t="shared" si="149"/>
        <v>1</v>
      </c>
    </row>
    <row r="921" spans="1:4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s="20">
        <v>10512</v>
      </c>
      <c r="T921">
        <v>20002</v>
      </c>
      <c r="U921">
        <v>6</v>
      </c>
      <c r="V921" t="s">
        <v>42</v>
      </c>
      <c r="W921" t="s">
        <v>43</v>
      </c>
      <c r="X921" s="19">
        <v>12</v>
      </c>
      <c r="Y921">
        <v>3</v>
      </c>
      <c r="Z921">
        <v>4</v>
      </c>
      <c r="AA921">
        <v>80</v>
      </c>
      <c r="AB921">
        <v>0</v>
      </c>
      <c r="AC921">
        <v>25</v>
      </c>
      <c r="AD921">
        <v>6</v>
      </c>
      <c r="AE921">
        <v>2</v>
      </c>
      <c r="AF921">
        <v>9</v>
      </c>
      <c r="AG921">
        <v>7</v>
      </c>
      <c r="AH921">
        <v>5</v>
      </c>
      <c r="AI921">
        <v>4</v>
      </c>
      <c r="AJ921">
        <f t="shared" si="140"/>
        <v>0</v>
      </c>
      <c r="AK921">
        <f t="shared" si="141"/>
        <v>0</v>
      </c>
      <c r="AL921">
        <f t="shared" si="142"/>
        <v>1</v>
      </c>
      <c r="AM921">
        <f t="shared" si="143"/>
        <v>3.5</v>
      </c>
      <c r="AN921">
        <f t="shared" si="144"/>
        <v>12614.4</v>
      </c>
      <c r="AO921">
        <f t="shared" si="145"/>
        <v>0.34615384615384615</v>
      </c>
      <c r="AP921" t="str">
        <f t="shared" si="146"/>
        <v>50+</v>
      </c>
      <c r="AQ921" t="str">
        <f t="shared" si="147"/>
        <v>Very High</v>
      </c>
      <c r="AR921" t="str">
        <f t="shared" si="148"/>
        <v>Long</v>
      </c>
      <c r="AS921">
        <f t="shared" si="149"/>
        <v>0</v>
      </c>
    </row>
    <row r="922" spans="1:4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s="20">
        <v>4444</v>
      </c>
      <c r="T922">
        <v>22534</v>
      </c>
      <c r="U922">
        <v>4</v>
      </c>
      <c r="V922" t="s">
        <v>42</v>
      </c>
      <c r="W922" t="s">
        <v>43</v>
      </c>
      <c r="X922" s="19">
        <v>13</v>
      </c>
      <c r="Y922">
        <v>3</v>
      </c>
      <c r="Z922">
        <v>3</v>
      </c>
      <c r="AA922">
        <v>80</v>
      </c>
      <c r="AB922">
        <v>2</v>
      </c>
      <c r="AC922">
        <v>15</v>
      </c>
      <c r="AD922">
        <v>2</v>
      </c>
      <c r="AE922">
        <v>4</v>
      </c>
      <c r="AF922">
        <v>11</v>
      </c>
      <c r="AG922">
        <v>8</v>
      </c>
      <c r="AH922">
        <v>5</v>
      </c>
      <c r="AI922">
        <v>10</v>
      </c>
      <c r="AJ922">
        <f t="shared" si="140"/>
        <v>0</v>
      </c>
      <c r="AK922">
        <f t="shared" si="141"/>
        <v>0</v>
      </c>
      <c r="AL922">
        <f t="shared" si="142"/>
        <v>0</v>
      </c>
      <c r="AM922">
        <f t="shared" si="143"/>
        <v>3</v>
      </c>
      <c r="AN922">
        <f t="shared" si="144"/>
        <v>4444</v>
      </c>
      <c r="AO922">
        <f t="shared" si="145"/>
        <v>0.6875</v>
      </c>
      <c r="AP922" t="str">
        <f t="shared" si="146"/>
        <v>30-39</v>
      </c>
      <c r="AQ922" t="str">
        <f t="shared" si="147"/>
        <v>Medium</v>
      </c>
      <c r="AR922" t="str">
        <f t="shared" si="148"/>
        <v>Long</v>
      </c>
      <c r="AS922">
        <f t="shared" si="149"/>
        <v>1</v>
      </c>
    </row>
    <row r="923" spans="1:4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s="20">
        <v>2154</v>
      </c>
      <c r="T923">
        <v>6842</v>
      </c>
      <c r="U923">
        <v>0</v>
      </c>
      <c r="V923" t="s">
        <v>42</v>
      </c>
      <c r="W923" t="s">
        <v>35</v>
      </c>
      <c r="X923" s="19">
        <v>11</v>
      </c>
      <c r="Y923">
        <v>3</v>
      </c>
      <c r="Z923">
        <v>3</v>
      </c>
      <c r="AA923">
        <v>80</v>
      </c>
      <c r="AB923">
        <v>0</v>
      </c>
      <c r="AC923">
        <v>5</v>
      </c>
      <c r="AD923">
        <v>2</v>
      </c>
      <c r="AE923">
        <v>2</v>
      </c>
      <c r="AF923">
        <v>4</v>
      </c>
      <c r="AG923">
        <v>2</v>
      </c>
      <c r="AH923">
        <v>0</v>
      </c>
      <c r="AI923">
        <v>2</v>
      </c>
      <c r="AJ923">
        <f t="shared" si="140"/>
        <v>0</v>
      </c>
      <c r="AK923">
        <f t="shared" si="141"/>
        <v>1</v>
      </c>
      <c r="AL923">
        <f t="shared" si="142"/>
        <v>1</v>
      </c>
      <c r="AM923">
        <f t="shared" si="143"/>
        <v>3</v>
      </c>
      <c r="AN923">
        <f t="shared" si="144"/>
        <v>5169.6000000000004</v>
      </c>
      <c r="AO923">
        <f t="shared" si="145"/>
        <v>0.66666666666666663</v>
      </c>
      <c r="AP923" t="str">
        <f t="shared" si="146"/>
        <v>Under 30</v>
      </c>
      <c r="AQ923" t="str">
        <f t="shared" si="147"/>
        <v>Low</v>
      </c>
      <c r="AR923" t="str">
        <f t="shared" si="148"/>
        <v>Short</v>
      </c>
      <c r="AS923">
        <f t="shared" si="149"/>
        <v>1</v>
      </c>
    </row>
    <row r="924" spans="1:4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s="20">
        <v>19190</v>
      </c>
      <c r="T924">
        <v>17477</v>
      </c>
      <c r="U924">
        <v>1</v>
      </c>
      <c r="V924" t="s">
        <v>42</v>
      </c>
      <c r="W924" t="s">
        <v>43</v>
      </c>
      <c r="X924" s="19">
        <v>14</v>
      </c>
      <c r="Y924">
        <v>3</v>
      </c>
      <c r="Z924">
        <v>4</v>
      </c>
      <c r="AA924">
        <v>80</v>
      </c>
      <c r="AB924">
        <v>2</v>
      </c>
      <c r="AC924">
        <v>26</v>
      </c>
      <c r="AD924">
        <v>4</v>
      </c>
      <c r="AE924">
        <v>2</v>
      </c>
      <c r="AF924">
        <v>25</v>
      </c>
      <c r="AG924">
        <v>9</v>
      </c>
      <c r="AH924">
        <v>14</v>
      </c>
      <c r="AI924">
        <v>13</v>
      </c>
      <c r="AJ924">
        <f t="shared" si="140"/>
        <v>0</v>
      </c>
      <c r="AK924">
        <f t="shared" si="141"/>
        <v>0</v>
      </c>
      <c r="AL924">
        <f t="shared" si="142"/>
        <v>1</v>
      </c>
      <c r="AM924">
        <f t="shared" si="143"/>
        <v>2.5</v>
      </c>
      <c r="AN924">
        <f t="shared" si="144"/>
        <v>8856.9230769230762</v>
      </c>
      <c r="AO924">
        <f t="shared" si="145"/>
        <v>0.92592592592592593</v>
      </c>
      <c r="AP924" t="str">
        <f t="shared" si="146"/>
        <v>40-49</v>
      </c>
      <c r="AQ924" t="str">
        <f t="shared" si="147"/>
        <v>Very High</v>
      </c>
      <c r="AR924" t="str">
        <f t="shared" si="148"/>
        <v>Short</v>
      </c>
      <c r="AS924">
        <f t="shared" si="149"/>
        <v>0</v>
      </c>
    </row>
    <row r="925" spans="1:4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s="20">
        <v>4490</v>
      </c>
      <c r="T925">
        <v>21833</v>
      </c>
      <c r="U925">
        <v>4</v>
      </c>
      <c r="V925" t="s">
        <v>42</v>
      </c>
      <c r="W925" t="s">
        <v>43</v>
      </c>
      <c r="X925" s="19">
        <v>11</v>
      </c>
      <c r="Y925">
        <v>3</v>
      </c>
      <c r="Z925">
        <v>4</v>
      </c>
      <c r="AA925">
        <v>80</v>
      </c>
      <c r="AB925">
        <v>2</v>
      </c>
      <c r="AC925">
        <v>14</v>
      </c>
      <c r="AD925">
        <v>5</v>
      </c>
      <c r="AE925">
        <v>4</v>
      </c>
      <c r="AF925">
        <v>10</v>
      </c>
      <c r="AG925">
        <v>9</v>
      </c>
      <c r="AH925">
        <v>1</v>
      </c>
      <c r="AI925">
        <v>8</v>
      </c>
      <c r="AJ925">
        <f t="shared" si="140"/>
        <v>0</v>
      </c>
      <c r="AK925">
        <f t="shared" si="141"/>
        <v>0</v>
      </c>
      <c r="AL925">
        <f t="shared" si="142"/>
        <v>1</v>
      </c>
      <c r="AM925">
        <f t="shared" si="143"/>
        <v>3.25</v>
      </c>
      <c r="AN925">
        <f t="shared" si="144"/>
        <v>4898.181818181818</v>
      </c>
      <c r="AO925">
        <f t="shared" si="145"/>
        <v>0.66666666666666663</v>
      </c>
      <c r="AP925" t="str">
        <f t="shared" si="146"/>
        <v>30-39</v>
      </c>
      <c r="AQ925" t="str">
        <f t="shared" si="147"/>
        <v>Medium</v>
      </c>
      <c r="AR925" t="str">
        <f t="shared" si="148"/>
        <v>Medium</v>
      </c>
      <c r="AS925">
        <f t="shared" si="149"/>
        <v>1</v>
      </c>
    </row>
    <row r="926" spans="1:4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s="20">
        <v>3506</v>
      </c>
      <c r="T926">
        <v>6020</v>
      </c>
      <c r="U926">
        <v>0</v>
      </c>
      <c r="V926" t="s">
        <v>42</v>
      </c>
      <c r="W926" t="s">
        <v>35</v>
      </c>
      <c r="X926" s="19">
        <v>14</v>
      </c>
      <c r="Y926">
        <v>3</v>
      </c>
      <c r="Z926">
        <v>4</v>
      </c>
      <c r="AA926">
        <v>80</v>
      </c>
      <c r="AB926">
        <v>0</v>
      </c>
      <c r="AC926">
        <v>4</v>
      </c>
      <c r="AD926">
        <v>3</v>
      </c>
      <c r="AE926">
        <v>3</v>
      </c>
      <c r="AF926">
        <v>3</v>
      </c>
      <c r="AG926">
        <v>2</v>
      </c>
      <c r="AH926">
        <v>2</v>
      </c>
      <c r="AI926">
        <v>2</v>
      </c>
      <c r="AJ926">
        <f t="shared" si="140"/>
        <v>0</v>
      </c>
      <c r="AK926">
        <f t="shared" si="141"/>
        <v>1</v>
      </c>
      <c r="AL926">
        <f t="shared" si="142"/>
        <v>1</v>
      </c>
      <c r="AM926">
        <f t="shared" si="143"/>
        <v>3.25</v>
      </c>
      <c r="AN926">
        <f t="shared" si="144"/>
        <v>10518</v>
      </c>
      <c r="AO926">
        <f t="shared" si="145"/>
        <v>0.6</v>
      </c>
      <c r="AP926" t="str">
        <f t="shared" si="146"/>
        <v>30-39</v>
      </c>
      <c r="AQ926" t="str">
        <f t="shared" si="147"/>
        <v>Medium</v>
      </c>
      <c r="AR926" t="str">
        <f t="shared" si="148"/>
        <v>Medium</v>
      </c>
      <c r="AS926">
        <f t="shared" si="149"/>
        <v>0</v>
      </c>
    </row>
    <row r="927" spans="1:4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s="20">
        <v>2372</v>
      </c>
      <c r="T927">
        <v>5628</v>
      </c>
      <c r="U927">
        <v>6</v>
      </c>
      <c r="V927" t="s">
        <v>42</v>
      </c>
      <c r="W927" t="s">
        <v>35</v>
      </c>
      <c r="X927" s="19">
        <v>16</v>
      </c>
      <c r="Y927">
        <v>3</v>
      </c>
      <c r="Z927">
        <v>4</v>
      </c>
      <c r="AA927">
        <v>80</v>
      </c>
      <c r="AB927">
        <v>0</v>
      </c>
      <c r="AC927">
        <v>18</v>
      </c>
      <c r="AD927">
        <v>2</v>
      </c>
      <c r="AE927">
        <v>3</v>
      </c>
      <c r="AF927">
        <v>1</v>
      </c>
      <c r="AG927">
        <v>0</v>
      </c>
      <c r="AH927">
        <v>0</v>
      </c>
      <c r="AI927">
        <v>0</v>
      </c>
      <c r="AJ927">
        <f t="shared" si="140"/>
        <v>0</v>
      </c>
      <c r="AK927">
        <f t="shared" si="141"/>
        <v>1</v>
      </c>
      <c r="AL927">
        <f t="shared" si="142"/>
        <v>0</v>
      </c>
      <c r="AM927">
        <f t="shared" si="143"/>
        <v>2.75</v>
      </c>
      <c r="AN927">
        <f t="shared" si="144"/>
        <v>14232</v>
      </c>
      <c r="AO927">
        <f t="shared" si="145"/>
        <v>5.2631578947368418E-2</v>
      </c>
      <c r="AP927" t="str">
        <f t="shared" si="146"/>
        <v>40-49</v>
      </c>
      <c r="AQ927" t="str">
        <f t="shared" si="147"/>
        <v>Low</v>
      </c>
      <c r="AR927" t="str">
        <f t="shared" si="148"/>
        <v>Medium</v>
      </c>
      <c r="AS927">
        <f t="shared" si="149"/>
        <v>0</v>
      </c>
    </row>
    <row r="928" spans="1:4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s="20">
        <v>10231</v>
      </c>
      <c r="T928">
        <v>20364</v>
      </c>
      <c r="U928">
        <v>3</v>
      </c>
      <c r="V928" t="s">
        <v>42</v>
      </c>
      <c r="W928" t="s">
        <v>43</v>
      </c>
      <c r="X928" s="19">
        <v>14</v>
      </c>
      <c r="Y928">
        <v>3</v>
      </c>
      <c r="Z928">
        <v>4</v>
      </c>
      <c r="AA928">
        <v>80</v>
      </c>
      <c r="AB928">
        <v>0</v>
      </c>
      <c r="AC928">
        <v>23</v>
      </c>
      <c r="AD928">
        <v>3</v>
      </c>
      <c r="AE928">
        <v>4</v>
      </c>
      <c r="AF928">
        <v>21</v>
      </c>
      <c r="AG928">
        <v>7</v>
      </c>
      <c r="AH928">
        <v>15</v>
      </c>
      <c r="AI928">
        <v>17</v>
      </c>
      <c r="AJ928">
        <f t="shared" si="140"/>
        <v>0</v>
      </c>
      <c r="AK928">
        <f t="shared" si="141"/>
        <v>0</v>
      </c>
      <c r="AL928">
        <f t="shared" si="142"/>
        <v>0</v>
      </c>
      <c r="AM928">
        <f t="shared" si="143"/>
        <v>4</v>
      </c>
      <c r="AN928">
        <f t="shared" si="144"/>
        <v>5580.545454545455</v>
      </c>
      <c r="AO928">
        <f t="shared" si="145"/>
        <v>0.875</v>
      </c>
      <c r="AP928" t="str">
        <f t="shared" si="146"/>
        <v>40-49</v>
      </c>
      <c r="AQ928" t="str">
        <f t="shared" si="147"/>
        <v>Very High</v>
      </c>
      <c r="AR928" t="str">
        <f t="shared" si="148"/>
        <v>Short</v>
      </c>
      <c r="AS928">
        <f t="shared" si="149"/>
        <v>0</v>
      </c>
    </row>
    <row r="929" spans="1:4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s="20">
        <v>5410</v>
      </c>
      <c r="T929">
        <v>2323</v>
      </c>
      <c r="U929">
        <v>9</v>
      </c>
      <c r="V929" t="s">
        <v>42</v>
      </c>
      <c r="W929" t="s">
        <v>35</v>
      </c>
      <c r="X929" s="19">
        <v>11</v>
      </c>
      <c r="Y929">
        <v>3</v>
      </c>
      <c r="Z929">
        <v>4</v>
      </c>
      <c r="AA929">
        <v>80</v>
      </c>
      <c r="AB929">
        <v>0</v>
      </c>
      <c r="AC929">
        <v>18</v>
      </c>
      <c r="AD929">
        <v>2</v>
      </c>
      <c r="AE929">
        <v>3</v>
      </c>
      <c r="AF929">
        <v>16</v>
      </c>
      <c r="AG929">
        <v>14</v>
      </c>
      <c r="AH929">
        <v>5</v>
      </c>
      <c r="AI929">
        <v>12</v>
      </c>
      <c r="AJ929">
        <f t="shared" si="140"/>
        <v>0</v>
      </c>
      <c r="AK929">
        <f t="shared" si="141"/>
        <v>1</v>
      </c>
      <c r="AL929">
        <f t="shared" si="142"/>
        <v>0</v>
      </c>
      <c r="AM929">
        <f t="shared" si="143"/>
        <v>3</v>
      </c>
      <c r="AN929">
        <f t="shared" si="144"/>
        <v>3818.8235294117649</v>
      </c>
      <c r="AO929">
        <f t="shared" si="145"/>
        <v>0.84210526315789469</v>
      </c>
      <c r="AP929" t="str">
        <f t="shared" si="146"/>
        <v>30-39</v>
      </c>
      <c r="AQ929" t="str">
        <f t="shared" si="147"/>
        <v>High</v>
      </c>
      <c r="AR929" t="str">
        <f t="shared" si="148"/>
        <v>Short</v>
      </c>
      <c r="AS929">
        <f t="shared" si="149"/>
        <v>0</v>
      </c>
    </row>
    <row r="930" spans="1:4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s="20">
        <v>7978</v>
      </c>
      <c r="T930">
        <v>14075</v>
      </c>
      <c r="U930">
        <v>1</v>
      </c>
      <c r="V930" t="s">
        <v>42</v>
      </c>
      <c r="W930" t="s">
        <v>43</v>
      </c>
      <c r="X930" s="19">
        <v>11</v>
      </c>
      <c r="Y930">
        <v>3</v>
      </c>
      <c r="Z930">
        <v>4</v>
      </c>
      <c r="AA930">
        <v>80</v>
      </c>
      <c r="AB930">
        <v>1</v>
      </c>
      <c r="AC930">
        <v>10</v>
      </c>
      <c r="AD930">
        <v>2</v>
      </c>
      <c r="AE930">
        <v>3</v>
      </c>
      <c r="AF930">
        <v>10</v>
      </c>
      <c r="AG930">
        <v>7</v>
      </c>
      <c r="AH930">
        <v>0</v>
      </c>
      <c r="AI930">
        <v>5</v>
      </c>
      <c r="AJ930">
        <f t="shared" si="140"/>
        <v>1</v>
      </c>
      <c r="AK930">
        <f t="shared" si="141"/>
        <v>0</v>
      </c>
      <c r="AL930">
        <f t="shared" si="142"/>
        <v>0</v>
      </c>
      <c r="AM930">
        <f t="shared" si="143"/>
        <v>3</v>
      </c>
      <c r="AN930">
        <f t="shared" si="144"/>
        <v>8703.2727272727279</v>
      </c>
      <c r="AO930">
        <f t="shared" si="145"/>
        <v>0.90909090909090906</v>
      </c>
      <c r="AP930" t="str">
        <f t="shared" si="146"/>
        <v>40-49</v>
      </c>
      <c r="AQ930" t="str">
        <f t="shared" si="147"/>
        <v>High</v>
      </c>
      <c r="AR930" t="str">
        <f t="shared" si="148"/>
        <v>Medium</v>
      </c>
      <c r="AS930">
        <f t="shared" si="149"/>
        <v>0</v>
      </c>
    </row>
    <row r="931" spans="1:4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s="20">
        <v>3867</v>
      </c>
      <c r="T931">
        <v>14222</v>
      </c>
      <c r="U931">
        <v>1</v>
      </c>
      <c r="V931" t="s">
        <v>42</v>
      </c>
      <c r="W931" t="s">
        <v>35</v>
      </c>
      <c r="X931" s="19">
        <v>12</v>
      </c>
      <c r="Y931">
        <v>3</v>
      </c>
      <c r="Z931">
        <v>2</v>
      </c>
      <c r="AA931">
        <v>80</v>
      </c>
      <c r="AB931">
        <v>1</v>
      </c>
      <c r="AC931">
        <v>2</v>
      </c>
      <c r="AD931">
        <v>2</v>
      </c>
      <c r="AE931">
        <v>3</v>
      </c>
      <c r="AF931">
        <v>2</v>
      </c>
      <c r="AG931">
        <v>2</v>
      </c>
      <c r="AH931">
        <v>2</v>
      </c>
      <c r="AI931">
        <v>2</v>
      </c>
      <c r="AJ931">
        <f t="shared" si="140"/>
        <v>0</v>
      </c>
      <c r="AK931">
        <f t="shared" si="141"/>
        <v>1</v>
      </c>
      <c r="AL931">
        <f t="shared" si="142"/>
        <v>1</v>
      </c>
      <c r="AM931">
        <f t="shared" si="143"/>
        <v>3.25</v>
      </c>
      <c r="AN931">
        <f t="shared" si="144"/>
        <v>15468</v>
      </c>
      <c r="AO931">
        <f t="shared" si="145"/>
        <v>0.66666666666666663</v>
      </c>
      <c r="AP931" t="str">
        <f t="shared" si="146"/>
        <v>Under 30</v>
      </c>
      <c r="AQ931" t="str">
        <f t="shared" si="147"/>
        <v>Medium</v>
      </c>
      <c r="AR931" t="str">
        <f t="shared" si="148"/>
        <v>Short</v>
      </c>
      <c r="AS931">
        <f t="shared" si="149"/>
        <v>1</v>
      </c>
    </row>
    <row r="932" spans="1:4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s="20">
        <v>2838</v>
      </c>
      <c r="T932">
        <v>4257</v>
      </c>
      <c r="U932">
        <v>0</v>
      </c>
      <c r="V932" t="s">
        <v>42</v>
      </c>
      <c r="W932" t="s">
        <v>43</v>
      </c>
      <c r="X932" s="19">
        <v>14</v>
      </c>
      <c r="Y932">
        <v>3</v>
      </c>
      <c r="Z932">
        <v>2</v>
      </c>
      <c r="AA932">
        <v>80</v>
      </c>
      <c r="AB932">
        <v>0</v>
      </c>
      <c r="AC932">
        <v>8</v>
      </c>
      <c r="AD932">
        <v>6</v>
      </c>
      <c r="AE932">
        <v>2</v>
      </c>
      <c r="AF932">
        <v>7</v>
      </c>
      <c r="AG932">
        <v>0</v>
      </c>
      <c r="AH932">
        <v>7</v>
      </c>
      <c r="AI932">
        <v>7</v>
      </c>
      <c r="AJ932">
        <f t="shared" si="140"/>
        <v>0</v>
      </c>
      <c r="AK932">
        <f t="shared" si="141"/>
        <v>0</v>
      </c>
      <c r="AL932">
        <f t="shared" si="142"/>
        <v>0</v>
      </c>
      <c r="AM932">
        <f t="shared" si="143"/>
        <v>2.25</v>
      </c>
      <c r="AN932">
        <f t="shared" si="144"/>
        <v>4257</v>
      </c>
      <c r="AO932">
        <f t="shared" si="145"/>
        <v>0.77777777777777779</v>
      </c>
      <c r="AP932" t="str">
        <f t="shared" si="146"/>
        <v>50+</v>
      </c>
      <c r="AQ932" t="str">
        <f t="shared" si="147"/>
        <v>Low</v>
      </c>
      <c r="AR932" t="str">
        <f t="shared" si="148"/>
        <v>Medium</v>
      </c>
      <c r="AS932">
        <f t="shared" si="149"/>
        <v>1</v>
      </c>
    </row>
    <row r="933" spans="1:4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s="20">
        <v>4695</v>
      </c>
      <c r="T933">
        <v>12858</v>
      </c>
      <c r="U933">
        <v>7</v>
      </c>
      <c r="V933" t="s">
        <v>42</v>
      </c>
      <c r="W933" t="s">
        <v>35</v>
      </c>
      <c r="X933" s="19">
        <v>18</v>
      </c>
      <c r="Y933">
        <v>3</v>
      </c>
      <c r="Z933">
        <v>3</v>
      </c>
      <c r="AA933">
        <v>80</v>
      </c>
      <c r="AB933">
        <v>0</v>
      </c>
      <c r="AC933">
        <v>10</v>
      </c>
      <c r="AD933">
        <v>3</v>
      </c>
      <c r="AE933">
        <v>3</v>
      </c>
      <c r="AF933">
        <v>8</v>
      </c>
      <c r="AG933">
        <v>4</v>
      </c>
      <c r="AH933">
        <v>1</v>
      </c>
      <c r="AI933">
        <v>7</v>
      </c>
      <c r="AJ933">
        <f t="shared" si="140"/>
        <v>0</v>
      </c>
      <c r="AK933">
        <f t="shared" si="141"/>
        <v>1</v>
      </c>
      <c r="AL933">
        <f t="shared" si="142"/>
        <v>0</v>
      </c>
      <c r="AM933">
        <f t="shared" si="143"/>
        <v>3</v>
      </c>
      <c r="AN933">
        <f t="shared" si="144"/>
        <v>6260</v>
      </c>
      <c r="AO933">
        <f t="shared" si="145"/>
        <v>0.72727272727272729</v>
      </c>
      <c r="AP933" t="str">
        <f t="shared" si="146"/>
        <v>30-39</v>
      </c>
      <c r="AQ933" t="str">
        <f t="shared" si="147"/>
        <v>Medium</v>
      </c>
      <c r="AR933" t="str">
        <f t="shared" si="148"/>
        <v>Medium</v>
      </c>
      <c r="AS933">
        <f t="shared" si="149"/>
        <v>0</v>
      </c>
    </row>
    <row r="934" spans="1:4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s="20">
        <v>3339</v>
      </c>
      <c r="T934">
        <v>17285</v>
      </c>
      <c r="U934">
        <v>3</v>
      </c>
      <c r="V934" t="s">
        <v>42</v>
      </c>
      <c r="W934" t="s">
        <v>35</v>
      </c>
      <c r="X934" s="19">
        <v>13</v>
      </c>
      <c r="Y934">
        <v>3</v>
      </c>
      <c r="Z934">
        <v>1</v>
      </c>
      <c r="AA934">
        <v>80</v>
      </c>
      <c r="AB934">
        <v>2</v>
      </c>
      <c r="AC934">
        <v>10</v>
      </c>
      <c r="AD934">
        <v>2</v>
      </c>
      <c r="AE934">
        <v>3</v>
      </c>
      <c r="AF934">
        <v>7</v>
      </c>
      <c r="AG934">
        <v>7</v>
      </c>
      <c r="AH934">
        <v>7</v>
      </c>
      <c r="AI934">
        <v>7</v>
      </c>
      <c r="AJ934">
        <f t="shared" si="140"/>
        <v>1</v>
      </c>
      <c r="AK934">
        <f t="shared" si="141"/>
        <v>1</v>
      </c>
      <c r="AL934">
        <f t="shared" si="142"/>
        <v>0</v>
      </c>
      <c r="AM934">
        <f t="shared" si="143"/>
        <v>2.25</v>
      </c>
      <c r="AN934">
        <f t="shared" si="144"/>
        <v>5008.5</v>
      </c>
      <c r="AO934">
        <f t="shared" si="145"/>
        <v>0.63636363636363635</v>
      </c>
      <c r="AP934" t="str">
        <f t="shared" si="146"/>
        <v>Under 30</v>
      </c>
      <c r="AQ934" t="str">
        <f t="shared" si="147"/>
        <v>Medium</v>
      </c>
      <c r="AR934" t="str">
        <f t="shared" si="148"/>
        <v>Medium</v>
      </c>
      <c r="AS934">
        <f t="shared" si="149"/>
        <v>0</v>
      </c>
    </row>
    <row r="935" spans="1:4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s="20">
        <v>2080</v>
      </c>
      <c r="T935">
        <v>4732</v>
      </c>
      <c r="U935">
        <v>2</v>
      </c>
      <c r="V935" t="s">
        <v>42</v>
      </c>
      <c r="W935" t="s">
        <v>43</v>
      </c>
      <c r="X935" s="19">
        <v>11</v>
      </c>
      <c r="Y935">
        <v>3</v>
      </c>
      <c r="Z935">
        <v>2</v>
      </c>
      <c r="AA935">
        <v>80</v>
      </c>
      <c r="AB935">
        <v>0</v>
      </c>
      <c r="AC935">
        <v>5</v>
      </c>
      <c r="AD935">
        <v>2</v>
      </c>
      <c r="AE935">
        <v>2</v>
      </c>
      <c r="AF935">
        <v>3</v>
      </c>
      <c r="AG935">
        <v>2</v>
      </c>
      <c r="AH935">
        <v>1</v>
      </c>
      <c r="AI935">
        <v>2</v>
      </c>
      <c r="AJ935">
        <f t="shared" si="140"/>
        <v>0</v>
      </c>
      <c r="AK935">
        <f t="shared" si="141"/>
        <v>0</v>
      </c>
      <c r="AL935">
        <f t="shared" si="142"/>
        <v>1</v>
      </c>
      <c r="AM935">
        <f t="shared" si="143"/>
        <v>2.25</v>
      </c>
      <c r="AN935">
        <f t="shared" si="144"/>
        <v>6240</v>
      </c>
      <c r="AO935">
        <f t="shared" si="145"/>
        <v>0.5</v>
      </c>
      <c r="AP935" t="str">
        <f t="shared" si="146"/>
        <v>Under 30</v>
      </c>
      <c r="AQ935" t="str">
        <f t="shared" si="147"/>
        <v>Low</v>
      </c>
      <c r="AR935" t="str">
        <f t="shared" si="148"/>
        <v>Short</v>
      </c>
      <c r="AS935">
        <f t="shared" si="149"/>
        <v>0</v>
      </c>
    </row>
    <row r="936" spans="1:4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s="20">
        <v>2096</v>
      </c>
      <c r="T936">
        <v>18830</v>
      </c>
      <c r="U936">
        <v>1</v>
      </c>
      <c r="V936" t="s">
        <v>42</v>
      </c>
      <c r="W936" t="s">
        <v>43</v>
      </c>
      <c r="X936" s="19">
        <v>18</v>
      </c>
      <c r="Y936">
        <v>3</v>
      </c>
      <c r="Z936">
        <v>4</v>
      </c>
      <c r="AA936">
        <v>80</v>
      </c>
      <c r="AB936">
        <v>0</v>
      </c>
      <c r="AC936">
        <v>2</v>
      </c>
      <c r="AD936">
        <v>3</v>
      </c>
      <c r="AE936">
        <v>2</v>
      </c>
      <c r="AF936">
        <v>2</v>
      </c>
      <c r="AG936">
        <v>2</v>
      </c>
      <c r="AH936">
        <v>2</v>
      </c>
      <c r="AI936">
        <v>1</v>
      </c>
      <c r="AJ936">
        <f t="shared" si="140"/>
        <v>0</v>
      </c>
      <c r="AK936">
        <f t="shared" si="141"/>
        <v>0</v>
      </c>
      <c r="AL936">
        <f t="shared" si="142"/>
        <v>0</v>
      </c>
      <c r="AM936">
        <f t="shared" si="143"/>
        <v>3</v>
      </c>
      <c r="AN936">
        <f t="shared" si="144"/>
        <v>8384</v>
      </c>
      <c r="AO936">
        <f t="shared" si="145"/>
        <v>0.66666666666666663</v>
      </c>
      <c r="AP936" t="str">
        <f t="shared" si="146"/>
        <v>Under 30</v>
      </c>
      <c r="AQ936" t="str">
        <f t="shared" si="147"/>
        <v>Low</v>
      </c>
      <c r="AR936" t="str">
        <f t="shared" si="148"/>
        <v>Short</v>
      </c>
      <c r="AS936">
        <f t="shared" si="149"/>
        <v>0</v>
      </c>
    </row>
    <row r="937" spans="1:4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s="20">
        <v>6209</v>
      </c>
      <c r="T937">
        <v>11693</v>
      </c>
      <c r="U937">
        <v>1</v>
      </c>
      <c r="V937" t="s">
        <v>42</v>
      </c>
      <c r="W937" t="s">
        <v>43</v>
      </c>
      <c r="X937" s="19">
        <v>15</v>
      </c>
      <c r="Y937">
        <v>3</v>
      </c>
      <c r="Z937">
        <v>3</v>
      </c>
      <c r="AA937">
        <v>80</v>
      </c>
      <c r="AB937">
        <v>2</v>
      </c>
      <c r="AC937">
        <v>10</v>
      </c>
      <c r="AD937">
        <v>4</v>
      </c>
      <c r="AE937">
        <v>4</v>
      </c>
      <c r="AF937">
        <v>10</v>
      </c>
      <c r="AG937">
        <v>7</v>
      </c>
      <c r="AH937">
        <v>0</v>
      </c>
      <c r="AI937">
        <v>8</v>
      </c>
      <c r="AJ937">
        <f t="shared" si="140"/>
        <v>0</v>
      </c>
      <c r="AK937">
        <f t="shared" si="141"/>
        <v>0</v>
      </c>
      <c r="AL937">
        <f t="shared" si="142"/>
        <v>1</v>
      </c>
      <c r="AM937">
        <f t="shared" si="143"/>
        <v>3.5</v>
      </c>
      <c r="AN937">
        <f t="shared" si="144"/>
        <v>6773.454545454545</v>
      </c>
      <c r="AO937">
        <f t="shared" si="145"/>
        <v>0.90909090909090906</v>
      </c>
      <c r="AP937" t="str">
        <f t="shared" si="146"/>
        <v>30-39</v>
      </c>
      <c r="AQ937" t="str">
        <f t="shared" si="147"/>
        <v>High</v>
      </c>
      <c r="AR937" t="str">
        <f t="shared" si="148"/>
        <v>Medium</v>
      </c>
      <c r="AS937">
        <f t="shared" si="149"/>
        <v>0</v>
      </c>
    </row>
    <row r="938" spans="1:4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s="20">
        <v>18061</v>
      </c>
      <c r="T938">
        <v>13035</v>
      </c>
      <c r="U938">
        <v>3</v>
      </c>
      <c r="V938" t="s">
        <v>42</v>
      </c>
      <c r="W938" t="s">
        <v>43</v>
      </c>
      <c r="X938" s="19">
        <v>22</v>
      </c>
      <c r="Y938">
        <v>4</v>
      </c>
      <c r="Z938">
        <v>3</v>
      </c>
      <c r="AA938">
        <v>80</v>
      </c>
      <c r="AB938">
        <v>0</v>
      </c>
      <c r="AC938">
        <v>22</v>
      </c>
      <c r="AD938">
        <v>4</v>
      </c>
      <c r="AE938">
        <v>3</v>
      </c>
      <c r="AF938">
        <v>0</v>
      </c>
      <c r="AG938">
        <v>0</v>
      </c>
      <c r="AH938">
        <v>0</v>
      </c>
      <c r="AI938">
        <v>0</v>
      </c>
      <c r="AJ938">
        <f t="shared" si="140"/>
        <v>0</v>
      </c>
      <c r="AK938">
        <f t="shared" si="141"/>
        <v>0</v>
      </c>
      <c r="AL938">
        <f t="shared" si="142"/>
        <v>0</v>
      </c>
      <c r="AM938">
        <f t="shared" si="143"/>
        <v>2.5</v>
      </c>
      <c r="AN938">
        <f t="shared" si="144"/>
        <v>216732</v>
      </c>
      <c r="AO938">
        <f t="shared" si="145"/>
        <v>0</v>
      </c>
      <c r="AP938" t="str">
        <f t="shared" si="146"/>
        <v>40-49</v>
      </c>
      <c r="AQ938" t="str">
        <f t="shared" si="147"/>
        <v>Very High</v>
      </c>
      <c r="AR938" t="str">
        <f t="shared" si="148"/>
        <v>Long</v>
      </c>
      <c r="AS938">
        <f t="shared" si="149"/>
        <v>1</v>
      </c>
    </row>
    <row r="939" spans="1:4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s="20">
        <v>17123</v>
      </c>
      <c r="T939">
        <v>17334</v>
      </c>
      <c r="U939">
        <v>6</v>
      </c>
      <c r="V939" t="s">
        <v>42</v>
      </c>
      <c r="W939" t="s">
        <v>35</v>
      </c>
      <c r="X939" s="19">
        <v>13</v>
      </c>
      <c r="Y939">
        <v>3</v>
      </c>
      <c r="Z939">
        <v>4</v>
      </c>
      <c r="AA939">
        <v>80</v>
      </c>
      <c r="AB939">
        <v>2</v>
      </c>
      <c r="AC939">
        <v>21</v>
      </c>
      <c r="AD939">
        <v>4</v>
      </c>
      <c r="AE939">
        <v>3</v>
      </c>
      <c r="AF939">
        <v>19</v>
      </c>
      <c r="AG939">
        <v>9</v>
      </c>
      <c r="AH939">
        <v>15</v>
      </c>
      <c r="AI939">
        <v>2</v>
      </c>
      <c r="AJ939">
        <f t="shared" si="140"/>
        <v>0</v>
      </c>
      <c r="AK939">
        <f t="shared" si="141"/>
        <v>1</v>
      </c>
      <c r="AL939">
        <f t="shared" si="142"/>
        <v>0</v>
      </c>
      <c r="AM939">
        <f t="shared" si="143"/>
        <v>3</v>
      </c>
      <c r="AN939">
        <f t="shared" si="144"/>
        <v>10273.799999999999</v>
      </c>
      <c r="AO939">
        <f t="shared" si="145"/>
        <v>0.86363636363636365</v>
      </c>
      <c r="AP939" t="str">
        <f t="shared" si="146"/>
        <v>30-39</v>
      </c>
      <c r="AQ939" t="str">
        <f t="shared" si="147"/>
        <v>Very High</v>
      </c>
      <c r="AR939" t="str">
        <f t="shared" si="148"/>
        <v>Medium</v>
      </c>
      <c r="AS939">
        <f t="shared" si="149"/>
        <v>0</v>
      </c>
    </row>
    <row r="940" spans="1:4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s="20">
        <v>2372</v>
      </c>
      <c r="T940">
        <v>26076</v>
      </c>
      <c r="U940">
        <v>1</v>
      </c>
      <c r="V940" t="s">
        <v>42</v>
      </c>
      <c r="W940" t="s">
        <v>43</v>
      </c>
      <c r="X940" s="19">
        <v>12</v>
      </c>
      <c r="Y940">
        <v>3</v>
      </c>
      <c r="Z940">
        <v>4</v>
      </c>
      <c r="AA940">
        <v>80</v>
      </c>
      <c r="AB940">
        <v>2</v>
      </c>
      <c r="AC940">
        <v>2</v>
      </c>
      <c r="AD940">
        <v>3</v>
      </c>
      <c r="AE940">
        <v>3</v>
      </c>
      <c r="AF940">
        <v>2</v>
      </c>
      <c r="AG940">
        <v>2</v>
      </c>
      <c r="AH940">
        <v>2</v>
      </c>
      <c r="AI940">
        <v>2</v>
      </c>
      <c r="AJ940">
        <f t="shared" si="140"/>
        <v>0</v>
      </c>
      <c r="AK940">
        <f t="shared" si="141"/>
        <v>0</v>
      </c>
      <c r="AL940">
        <f t="shared" si="142"/>
        <v>1</v>
      </c>
      <c r="AM940">
        <f t="shared" si="143"/>
        <v>2.75</v>
      </c>
      <c r="AN940">
        <f t="shared" si="144"/>
        <v>9488</v>
      </c>
      <c r="AO940">
        <f t="shared" si="145"/>
        <v>0.66666666666666663</v>
      </c>
      <c r="AP940" t="str">
        <f t="shared" si="146"/>
        <v>50+</v>
      </c>
      <c r="AQ940" t="str">
        <f t="shared" si="147"/>
        <v>Low</v>
      </c>
      <c r="AR940" t="str">
        <f t="shared" si="148"/>
        <v>Long</v>
      </c>
      <c r="AS940">
        <f t="shared" si="149"/>
        <v>0</v>
      </c>
    </row>
    <row r="941" spans="1:4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s="20">
        <v>4883</v>
      </c>
      <c r="T941">
        <v>22845</v>
      </c>
      <c r="U941">
        <v>1</v>
      </c>
      <c r="V941" t="s">
        <v>42</v>
      </c>
      <c r="W941" t="s">
        <v>43</v>
      </c>
      <c r="X941" s="19">
        <v>18</v>
      </c>
      <c r="Y941">
        <v>3</v>
      </c>
      <c r="Z941">
        <v>1</v>
      </c>
      <c r="AA941">
        <v>80</v>
      </c>
      <c r="AB941">
        <v>1</v>
      </c>
      <c r="AC941">
        <v>10</v>
      </c>
      <c r="AD941">
        <v>3</v>
      </c>
      <c r="AE941">
        <v>3</v>
      </c>
      <c r="AF941">
        <v>10</v>
      </c>
      <c r="AG941">
        <v>4</v>
      </c>
      <c r="AH941">
        <v>1</v>
      </c>
      <c r="AI941">
        <v>1</v>
      </c>
      <c r="AJ941">
        <f t="shared" si="140"/>
        <v>1</v>
      </c>
      <c r="AK941">
        <f t="shared" si="141"/>
        <v>0</v>
      </c>
      <c r="AL941">
        <f t="shared" si="142"/>
        <v>1</v>
      </c>
      <c r="AM941">
        <f t="shared" si="143"/>
        <v>2.75</v>
      </c>
      <c r="AN941">
        <f t="shared" si="144"/>
        <v>5326.909090909091</v>
      </c>
      <c r="AO941">
        <f t="shared" si="145"/>
        <v>0.90909090909090906</v>
      </c>
      <c r="AP941" t="str">
        <f t="shared" si="146"/>
        <v>30-39</v>
      </c>
      <c r="AQ941" t="str">
        <f t="shared" si="147"/>
        <v>Medium</v>
      </c>
      <c r="AR941" t="str">
        <f t="shared" si="148"/>
        <v>Medium</v>
      </c>
      <c r="AS941">
        <f t="shared" si="149"/>
        <v>0</v>
      </c>
    </row>
    <row r="942" spans="1:4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s="20">
        <v>3904</v>
      </c>
      <c r="T942">
        <v>22154</v>
      </c>
      <c r="U942">
        <v>0</v>
      </c>
      <c r="V942" t="s">
        <v>42</v>
      </c>
      <c r="W942" t="s">
        <v>43</v>
      </c>
      <c r="X942" s="19">
        <v>13</v>
      </c>
      <c r="Y942">
        <v>3</v>
      </c>
      <c r="Z942">
        <v>1</v>
      </c>
      <c r="AA942">
        <v>80</v>
      </c>
      <c r="AB942">
        <v>0</v>
      </c>
      <c r="AC942">
        <v>6</v>
      </c>
      <c r="AD942">
        <v>2</v>
      </c>
      <c r="AE942">
        <v>3</v>
      </c>
      <c r="AF942">
        <v>5</v>
      </c>
      <c r="AG942">
        <v>2</v>
      </c>
      <c r="AH942">
        <v>0</v>
      </c>
      <c r="AI942">
        <v>3</v>
      </c>
      <c r="AJ942">
        <f t="shared" si="140"/>
        <v>1</v>
      </c>
      <c r="AK942">
        <f t="shared" si="141"/>
        <v>0</v>
      </c>
      <c r="AL942">
        <f t="shared" si="142"/>
        <v>1</v>
      </c>
      <c r="AM942">
        <f t="shared" si="143"/>
        <v>2</v>
      </c>
      <c r="AN942">
        <f t="shared" si="144"/>
        <v>7808</v>
      </c>
      <c r="AO942">
        <f t="shared" si="145"/>
        <v>0.7142857142857143</v>
      </c>
      <c r="AP942" t="str">
        <f t="shared" si="146"/>
        <v>30-39</v>
      </c>
      <c r="AQ942" t="str">
        <f t="shared" si="147"/>
        <v>Medium</v>
      </c>
      <c r="AR942" t="str">
        <f t="shared" si="148"/>
        <v>Long</v>
      </c>
      <c r="AS942">
        <f t="shared" si="149"/>
        <v>0</v>
      </c>
    </row>
    <row r="943" spans="1:4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s="20">
        <v>4627</v>
      </c>
      <c r="T943">
        <v>23631</v>
      </c>
      <c r="U943">
        <v>0</v>
      </c>
      <c r="V943" t="s">
        <v>42</v>
      </c>
      <c r="W943" t="s">
        <v>43</v>
      </c>
      <c r="X943" s="19">
        <v>12</v>
      </c>
      <c r="Y943">
        <v>3</v>
      </c>
      <c r="Z943">
        <v>1</v>
      </c>
      <c r="AA943">
        <v>80</v>
      </c>
      <c r="AB943">
        <v>1</v>
      </c>
      <c r="AC943">
        <v>10</v>
      </c>
      <c r="AD943">
        <v>6</v>
      </c>
      <c r="AE943">
        <v>3</v>
      </c>
      <c r="AF943">
        <v>9</v>
      </c>
      <c r="AG943">
        <v>2</v>
      </c>
      <c r="AH943">
        <v>6</v>
      </c>
      <c r="AI943">
        <v>7</v>
      </c>
      <c r="AJ943">
        <f t="shared" si="140"/>
        <v>0</v>
      </c>
      <c r="AK943">
        <f t="shared" si="141"/>
        <v>0</v>
      </c>
      <c r="AL943">
        <f t="shared" si="142"/>
        <v>0</v>
      </c>
      <c r="AM943">
        <f t="shared" si="143"/>
        <v>2.25</v>
      </c>
      <c r="AN943">
        <f t="shared" si="144"/>
        <v>5552.4</v>
      </c>
      <c r="AO943">
        <f t="shared" si="145"/>
        <v>0.81818181818181823</v>
      </c>
      <c r="AP943" t="str">
        <f t="shared" si="146"/>
        <v>30-39</v>
      </c>
      <c r="AQ943" t="str">
        <f t="shared" si="147"/>
        <v>Medium</v>
      </c>
      <c r="AR943" t="str">
        <f t="shared" si="148"/>
        <v>Medium</v>
      </c>
      <c r="AS943">
        <f t="shared" si="149"/>
        <v>0</v>
      </c>
    </row>
    <row r="944" spans="1:4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s="20">
        <v>7094</v>
      </c>
      <c r="T944">
        <v>5747</v>
      </c>
      <c r="U944">
        <v>3</v>
      </c>
      <c r="V944" t="s">
        <v>42</v>
      </c>
      <c r="W944" t="s">
        <v>43</v>
      </c>
      <c r="X944" s="19">
        <v>12</v>
      </c>
      <c r="Y944">
        <v>3</v>
      </c>
      <c r="Z944">
        <v>1</v>
      </c>
      <c r="AA944">
        <v>80</v>
      </c>
      <c r="AB944">
        <v>0</v>
      </c>
      <c r="AC944">
        <v>10</v>
      </c>
      <c r="AD944">
        <v>0</v>
      </c>
      <c r="AE944">
        <v>3</v>
      </c>
      <c r="AF944">
        <v>7</v>
      </c>
      <c r="AG944">
        <v>7</v>
      </c>
      <c r="AH944">
        <v>1</v>
      </c>
      <c r="AI944">
        <v>7</v>
      </c>
      <c r="AJ944">
        <f t="shared" si="140"/>
        <v>0</v>
      </c>
      <c r="AK944">
        <f t="shared" si="141"/>
        <v>0</v>
      </c>
      <c r="AL944">
        <f t="shared" si="142"/>
        <v>0</v>
      </c>
      <c r="AM944">
        <f t="shared" si="143"/>
        <v>2.75</v>
      </c>
      <c r="AN944">
        <f t="shared" si="144"/>
        <v>10641</v>
      </c>
      <c r="AO944">
        <f t="shared" si="145"/>
        <v>0.63636363636363635</v>
      </c>
      <c r="AP944" t="str">
        <f t="shared" si="146"/>
        <v>30-39</v>
      </c>
      <c r="AQ944" t="str">
        <f t="shared" si="147"/>
        <v>High</v>
      </c>
      <c r="AR944" t="str">
        <f t="shared" si="148"/>
        <v>Medium</v>
      </c>
      <c r="AS944">
        <f t="shared" si="149"/>
        <v>0</v>
      </c>
    </row>
    <row r="945" spans="1:4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s="20">
        <v>3423</v>
      </c>
      <c r="T945">
        <v>22957</v>
      </c>
      <c r="U945">
        <v>6</v>
      </c>
      <c r="V945" t="s">
        <v>42</v>
      </c>
      <c r="W945" t="s">
        <v>43</v>
      </c>
      <c r="X945" s="19">
        <v>12</v>
      </c>
      <c r="Y945">
        <v>3</v>
      </c>
      <c r="Z945">
        <v>3</v>
      </c>
      <c r="AA945">
        <v>80</v>
      </c>
      <c r="AB945">
        <v>0</v>
      </c>
      <c r="AC945">
        <v>10</v>
      </c>
      <c r="AD945">
        <v>3</v>
      </c>
      <c r="AE945">
        <v>4</v>
      </c>
      <c r="AF945">
        <v>7</v>
      </c>
      <c r="AG945">
        <v>6</v>
      </c>
      <c r="AH945">
        <v>5</v>
      </c>
      <c r="AI945">
        <v>7</v>
      </c>
      <c r="AJ945">
        <f t="shared" si="140"/>
        <v>0</v>
      </c>
      <c r="AK945">
        <f t="shared" si="141"/>
        <v>0</v>
      </c>
      <c r="AL945">
        <f t="shared" si="142"/>
        <v>0</v>
      </c>
      <c r="AM945">
        <f t="shared" si="143"/>
        <v>3</v>
      </c>
      <c r="AN945">
        <f t="shared" si="144"/>
        <v>5134.5</v>
      </c>
      <c r="AO945">
        <f t="shared" si="145"/>
        <v>0.63636363636363635</v>
      </c>
      <c r="AP945" t="str">
        <f t="shared" si="146"/>
        <v>40-49</v>
      </c>
      <c r="AQ945" t="str">
        <f t="shared" si="147"/>
        <v>Medium</v>
      </c>
      <c r="AR945" t="str">
        <f t="shared" si="148"/>
        <v>Short</v>
      </c>
      <c r="AS945">
        <f t="shared" si="149"/>
        <v>0</v>
      </c>
    </row>
    <row r="946" spans="1:4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s="20">
        <v>6674</v>
      </c>
      <c r="T946">
        <v>16392</v>
      </c>
      <c r="U946">
        <v>0</v>
      </c>
      <c r="V946" t="s">
        <v>42</v>
      </c>
      <c r="W946" t="s">
        <v>43</v>
      </c>
      <c r="X946" s="19">
        <v>11</v>
      </c>
      <c r="Y946">
        <v>3</v>
      </c>
      <c r="Z946">
        <v>1</v>
      </c>
      <c r="AA946">
        <v>80</v>
      </c>
      <c r="AB946">
        <v>3</v>
      </c>
      <c r="AC946">
        <v>10</v>
      </c>
      <c r="AD946">
        <v>6</v>
      </c>
      <c r="AE946">
        <v>3</v>
      </c>
      <c r="AF946">
        <v>9</v>
      </c>
      <c r="AG946">
        <v>8</v>
      </c>
      <c r="AH946">
        <v>7</v>
      </c>
      <c r="AI946">
        <v>5</v>
      </c>
      <c r="AJ946">
        <f t="shared" si="140"/>
        <v>0</v>
      </c>
      <c r="AK946">
        <f t="shared" si="141"/>
        <v>0</v>
      </c>
      <c r="AL946">
        <f t="shared" si="142"/>
        <v>0</v>
      </c>
      <c r="AM946">
        <f t="shared" si="143"/>
        <v>2.75</v>
      </c>
      <c r="AN946">
        <f t="shared" si="144"/>
        <v>8008.8</v>
      </c>
      <c r="AO946">
        <f t="shared" si="145"/>
        <v>0.81818181818181823</v>
      </c>
      <c r="AP946" t="str">
        <f t="shared" si="146"/>
        <v>Under 30</v>
      </c>
      <c r="AQ946" t="str">
        <f t="shared" si="147"/>
        <v>High</v>
      </c>
      <c r="AR946" t="str">
        <f t="shared" si="148"/>
        <v>Short</v>
      </c>
      <c r="AS946">
        <f t="shared" si="149"/>
        <v>0</v>
      </c>
    </row>
    <row r="947" spans="1:4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s="20">
        <v>16880</v>
      </c>
      <c r="T947">
        <v>22422</v>
      </c>
      <c r="U947">
        <v>4</v>
      </c>
      <c r="V947" t="s">
        <v>42</v>
      </c>
      <c r="W947" t="s">
        <v>35</v>
      </c>
      <c r="X947" s="19">
        <v>11</v>
      </c>
      <c r="Y947">
        <v>3</v>
      </c>
      <c r="Z947">
        <v>2</v>
      </c>
      <c r="AA947">
        <v>80</v>
      </c>
      <c r="AB947">
        <v>0</v>
      </c>
      <c r="AC947">
        <v>25</v>
      </c>
      <c r="AD947">
        <v>2</v>
      </c>
      <c r="AE947">
        <v>3</v>
      </c>
      <c r="AF947">
        <v>3</v>
      </c>
      <c r="AG947">
        <v>2</v>
      </c>
      <c r="AH947">
        <v>1</v>
      </c>
      <c r="AI947">
        <v>2</v>
      </c>
      <c r="AJ947">
        <f t="shared" si="140"/>
        <v>0</v>
      </c>
      <c r="AK947">
        <f t="shared" si="141"/>
        <v>1</v>
      </c>
      <c r="AL947">
        <f t="shared" si="142"/>
        <v>0</v>
      </c>
      <c r="AM947">
        <f t="shared" si="143"/>
        <v>2.5</v>
      </c>
      <c r="AN947">
        <f t="shared" si="144"/>
        <v>50640</v>
      </c>
      <c r="AO947">
        <f t="shared" si="145"/>
        <v>0.11538461538461539</v>
      </c>
      <c r="AP947" t="str">
        <f t="shared" si="146"/>
        <v>50+</v>
      </c>
      <c r="AQ947" t="str">
        <f t="shared" si="147"/>
        <v>Very High</v>
      </c>
      <c r="AR947" t="str">
        <f t="shared" si="148"/>
        <v>Long</v>
      </c>
      <c r="AS947">
        <f t="shared" si="149"/>
        <v>0</v>
      </c>
    </row>
    <row r="948" spans="1:4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s="20">
        <v>9094</v>
      </c>
      <c r="T948">
        <v>17235</v>
      </c>
      <c r="U948">
        <v>2</v>
      </c>
      <c r="V948" t="s">
        <v>42</v>
      </c>
      <c r="W948" t="s">
        <v>35</v>
      </c>
      <c r="X948" s="19">
        <v>12</v>
      </c>
      <c r="Y948">
        <v>3</v>
      </c>
      <c r="Z948">
        <v>3</v>
      </c>
      <c r="AA948">
        <v>80</v>
      </c>
      <c r="AB948">
        <v>0</v>
      </c>
      <c r="AC948">
        <v>9</v>
      </c>
      <c r="AD948">
        <v>2</v>
      </c>
      <c r="AE948">
        <v>3</v>
      </c>
      <c r="AF948">
        <v>5</v>
      </c>
      <c r="AG948">
        <v>4</v>
      </c>
      <c r="AH948">
        <v>1</v>
      </c>
      <c r="AI948">
        <v>0</v>
      </c>
      <c r="AJ948">
        <f t="shared" si="140"/>
        <v>1</v>
      </c>
      <c r="AK948">
        <f t="shared" si="141"/>
        <v>1</v>
      </c>
      <c r="AL948">
        <f t="shared" si="142"/>
        <v>1</v>
      </c>
      <c r="AM948">
        <f t="shared" si="143"/>
        <v>3</v>
      </c>
      <c r="AN948">
        <f t="shared" si="144"/>
        <v>18188</v>
      </c>
      <c r="AO948">
        <f t="shared" si="145"/>
        <v>0.5</v>
      </c>
      <c r="AP948" t="str">
        <f t="shared" si="146"/>
        <v>40-49</v>
      </c>
      <c r="AQ948" t="str">
        <f t="shared" si="147"/>
        <v>Very High</v>
      </c>
      <c r="AR948" t="str">
        <f t="shared" si="148"/>
        <v>Long</v>
      </c>
      <c r="AS948">
        <f t="shared" si="149"/>
        <v>0</v>
      </c>
    </row>
    <row r="949" spans="1:4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s="20">
        <v>8446</v>
      </c>
      <c r="T949">
        <v>21534</v>
      </c>
      <c r="U949">
        <v>9</v>
      </c>
      <c r="V949" t="s">
        <v>42</v>
      </c>
      <c r="W949" t="s">
        <v>35</v>
      </c>
      <c r="X949" s="19">
        <v>19</v>
      </c>
      <c r="Y949">
        <v>3</v>
      </c>
      <c r="Z949">
        <v>3</v>
      </c>
      <c r="AA949">
        <v>80</v>
      </c>
      <c r="AB949">
        <v>0</v>
      </c>
      <c r="AC949">
        <v>10</v>
      </c>
      <c r="AD949">
        <v>2</v>
      </c>
      <c r="AE949">
        <v>2</v>
      </c>
      <c r="AF949">
        <v>8</v>
      </c>
      <c r="AG949">
        <v>7</v>
      </c>
      <c r="AH949">
        <v>7</v>
      </c>
      <c r="AI949">
        <v>7</v>
      </c>
      <c r="AJ949">
        <f t="shared" si="140"/>
        <v>1</v>
      </c>
      <c r="AK949">
        <f t="shared" si="141"/>
        <v>1</v>
      </c>
      <c r="AL949">
        <f t="shared" si="142"/>
        <v>1</v>
      </c>
      <c r="AM949">
        <f t="shared" si="143"/>
        <v>2.25</v>
      </c>
      <c r="AN949">
        <f t="shared" si="144"/>
        <v>11261.333333333334</v>
      </c>
      <c r="AO949">
        <f t="shared" si="145"/>
        <v>0.72727272727272729</v>
      </c>
      <c r="AP949" t="str">
        <f t="shared" si="146"/>
        <v>50+</v>
      </c>
      <c r="AQ949" t="str">
        <f t="shared" si="147"/>
        <v>Very High</v>
      </c>
      <c r="AR949" t="str">
        <f t="shared" si="148"/>
        <v>Short</v>
      </c>
      <c r="AS949">
        <f t="shared" si="149"/>
        <v>0</v>
      </c>
    </row>
    <row r="950" spans="1:4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s="20">
        <v>11916</v>
      </c>
      <c r="T950">
        <v>25927</v>
      </c>
      <c r="U950">
        <v>1</v>
      </c>
      <c r="V950" t="s">
        <v>42</v>
      </c>
      <c r="W950" t="s">
        <v>35</v>
      </c>
      <c r="X950" s="19">
        <v>23</v>
      </c>
      <c r="Y950">
        <v>4</v>
      </c>
      <c r="Z950">
        <v>4</v>
      </c>
      <c r="AA950">
        <v>80</v>
      </c>
      <c r="AB950">
        <v>2</v>
      </c>
      <c r="AC950">
        <v>9</v>
      </c>
      <c r="AD950">
        <v>2</v>
      </c>
      <c r="AE950">
        <v>3</v>
      </c>
      <c r="AF950">
        <v>9</v>
      </c>
      <c r="AG950">
        <v>1</v>
      </c>
      <c r="AH950">
        <v>0</v>
      </c>
      <c r="AI950">
        <v>8</v>
      </c>
      <c r="AJ950">
        <f t="shared" si="140"/>
        <v>0</v>
      </c>
      <c r="AK950">
        <f t="shared" si="141"/>
        <v>1</v>
      </c>
      <c r="AL950">
        <f t="shared" si="142"/>
        <v>0</v>
      </c>
      <c r="AM950">
        <f t="shared" si="143"/>
        <v>2.5</v>
      </c>
      <c r="AN950">
        <f t="shared" si="144"/>
        <v>14299.2</v>
      </c>
      <c r="AO950">
        <f t="shared" si="145"/>
        <v>0.9</v>
      </c>
      <c r="AP950" t="str">
        <f t="shared" si="146"/>
        <v>30-39</v>
      </c>
      <c r="AQ950" t="str">
        <f t="shared" si="147"/>
        <v>Very High</v>
      </c>
      <c r="AR950" t="str">
        <f t="shared" si="148"/>
        <v>Long</v>
      </c>
      <c r="AS950">
        <f t="shared" si="149"/>
        <v>0</v>
      </c>
    </row>
    <row r="951" spans="1:4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s="20">
        <v>4534</v>
      </c>
      <c r="T951">
        <v>13352</v>
      </c>
      <c r="U951">
        <v>0</v>
      </c>
      <c r="V951" t="s">
        <v>42</v>
      </c>
      <c r="W951" t="s">
        <v>43</v>
      </c>
      <c r="X951" s="19">
        <v>11</v>
      </c>
      <c r="Y951">
        <v>3</v>
      </c>
      <c r="Z951">
        <v>1</v>
      </c>
      <c r="AA951">
        <v>80</v>
      </c>
      <c r="AB951">
        <v>0</v>
      </c>
      <c r="AC951">
        <v>9</v>
      </c>
      <c r="AD951">
        <v>6</v>
      </c>
      <c r="AE951">
        <v>3</v>
      </c>
      <c r="AF951">
        <v>8</v>
      </c>
      <c r="AG951">
        <v>7</v>
      </c>
      <c r="AH951">
        <v>1</v>
      </c>
      <c r="AI951">
        <v>7</v>
      </c>
      <c r="AJ951">
        <f t="shared" si="140"/>
        <v>0</v>
      </c>
      <c r="AK951">
        <f t="shared" si="141"/>
        <v>0</v>
      </c>
      <c r="AL951">
        <f t="shared" si="142"/>
        <v>1</v>
      </c>
      <c r="AM951">
        <f t="shared" si="143"/>
        <v>2</v>
      </c>
      <c r="AN951">
        <f t="shared" si="144"/>
        <v>6045.333333333333</v>
      </c>
      <c r="AO951">
        <f t="shared" si="145"/>
        <v>0.8</v>
      </c>
      <c r="AP951" t="str">
        <f t="shared" si="146"/>
        <v>30-39</v>
      </c>
      <c r="AQ951" t="str">
        <f t="shared" si="147"/>
        <v>Medium</v>
      </c>
      <c r="AR951" t="str">
        <f t="shared" si="148"/>
        <v>Long</v>
      </c>
      <c r="AS951">
        <f t="shared" si="149"/>
        <v>0</v>
      </c>
    </row>
    <row r="952" spans="1:4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s="20">
        <v>9852</v>
      </c>
      <c r="T952">
        <v>8935</v>
      </c>
      <c r="U952">
        <v>1</v>
      </c>
      <c r="V952" t="s">
        <v>42</v>
      </c>
      <c r="W952" t="s">
        <v>35</v>
      </c>
      <c r="X952" s="19">
        <v>19</v>
      </c>
      <c r="Y952">
        <v>3</v>
      </c>
      <c r="Z952">
        <v>1</v>
      </c>
      <c r="AA952">
        <v>80</v>
      </c>
      <c r="AB952">
        <v>1</v>
      </c>
      <c r="AC952">
        <v>10</v>
      </c>
      <c r="AD952">
        <v>5</v>
      </c>
      <c r="AE952">
        <v>2</v>
      </c>
      <c r="AF952">
        <v>10</v>
      </c>
      <c r="AG952">
        <v>8</v>
      </c>
      <c r="AH952">
        <v>9</v>
      </c>
      <c r="AI952">
        <v>6</v>
      </c>
      <c r="AJ952">
        <f t="shared" si="140"/>
        <v>0</v>
      </c>
      <c r="AK952">
        <f t="shared" si="141"/>
        <v>1</v>
      </c>
      <c r="AL952">
        <f t="shared" si="142"/>
        <v>0</v>
      </c>
      <c r="AM952">
        <f t="shared" si="143"/>
        <v>2.5</v>
      </c>
      <c r="AN952">
        <f t="shared" si="144"/>
        <v>10747.636363636364</v>
      </c>
      <c r="AO952">
        <f t="shared" si="145"/>
        <v>0.90909090909090906</v>
      </c>
      <c r="AP952" t="str">
        <f t="shared" si="146"/>
        <v>30-39</v>
      </c>
      <c r="AQ952" t="str">
        <f t="shared" si="147"/>
        <v>Very High</v>
      </c>
      <c r="AR952" t="str">
        <f t="shared" si="148"/>
        <v>Short</v>
      </c>
      <c r="AS952">
        <f t="shared" si="149"/>
        <v>0</v>
      </c>
    </row>
    <row r="953" spans="1:4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s="20">
        <v>6151</v>
      </c>
      <c r="T953">
        <v>22074</v>
      </c>
      <c r="U953">
        <v>1</v>
      </c>
      <c r="V953" t="s">
        <v>42</v>
      </c>
      <c r="W953" t="s">
        <v>43</v>
      </c>
      <c r="X953" s="19">
        <v>13</v>
      </c>
      <c r="Y953">
        <v>3</v>
      </c>
      <c r="Z953">
        <v>1</v>
      </c>
      <c r="AA953">
        <v>80</v>
      </c>
      <c r="AB953">
        <v>0</v>
      </c>
      <c r="AC953">
        <v>19</v>
      </c>
      <c r="AD953">
        <v>4</v>
      </c>
      <c r="AE953">
        <v>3</v>
      </c>
      <c r="AF953">
        <v>19</v>
      </c>
      <c r="AG953">
        <v>2</v>
      </c>
      <c r="AH953">
        <v>11</v>
      </c>
      <c r="AI953">
        <v>9</v>
      </c>
      <c r="AJ953">
        <f t="shared" si="140"/>
        <v>0</v>
      </c>
      <c r="AK953">
        <f t="shared" si="141"/>
        <v>0</v>
      </c>
      <c r="AL953">
        <f t="shared" si="142"/>
        <v>1</v>
      </c>
      <c r="AM953">
        <f t="shared" si="143"/>
        <v>2.25</v>
      </c>
      <c r="AN953">
        <f t="shared" si="144"/>
        <v>3690.6</v>
      </c>
      <c r="AO953">
        <f t="shared" si="145"/>
        <v>0.95</v>
      </c>
      <c r="AP953" t="str">
        <f t="shared" si="146"/>
        <v>40-49</v>
      </c>
      <c r="AQ953" t="str">
        <f t="shared" si="147"/>
        <v>High</v>
      </c>
      <c r="AR953" t="str">
        <f t="shared" si="148"/>
        <v>Medium</v>
      </c>
      <c r="AS953">
        <f t="shared" si="149"/>
        <v>0</v>
      </c>
    </row>
    <row r="954" spans="1:4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s="20">
        <v>2302</v>
      </c>
      <c r="T954">
        <v>8319</v>
      </c>
      <c r="U954">
        <v>1</v>
      </c>
      <c r="V954" t="s">
        <v>42</v>
      </c>
      <c r="W954" t="s">
        <v>35</v>
      </c>
      <c r="X954" s="19">
        <v>11</v>
      </c>
      <c r="Y954">
        <v>3</v>
      </c>
      <c r="Z954">
        <v>1</v>
      </c>
      <c r="AA954">
        <v>80</v>
      </c>
      <c r="AB954">
        <v>0</v>
      </c>
      <c r="AC954">
        <v>3</v>
      </c>
      <c r="AD954">
        <v>2</v>
      </c>
      <c r="AE954">
        <v>4</v>
      </c>
      <c r="AF954">
        <v>3</v>
      </c>
      <c r="AG954">
        <v>2</v>
      </c>
      <c r="AH954">
        <v>2</v>
      </c>
      <c r="AI954">
        <v>2</v>
      </c>
      <c r="AJ954">
        <f t="shared" si="140"/>
        <v>1</v>
      </c>
      <c r="AK954">
        <f t="shared" si="141"/>
        <v>1</v>
      </c>
      <c r="AL954">
        <f t="shared" si="142"/>
        <v>0</v>
      </c>
      <c r="AM954">
        <f t="shared" si="143"/>
        <v>2.75</v>
      </c>
      <c r="AN954">
        <f t="shared" si="144"/>
        <v>6906</v>
      </c>
      <c r="AO954">
        <f t="shared" si="145"/>
        <v>0.75</v>
      </c>
      <c r="AP954" t="str">
        <f t="shared" si="146"/>
        <v>30-39</v>
      </c>
      <c r="AQ954" t="str">
        <f t="shared" si="147"/>
        <v>Low</v>
      </c>
      <c r="AR954" t="str">
        <f t="shared" si="148"/>
        <v>Short</v>
      </c>
      <c r="AS954">
        <f t="shared" si="149"/>
        <v>1</v>
      </c>
    </row>
    <row r="955" spans="1:4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s="20">
        <v>2362</v>
      </c>
      <c r="T955">
        <v>14669</v>
      </c>
      <c r="U955">
        <v>4</v>
      </c>
      <c r="V955" t="s">
        <v>42</v>
      </c>
      <c r="W955" t="s">
        <v>43</v>
      </c>
      <c r="X955" s="19">
        <v>12</v>
      </c>
      <c r="Y955">
        <v>3</v>
      </c>
      <c r="Z955">
        <v>3</v>
      </c>
      <c r="AA955">
        <v>80</v>
      </c>
      <c r="AB955">
        <v>0</v>
      </c>
      <c r="AC955">
        <v>10</v>
      </c>
      <c r="AD955">
        <v>4</v>
      </c>
      <c r="AE955">
        <v>4</v>
      </c>
      <c r="AF955">
        <v>3</v>
      </c>
      <c r="AG955">
        <v>2</v>
      </c>
      <c r="AH955">
        <v>1</v>
      </c>
      <c r="AI955">
        <v>2</v>
      </c>
      <c r="AJ955">
        <f t="shared" si="140"/>
        <v>1</v>
      </c>
      <c r="AK955">
        <f t="shared" si="141"/>
        <v>0</v>
      </c>
      <c r="AL955">
        <f t="shared" si="142"/>
        <v>1</v>
      </c>
      <c r="AM955">
        <f t="shared" si="143"/>
        <v>2.25</v>
      </c>
      <c r="AN955">
        <f t="shared" si="144"/>
        <v>7086</v>
      </c>
      <c r="AO955">
        <f t="shared" si="145"/>
        <v>0.27272727272727271</v>
      </c>
      <c r="AP955" t="str">
        <f t="shared" si="146"/>
        <v>40-49</v>
      </c>
      <c r="AQ955" t="str">
        <f t="shared" si="147"/>
        <v>Low</v>
      </c>
      <c r="AR955" t="str">
        <f t="shared" si="148"/>
        <v>Short</v>
      </c>
      <c r="AS955">
        <f t="shared" si="149"/>
        <v>0</v>
      </c>
    </row>
    <row r="956" spans="1:4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s="20">
        <v>17861</v>
      </c>
      <c r="T956">
        <v>26582</v>
      </c>
      <c r="U956">
        <v>0</v>
      </c>
      <c r="V956" t="s">
        <v>42</v>
      </c>
      <c r="W956" t="s">
        <v>35</v>
      </c>
      <c r="X956" s="19">
        <v>13</v>
      </c>
      <c r="Y956">
        <v>3</v>
      </c>
      <c r="Z956">
        <v>4</v>
      </c>
      <c r="AA956">
        <v>80</v>
      </c>
      <c r="AB956">
        <v>0</v>
      </c>
      <c r="AC956">
        <v>21</v>
      </c>
      <c r="AD956">
        <v>3</v>
      </c>
      <c r="AE956">
        <v>2</v>
      </c>
      <c r="AF956">
        <v>20</v>
      </c>
      <c r="AG956">
        <v>8</v>
      </c>
      <c r="AH956">
        <v>2</v>
      </c>
      <c r="AI956">
        <v>10</v>
      </c>
      <c r="AJ956">
        <f t="shared" si="140"/>
        <v>0</v>
      </c>
      <c r="AK956">
        <f t="shared" si="141"/>
        <v>1</v>
      </c>
      <c r="AL956">
        <f t="shared" si="142"/>
        <v>1</v>
      </c>
      <c r="AM956">
        <f t="shared" si="143"/>
        <v>3</v>
      </c>
      <c r="AN956">
        <f t="shared" si="144"/>
        <v>10206.285714285714</v>
      </c>
      <c r="AO956">
        <f t="shared" si="145"/>
        <v>0.90909090909090906</v>
      </c>
      <c r="AP956" t="str">
        <f t="shared" si="146"/>
        <v>40-49</v>
      </c>
      <c r="AQ956" t="str">
        <f t="shared" si="147"/>
        <v>Very High</v>
      </c>
      <c r="AR956" t="str">
        <f t="shared" si="148"/>
        <v>Short</v>
      </c>
      <c r="AS956">
        <f t="shared" si="149"/>
        <v>0</v>
      </c>
    </row>
    <row r="957" spans="1:4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s="20">
        <v>19187</v>
      </c>
      <c r="T957">
        <v>6992</v>
      </c>
      <c r="U957">
        <v>4</v>
      </c>
      <c r="V957" t="s">
        <v>42</v>
      </c>
      <c r="W957" t="s">
        <v>43</v>
      </c>
      <c r="X957" s="19">
        <v>14</v>
      </c>
      <c r="Y957">
        <v>3</v>
      </c>
      <c r="Z957">
        <v>4</v>
      </c>
      <c r="AA957">
        <v>80</v>
      </c>
      <c r="AB957">
        <v>1</v>
      </c>
      <c r="AC957">
        <v>23</v>
      </c>
      <c r="AD957">
        <v>5</v>
      </c>
      <c r="AE957">
        <v>3</v>
      </c>
      <c r="AF957">
        <v>19</v>
      </c>
      <c r="AG957">
        <v>9</v>
      </c>
      <c r="AH957">
        <v>9</v>
      </c>
      <c r="AI957">
        <v>11</v>
      </c>
      <c r="AJ957">
        <f t="shared" si="140"/>
        <v>0</v>
      </c>
      <c r="AK957">
        <f t="shared" si="141"/>
        <v>0</v>
      </c>
      <c r="AL957">
        <f t="shared" si="142"/>
        <v>0</v>
      </c>
      <c r="AM957">
        <f t="shared" si="143"/>
        <v>3.5</v>
      </c>
      <c r="AN957">
        <f t="shared" si="144"/>
        <v>11512.2</v>
      </c>
      <c r="AO957">
        <f t="shared" si="145"/>
        <v>0.79166666666666663</v>
      </c>
      <c r="AP957" t="str">
        <f t="shared" si="146"/>
        <v>50+</v>
      </c>
      <c r="AQ957" t="str">
        <f t="shared" si="147"/>
        <v>Very High</v>
      </c>
      <c r="AR957" t="str">
        <f t="shared" si="148"/>
        <v>Short</v>
      </c>
      <c r="AS957">
        <f t="shared" si="149"/>
        <v>0</v>
      </c>
    </row>
    <row r="958" spans="1:4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s="20">
        <v>19717</v>
      </c>
      <c r="T958">
        <v>4022</v>
      </c>
      <c r="U958">
        <v>6</v>
      </c>
      <c r="V958" t="s">
        <v>42</v>
      </c>
      <c r="W958" t="s">
        <v>43</v>
      </c>
      <c r="X958" s="19">
        <v>14</v>
      </c>
      <c r="Y958">
        <v>3</v>
      </c>
      <c r="Z958">
        <v>1</v>
      </c>
      <c r="AA958">
        <v>80</v>
      </c>
      <c r="AB958">
        <v>0</v>
      </c>
      <c r="AC958">
        <v>36</v>
      </c>
      <c r="AD958">
        <v>4</v>
      </c>
      <c r="AE958">
        <v>3</v>
      </c>
      <c r="AF958">
        <v>7</v>
      </c>
      <c r="AG958">
        <v>3</v>
      </c>
      <c r="AH958">
        <v>7</v>
      </c>
      <c r="AI958">
        <v>7</v>
      </c>
      <c r="AJ958">
        <f t="shared" si="140"/>
        <v>0</v>
      </c>
      <c r="AK958">
        <f t="shared" si="141"/>
        <v>0</v>
      </c>
      <c r="AL958">
        <f t="shared" si="142"/>
        <v>1</v>
      </c>
      <c r="AM958">
        <f t="shared" si="143"/>
        <v>2.5</v>
      </c>
      <c r="AN958">
        <f t="shared" si="144"/>
        <v>29575.5</v>
      </c>
      <c r="AO958">
        <f t="shared" si="145"/>
        <v>0.1891891891891892</v>
      </c>
      <c r="AP958" t="str">
        <f t="shared" si="146"/>
        <v>50+</v>
      </c>
      <c r="AQ958" t="str">
        <f t="shared" si="147"/>
        <v>Very High</v>
      </c>
      <c r="AR958" t="str">
        <f t="shared" si="148"/>
        <v>Medium</v>
      </c>
      <c r="AS958">
        <f t="shared" si="149"/>
        <v>0</v>
      </c>
    </row>
    <row r="959" spans="1:4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s="20">
        <v>3544</v>
      </c>
      <c r="T959">
        <v>8532</v>
      </c>
      <c r="U959">
        <v>9</v>
      </c>
      <c r="V959" t="s">
        <v>42</v>
      </c>
      <c r="W959" t="s">
        <v>43</v>
      </c>
      <c r="X959" s="19">
        <v>16</v>
      </c>
      <c r="Y959">
        <v>3</v>
      </c>
      <c r="Z959">
        <v>2</v>
      </c>
      <c r="AA959">
        <v>80</v>
      </c>
      <c r="AB959">
        <v>1</v>
      </c>
      <c r="AC959">
        <v>6</v>
      </c>
      <c r="AD959">
        <v>0</v>
      </c>
      <c r="AE959">
        <v>3</v>
      </c>
      <c r="AF959">
        <v>4</v>
      </c>
      <c r="AG959">
        <v>2</v>
      </c>
      <c r="AH959">
        <v>0</v>
      </c>
      <c r="AI959">
        <v>0</v>
      </c>
      <c r="AJ959">
        <f t="shared" si="140"/>
        <v>0</v>
      </c>
      <c r="AK959">
        <f t="shared" si="141"/>
        <v>0</v>
      </c>
      <c r="AL959">
        <f t="shared" si="142"/>
        <v>1</v>
      </c>
      <c r="AM959">
        <f t="shared" si="143"/>
        <v>2.75</v>
      </c>
      <c r="AN959">
        <f t="shared" si="144"/>
        <v>8505.6</v>
      </c>
      <c r="AO959">
        <f t="shared" si="145"/>
        <v>0.5714285714285714</v>
      </c>
      <c r="AP959" t="str">
        <f t="shared" si="146"/>
        <v>40-49</v>
      </c>
      <c r="AQ959" t="str">
        <f t="shared" si="147"/>
        <v>Medium</v>
      </c>
      <c r="AR959" t="str">
        <f t="shared" si="148"/>
        <v>Long</v>
      </c>
      <c r="AS959">
        <f t="shared" si="149"/>
        <v>0</v>
      </c>
    </row>
    <row r="960" spans="1:4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s="20">
        <v>8500</v>
      </c>
      <c r="T960">
        <v>5494</v>
      </c>
      <c r="U960">
        <v>0</v>
      </c>
      <c r="V960" t="s">
        <v>42</v>
      </c>
      <c r="W960" t="s">
        <v>43</v>
      </c>
      <c r="X960" s="19">
        <v>11</v>
      </c>
      <c r="Y960">
        <v>3</v>
      </c>
      <c r="Z960">
        <v>4</v>
      </c>
      <c r="AA960">
        <v>80</v>
      </c>
      <c r="AB960">
        <v>1</v>
      </c>
      <c r="AC960">
        <v>10</v>
      </c>
      <c r="AD960">
        <v>0</v>
      </c>
      <c r="AE960">
        <v>2</v>
      </c>
      <c r="AF960">
        <v>9</v>
      </c>
      <c r="AG960">
        <v>7</v>
      </c>
      <c r="AH960">
        <v>1</v>
      </c>
      <c r="AI960">
        <v>6</v>
      </c>
      <c r="AJ960">
        <f t="shared" si="140"/>
        <v>0</v>
      </c>
      <c r="AK960">
        <f t="shared" si="141"/>
        <v>0</v>
      </c>
      <c r="AL960">
        <f t="shared" si="142"/>
        <v>1</v>
      </c>
      <c r="AM960">
        <f t="shared" si="143"/>
        <v>3.5</v>
      </c>
      <c r="AN960">
        <f t="shared" si="144"/>
        <v>10200</v>
      </c>
      <c r="AO960">
        <f t="shared" si="145"/>
        <v>0.81818181818181823</v>
      </c>
      <c r="AP960" t="str">
        <f t="shared" si="146"/>
        <v>30-39</v>
      </c>
      <c r="AQ960" t="str">
        <f t="shared" si="147"/>
        <v>Very High</v>
      </c>
      <c r="AR960" t="str">
        <f t="shared" si="148"/>
        <v>Medium</v>
      </c>
      <c r="AS960">
        <f t="shared" si="149"/>
        <v>0</v>
      </c>
    </row>
    <row r="961" spans="1:4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s="20">
        <v>4661</v>
      </c>
      <c r="T961">
        <v>22455</v>
      </c>
      <c r="U961">
        <v>1</v>
      </c>
      <c r="V961" t="s">
        <v>42</v>
      </c>
      <c r="W961" t="s">
        <v>43</v>
      </c>
      <c r="X961" s="19">
        <v>13</v>
      </c>
      <c r="Y961">
        <v>3</v>
      </c>
      <c r="Z961">
        <v>3</v>
      </c>
      <c r="AA961">
        <v>80</v>
      </c>
      <c r="AB961">
        <v>0</v>
      </c>
      <c r="AC961">
        <v>9</v>
      </c>
      <c r="AD961">
        <v>4</v>
      </c>
      <c r="AE961">
        <v>3</v>
      </c>
      <c r="AF961">
        <v>9</v>
      </c>
      <c r="AG961">
        <v>8</v>
      </c>
      <c r="AH961">
        <v>8</v>
      </c>
      <c r="AI961">
        <v>8</v>
      </c>
      <c r="AJ961">
        <f t="shared" si="140"/>
        <v>0</v>
      </c>
      <c r="AK961">
        <f t="shared" si="141"/>
        <v>0</v>
      </c>
      <c r="AL961">
        <f t="shared" si="142"/>
        <v>1</v>
      </c>
      <c r="AM961">
        <f t="shared" si="143"/>
        <v>3.25</v>
      </c>
      <c r="AN961">
        <f t="shared" si="144"/>
        <v>5593.2</v>
      </c>
      <c r="AO961">
        <f t="shared" si="145"/>
        <v>0.9</v>
      </c>
      <c r="AP961" t="str">
        <f t="shared" si="146"/>
        <v>40-49</v>
      </c>
      <c r="AQ961" t="str">
        <f t="shared" si="147"/>
        <v>Medium</v>
      </c>
      <c r="AR961" t="str">
        <f t="shared" si="148"/>
        <v>Short</v>
      </c>
      <c r="AS961">
        <f t="shared" si="149"/>
        <v>0</v>
      </c>
    </row>
    <row r="962" spans="1:4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s="20">
        <v>4103</v>
      </c>
      <c r="T962">
        <v>4297</v>
      </c>
      <c r="U962">
        <v>0</v>
      </c>
      <c r="V962" t="s">
        <v>42</v>
      </c>
      <c r="W962" t="s">
        <v>43</v>
      </c>
      <c r="X962" s="19">
        <v>17</v>
      </c>
      <c r="Y962">
        <v>3</v>
      </c>
      <c r="Z962">
        <v>4</v>
      </c>
      <c r="AA962">
        <v>80</v>
      </c>
      <c r="AB962">
        <v>1</v>
      </c>
      <c r="AC962">
        <v>10</v>
      </c>
      <c r="AD962">
        <v>2</v>
      </c>
      <c r="AE962">
        <v>3</v>
      </c>
      <c r="AF962">
        <v>9</v>
      </c>
      <c r="AG962">
        <v>3</v>
      </c>
      <c r="AH962">
        <v>1</v>
      </c>
      <c r="AI962">
        <v>7</v>
      </c>
      <c r="AJ962">
        <f t="shared" si="140"/>
        <v>0</v>
      </c>
      <c r="AK962">
        <f t="shared" si="141"/>
        <v>0</v>
      </c>
      <c r="AL962">
        <f t="shared" si="142"/>
        <v>0</v>
      </c>
      <c r="AM962">
        <f t="shared" si="143"/>
        <v>2.75</v>
      </c>
      <c r="AN962">
        <f t="shared" si="144"/>
        <v>4923.6000000000004</v>
      </c>
      <c r="AO962">
        <f t="shared" si="145"/>
        <v>0.81818181818181823</v>
      </c>
      <c r="AP962" t="str">
        <f t="shared" si="146"/>
        <v>40-49</v>
      </c>
      <c r="AQ962" t="str">
        <f t="shared" si="147"/>
        <v>Medium</v>
      </c>
      <c r="AR962" t="str">
        <f t="shared" si="148"/>
        <v>Short</v>
      </c>
      <c r="AS962">
        <f t="shared" si="149"/>
        <v>1</v>
      </c>
    </row>
    <row r="963" spans="1:4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s="20">
        <v>4249</v>
      </c>
      <c r="T963">
        <v>2690</v>
      </c>
      <c r="U963">
        <v>1</v>
      </c>
      <c r="V963" t="s">
        <v>42</v>
      </c>
      <c r="W963" t="s">
        <v>35</v>
      </c>
      <c r="X963" s="19">
        <v>11</v>
      </c>
      <c r="Y963">
        <v>3</v>
      </c>
      <c r="Z963">
        <v>2</v>
      </c>
      <c r="AA963">
        <v>80</v>
      </c>
      <c r="AB963">
        <v>0</v>
      </c>
      <c r="AC963">
        <v>9</v>
      </c>
      <c r="AD963">
        <v>3</v>
      </c>
      <c r="AE963">
        <v>3</v>
      </c>
      <c r="AF963">
        <v>9</v>
      </c>
      <c r="AG963">
        <v>6</v>
      </c>
      <c r="AH963">
        <v>1</v>
      </c>
      <c r="AI963">
        <v>1</v>
      </c>
      <c r="AJ963">
        <f t="shared" ref="AJ963:AJ1026" si="150">IF(B963="Yes",1,0)</f>
        <v>0</v>
      </c>
      <c r="AK963">
        <f t="shared" ref="AK963:AK1026" si="151">IF(W963="Yes",1,0)</f>
        <v>1</v>
      </c>
      <c r="AL963">
        <f t="shared" ref="AL963:AL1026" si="152">IF(L963="Male",1,0)</f>
        <v>1</v>
      </c>
      <c r="AM963">
        <f t="shared" ref="AM963:AM1026" si="153">AVERAGE(K963,Q963,Z963,AE963)</f>
        <v>2.75</v>
      </c>
      <c r="AN963">
        <f t="shared" ref="AN963:AN1026" si="154">(S963*12)/(AF963+1)</f>
        <v>5098.8</v>
      </c>
      <c r="AO963">
        <f t="shared" ref="AO963:AO1026" si="155">AF963/(AC963+1)</f>
        <v>0.9</v>
      </c>
      <c r="AP963" t="str">
        <f t="shared" ref="AP963:AP1026" si="156">IF(A963&lt;30,"Under 30",IF(A963&lt;40,"30-39",IF(A963&lt;50,"40-49","50+")))</f>
        <v>30-39</v>
      </c>
      <c r="AQ963" t="str">
        <f t="shared" ref="AQ963:AQ1026" si="157">IF(S963&lt;=$AV$1,"Low",IF(S963&lt;=$AV$2,"Medium",IF(S963&lt;=$AV$3,"High","Very High")))</f>
        <v>Medium</v>
      </c>
      <c r="AR963" t="str">
        <f t="shared" ref="AR963:AR1026" si="158">IF(F963&lt;=5,"Short",IF(F963&lt;=15,"Medium","Long"))</f>
        <v>Short</v>
      </c>
      <c r="AS963">
        <f t="shared" ref="AS963:AS1026" si="159">IF(C963="Travel_Frequently",1,0)</f>
        <v>1</v>
      </c>
    </row>
    <row r="964" spans="1:4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s="20">
        <v>14026</v>
      </c>
      <c r="T964">
        <v>17588</v>
      </c>
      <c r="U964">
        <v>1</v>
      </c>
      <c r="V964" t="s">
        <v>42</v>
      </c>
      <c r="W964" t="s">
        <v>35</v>
      </c>
      <c r="X964" s="19">
        <v>11</v>
      </c>
      <c r="Y964">
        <v>3</v>
      </c>
      <c r="Z964">
        <v>2</v>
      </c>
      <c r="AA964">
        <v>80</v>
      </c>
      <c r="AB964">
        <v>1</v>
      </c>
      <c r="AC964">
        <v>33</v>
      </c>
      <c r="AD964">
        <v>2</v>
      </c>
      <c r="AE964">
        <v>3</v>
      </c>
      <c r="AF964">
        <v>33</v>
      </c>
      <c r="AG964">
        <v>9</v>
      </c>
      <c r="AH964">
        <v>0</v>
      </c>
      <c r="AI964">
        <v>10</v>
      </c>
      <c r="AJ964">
        <f t="shared" si="150"/>
        <v>0</v>
      </c>
      <c r="AK964">
        <f t="shared" si="151"/>
        <v>1</v>
      </c>
      <c r="AL964">
        <f t="shared" si="152"/>
        <v>1</v>
      </c>
      <c r="AM964">
        <f t="shared" si="153"/>
        <v>2.5</v>
      </c>
      <c r="AN964">
        <f t="shared" si="154"/>
        <v>4950.3529411764703</v>
      </c>
      <c r="AO964">
        <f t="shared" si="155"/>
        <v>0.97058823529411764</v>
      </c>
      <c r="AP964" t="str">
        <f t="shared" si="156"/>
        <v>50+</v>
      </c>
      <c r="AQ964" t="str">
        <f t="shared" si="157"/>
        <v>Very High</v>
      </c>
      <c r="AR964" t="str">
        <f t="shared" si="158"/>
        <v>Short</v>
      </c>
      <c r="AS964">
        <f t="shared" si="159"/>
        <v>0</v>
      </c>
    </row>
    <row r="965" spans="1:4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s="20">
        <v>6893</v>
      </c>
      <c r="T965">
        <v>19461</v>
      </c>
      <c r="U965">
        <v>3</v>
      </c>
      <c r="V965" t="s">
        <v>42</v>
      </c>
      <c r="W965" t="s">
        <v>43</v>
      </c>
      <c r="X965" s="19">
        <v>15</v>
      </c>
      <c r="Y965">
        <v>3</v>
      </c>
      <c r="Z965">
        <v>4</v>
      </c>
      <c r="AA965">
        <v>80</v>
      </c>
      <c r="AB965">
        <v>1</v>
      </c>
      <c r="AC965">
        <v>11</v>
      </c>
      <c r="AD965">
        <v>3</v>
      </c>
      <c r="AE965">
        <v>3</v>
      </c>
      <c r="AF965">
        <v>7</v>
      </c>
      <c r="AG965">
        <v>7</v>
      </c>
      <c r="AH965">
        <v>1</v>
      </c>
      <c r="AI965">
        <v>7</v>
      </c>
      <c r="AJ965">
        <f t="shared" si="150"/>
        <v>0</v>
      </c>
      <c r="AK965">
        <f t="shared" si="151"/>
        <v>0</v>
      </c>
      <c r="AL965">
        <f t="shared" si="152"/>
        <v>0</v>
      </c>
      <c r="AM965">
        <f t="shared" si="153"/>
        <v>2.5</v>
      </c>
      <c r="AN965">
        <f t="shared" si="154"/>
        <v>10339.5</v>
      </c>
      <c r="AO965">
        <f t="shared" si="155"/>
        <v>0.58333333333333337</v>
      </c>
      <c r="AP965" t="str">
        <f t="shared" si="156"/>
        <v>30-39</v>
      </c>
      <c r="AQ965" t="str">
        <f t="shared" si="157"/>
        <v>High</v>
      </c>
      <c r="AR965" t="str">
        <f t="shared" si="158"/>
        <v>Short</v>
      </c>
      <c r="AS965">
        <f t="shared" si="159"/>
        <v>0</v>
      </c>
    </row>
    <row r="966" spans="1:4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s="20">
        <v>6125</v>
      </c>
      <c r="T966">
        <v>23553</v>
      </c>
      <c r="U966">
        <v>1</v>
      </c>
      <c r="V966" t="s">
        <v>42</v>
      </c>
      <c r="W966" t="s">
        <v>43</v>
      </c>
      <c r="X966" s="19">
        <v>12</v>
      </c>
      <c r="Y966">
        <v>3</v>
      </c>
      <c r="Z966">
        <v>4</v>
      </c>
      <c r="AA966">
        <v>80</v>
      </c>
      <c r="AB966">
        <v>0</v>
      </c>
      <c r="AC966">
        <v>10</v>
      </c>
      <c r="AD966">
        <v>6</v>
      </c>
      <c r="AE966">
        <v>4</v>
      </c>
      <c r="AF966">
        <v>10</v>
      </c>
      <c r="AG966">
        <v>8</v>
      </c>
      <c r="AH966">
        <v>9</v>
      </c>
      <c r="AI966">
        <v>6</v>
      </c>
      <c r="AJ966">
        <f t="shared" si="150"/>
        <v>0</v>
      </c>
      <c r="AK966">
        <f t="shared" si="151"/>
        <v>0</v>
      </c>
      <c r="AL966">
        <f t="shared" si="152"/>
        <v>0</v>
      </c>
      <c r="AM966">
        <f t="shared" si="153"/>
        <v>3</v>
      </c>
      <c r="AN966">
        <f t="shared" si="154"/>
        <v>6681.818181818182</v>
      </c>
      <c r="AO966">
        <f t="shared" si="155"/>
        <v>0.90909090909090906</v>
      </c>
      <c r="AP966" t="str">
        <f t="shared" si="156"/>
        <v>30-39</v>
      </c>
      <c r="AQ966" t="str">
        <f t="shared" si="157"/>
        <v>High</v>
      </c>
      <c r="AR966" t="str">
        <f t="shared" si="158"/>
        <v>Medium</v>
      </c>
      <c r="AS966">
        <f t="shared" si="159"/>
        <v>0</v>
      </c>
    </row>
    <row r="967" spans="1:4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s="20">
        <v>3669</v>
      </c>
      <c r="T967">
        <v>9075</v>
      </c>
      <c r="U967">
        <v>3</v>
      </c>
      <c r="V967" t="s">
        <v>42</v>
      </c>
      <c r="W967" t="s">
        <v>43</v>
      </c>
      <c r="X967" s="19">
        <v>11</v>
      </c>
      <c r="Y967">
        <v>3</v>
      </c>
      <c r="Z967">
        <v>3</v>
      </c>
      <c r="AA967">
        <v>80</v>
      </c>
      <c r="AB967">
        <v>3</v>
      </c>
      <c r="AC967">
        <v>7</v>
      </c>
      <c r="AD967">
        <v>6</v>
      </c>
      <c r="AE967">
        <v>2</v>
      </c>
      <c r="AF967">
        <v>3</v>
      </c>
      <c r="AG967">
        <v>2</v>
      </c>
      <c r="AH967">
        <v>1</v>
      </c>
      <c r="AI967">
        <v>2</v>
      </c>
      <c r="AJ967">
        <f t="shared" si="150"/>
        <v>0</v>
      </c>
      <c r="AK967">
        <f t="shared" si="151"/>
        <v>0</v>
      </c>
      <c r="AL967">
        <f t="shared" si="152"/>
        <v>1</v>
      </c>
      <c r="AM967">
        <f t="shared" si="153"/>
        <v>3.25</v>
      </c>
      <c r="AN967">
        <f t="shared" si="154"/>
        <v>11007</v>
      </c>
      <c r="AO967">
        <f t="shared" si="155"/>
        <v>0.375</v>
      </c>
      <c r="AP967" t="str">
        <f t="shared" si="156"/>
        <v>Under 30</v>
      </c>
      <c r="AQ967" t="str">
        <f t="shared" si="157"/>
        <v>Medium</v>
      </c>
      <c r="AR967" t="str">
        <f t="shared" si="158"/>
        <v>Long</v>
      </c>
      <c r="AS967">
        <f t="shared" si="159"/>
        <v>0</v>
      </c>
    </row>
    <row r="968" spans="1:4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s="20">
        <v>10008</v>
      </c>
      <c r="T968">
        <v>12023</v>
      </c>
      <c r="U968">
        <v>7</v>
      </c>
      <c r="V968" t="s">
        <v>42</v>
      </c>
      <c r="W968" t="s">
        <v>35</v>
      </c>
      <c r="X968" s="19">
        <v>14</v>
      </c>
      <c r="Y968">
        <v>3</v>
      </c>
      <c r="Z968">
        <v>4</v>
      </c>
      <c r="AA968">
        <v>80</v>
      </c>
      <c r="AB968">
        <v>0</v>
      </c>
      <c r="AC968">
        <v>31</v>
      </c>
      <c r="AD968">
        <v>0</v>
      </c>
      <c r="AE968">
        <v>2</v>
      </c>
      <c r="AF968">
        <v>10</v>
      </c>
      <c r="AG968">
        <v>9</v>
      </c>
      <c r="AH968">
        <v>5</v>
      </c>
      <c r="AI968">
        <v>9</v>
      </c>
      <c r="AJ968">
        <f t="shared" si="150"/>
        <v>1</v>
      </c>
      <c r="AK968">
        <f t="shared" si="151"/>
        <v>1</v>
      </c>
      <c r="AL968">
        <f t="shared" si="152"/>
        <v>0</v>
      </c>
      <c r="AM968">
        <f t="shared" si="153"/>
        <v>2.5</v>
      </c>
      <c r="AN968">
        <f t="shared" si="154"/>
        <v>10917.818181818182</v>
      </c>
      <c r="AO968">
        <f t="shared" si="155"/>
        <v>0.3125</v>
      </c>
      <c r="AP968" t="str">
        <f t="shared" si="156"/>
        <v>50+</v>
      </c>
      <c r="AQ968" t="str">
        <f t="shared" si="157"/>
        <v>Very High</v>
      </c>
      <c r="AR968" t="str">
        <f t="shared" si="158"/>
        <v>Medium</v>
      </c>
      <c r="AS968">
        <f t="shared" si="159"/>
        <v>0</v>
      </c>
    </row>
    <row r="969" spans="1:4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s="20">
        <v>2387</v>
      </c>
      <c r="T969">
        <v>6762</v>
      </c>
      <c r="U969">
        <v>3</v>
      </c>
      <c r="V969" t="s">
        <v>42</v>
      </c>
      <c r="W969" t="s">
        <v>43</v>
      </c>
      <c r="X969" s="19">
        <v>22</v>
      </c>
      <c r="Y969">
        <v>4</v>
      </c>
      <c r="Z969">
        <v>3</v>
      </c>
      <c r="AA969">
        <v>80</v>
      </c>
      <c r="AB969">
        <v>1</v>
      </c>
      <c r="AC969">
        <v>7</v>
      </c>
      <c r="AD969">
        <v>3</v>
      </c>
      <c r="AE969">
        <v>3</v>
      </c>
      <c r="AF969">
        <v>4</v>
      </c>
      <c r="AG969">
        <v>2</v>
      </c>
      <c r="AH969">
        <v>0</v>
      </c>
      <c r="AI969">
        <v>3</v>
      </c>
      <c r="AJ969">
        <f t="shared" si="150"/>
        <v>0</v>
      </c>
      <c r="AK969">
        <f t="shared" si="151"/>
        <v>0</v>
      </c>
      <c r="AL969">
        <f t="shared" si="152"/>
        <v>1</v>
      </c>
      <c r="AM969">
        <f t="shared" si="153"/>
        <v>2.5</v>
      </c>
      <c r="AN969">
        <f t="shared" si="154"/>
        <v>5728.8</v>
      </c>
      <c r="AO969">
        <f t="shared" si="155"/>
        <v>0.5</v>
      </c>
      <c r="AP969" t="str">
        <f t="shared" si="156"/>
        <v>40-49</v>
      </c>
      <c r="AQ969" t="str">
        <f t="shared" si="157"/>
        <v>Low</v>
      </c>
      <c r="AR969" t="str">
        <f t="shared" si="158"/>
        <v>Short</v>
      </c>
      <c r="AS969">
        <f t="shared" si="159"/>
        <v>0</v>
      </c>
    </row>
    <row r="970" spans="1:4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s="20">
        <v>4639</v>
      </c>
      <c r="T970">
        <v>2261</v>
      </c>
      <c r="U970">
        <v>2</v>
      </c>
      <c r="V970" t="s">
        <v>42</v>
      </c>
      <c r="W970" t="s">
        <v>43</v>
      </c>
      <c r="X970" s="19">
        <v>16</v>
      </c>
      <c r="Y970">
        <v>3</v>
      </c>
      <c r="Z970">
        <v>4</v>
      </c>
      <c r="AA970">
        <v>80</v>
      </c>
      <c r="AB970">
        <v>1</v>
      </c>
      <c r="AC970">
        <v>17</v>
      </c>
      <c r="AD970">
        <v>2</v>
      </c>
      <c r="AE970">
        <v>2</v>
      </c>
      <c r="AF970">
        <v>15</v>
      </c>
      <c r="AG970">
        <v>7</v>
      </c>
      <c r="AH970">
        <v>6</v>
      </c>
      <c r="AI970">
        <v>13</v>
      </c>
      <c r="AJ970">
        <f t="shared" si="150"/>
        <v>0</v>
      </c>
      <c r="AK970">
        <f t="shared" si="151"/>
        <v>0</v>
      </c>
      <c r="AL970">
        <f t="shared" si="152"/>
        <v>0</v>
      </c>
      <c r="AM970">
        <f t="shared" si="153"/>
        <v>2</v>
      </c>
      <c r="AN970">
        <f t="shared" si="154"/>
        <v>3479.25</v>
      </c>
      <c r="AO970">
        <f t="shared" si="155"/>
        <v>0.83333333333333337</v>
      </c>
      <c r="AP970" t="str">
        <f t="shared" si="156"/>
        <v>30-39</v>
      </c>
      <c r="AQ970" t="str">
        <f t="shared" si="157"/>
        <v>Medium</v>
      </c>
      <c r="AR970" t="str">
        <f t="shared" si="158"/>
        <v>Medium</v>
      </c>
      <c r="AS970">
        <f t="shared" si="159"/>
        <v>1</v>
      </c>
    </row>
    <row r="971" spans="1:4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s="20">
        <v>7898</v>
      </c>
      <c r="T971">
        <v>18706</v>
      </c>
      <c r="U971">
        <v>1</v>
      </c>
      <c r="V971" t="s">
        <v>42</v>
      </c>
      <c r="W971" t="s">
        <v>43</v>
      </c>
      <c r="X971" s="19">
        <v>11</v>
      </c>
      <c r="Y971">
        <v>3</v>
      </c>
      <c r="Z971">
        <v>3</v>
      </c>
      <c r="AA971">
        <v>80</v>
      </c>
      <c r="AB971">
        <v>0</v>
      </c>
      <c r="AC971">
        <v>11</v>
      </c>
      <c r="AD971">
        <v>2</v>
      </c>
      <c r="AE971">
        <v>3</v>
      </c>
      <c r="AF971">
        <v>10</v>
      </c>
      <c r="AG971">
        <v>9</v>
      </c>
      <c r="AH971">
        <v>0</v>
      </c>
      <c r="AI971">
        <v>8</v>
      </c>
      <c r="AJ971">
        <f t="shared" si="150"/>
        <v>0</v>
      </c>
      <c r="AK971">
        <f t="shared" si="151"/>
        <v>0</v>
      </c>
      <c r="AL971">
        <f t="shared" si="152"/>
        <v>1</v>
      </c>
      <c r="AM971">
        <f t="shared" si="153"/>
        <v>3.5</v>
      </c>
      <c r="AN971">
        <f t="shared" si="154"/>
        <v>8616</v>
      </c>
      <c r="AO971">
        <f t="shared" si="155"/>
        <v>0.83333333333333337</v>
      </c>
      <c r="AP971" t="str">
        <f t="shared" si="156"/>
        <v>40-49</v>
      </c>
      <c r="AQ971" t="str">
        <f t="shared" si="157"/>
        <v>High</v>
      </c>
      <c r="AR971" t="str">
        <f t="shared" si="158"/>
        <v>Short</v>
      </c>
      <c r="AS971">
        <f t="shared" si="159"/>
        <v>0</v>
      </c>
    </row>
    <row r="972" spans="1:4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s="20">
        <v>2534</v>
      </c>
      <c r="T972">
        <v>6527</v>
      </c>
      <c r="U972">
        <v>8</v>
      </c>
      <c r="V972" t="s">
        <v>42</v>
      </c>
      <c r="W972" t="s">
        <v>43</v>
      </c>
      <c r="X972" s="19">
        <v>14</v>
      </c>
      <c r="Y972">
        <v>3</v>
      </c>
      <c r="Z972">
        <v>2</v>
      </c>
      <c r="AA972">
        <v>80</v>
      </c>
      <c r="AB972">
        <v>1</v>
      </c>
      <c r="AC972">
        <v>5</v>
      </c>
      <c r="AD972">
        <v>4</v>
      </c>
      <c r="AE972">
        <v>3</v>
      </c>
      <c r="AF972">
        <v>1</v>
      </c>
      <c r="AG972">
        <v>0</v>
      </c>
      <c r="AH972">
        <v>0</v>
      </c>
      <c r="AI972">
        <v>0</v>
      </c>
      <c r="AJ972">
        <f t="shared" si="150"/>
        <v>0</v>
      </c>
      <c r="AK972">
        <f t="shared" si="151"/>
        <v>0</v>
      </c>
      <c r="AL972">
        <f t="shared" si="152"/>
        <v>0</v>
      </c>
      <c r="AM972">
        <f t="shared" si="153"/>
        <v>3</v>
      </c>
      <c r="AN972">
        <f t="shared" si="154"/>
        <v>15204</v>
      </c>
      <c r="AO972">
        <f t="shared" si="155"/>
        <v>0.16666666666666666</v>
      </c>
      <c r="AP972" t="str">
        <f t="shared" si="156"/>
        <v>Under 30</v>
      </c>
      <c r="AQ972" t="str">
        <f t="shared" si="157"/>
        <v>Low</v>
      </c>
      <c r="AR972" t="str">
        <f t="shared" si="158"/>
        <v>Medium</v>
      </c>
      <c r="AS972">
        <f t="shared" si="159"/>
        <v>0</v>
      </c>
    </row>
    <row r="973" spans="1:4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s="20">
        <v>13142</v>
      </c>
      <c r="T973">
        <v>24439</v>
      </c>
      <c r="U973">
        <v>3</v>
      </c>
      <c r="V973" t="s">
        <v>42</v>
      </c>
      <c r="W973" t="s">
        <v>43</v>
      </c>
      <c r="X973" s="19">
        <v>16</v>
      </c>
      <c r="Y973">
        <v>3</v>
      </c>
      <c r="Z973">
        <v>2</v>
      </c>
      <c r="AA973">
        <v>80</v>
      </c>
      <c r="AB973">
        <v>0</v>
      </c>
      <c r="AC973">
        <v>29</v>
      </c>
      <c r="AD973">
        <v>1</v>
      </c>
      <c r="AE973">
        <v>2</v>
      </c>
      <c r="AF973">
        <v>5</v>
      </c>
      <c r="AG973">
        <v>2</v>
      </c>
      <c r="AH973">
        <v>0</v>
      </c>
      <c r="AI973">
        <v>3</v>
      </c>
      <c r="AJ973">
        <f t="shared" si="150"/>
        <v>0</v>
      </c>
      <c r="AK973">
        <f t="shared" si="151"/>
        <v>0</v>
      </c>
      <c r="AL973">
        <f t="shared" si="152"/>
        <v>0</v>
      </c>
      <c r="AM973">
        <f t="shared" si="153"/>
        <v>2.5</v>
      </c>
      <c r="AN973">
        <f t="shared" si="154"/>
        <v>26284</v>
      </c>
      <c r="AO973">
        <f t="shared" si="155"/>
        <v>0.16666666666666666</v>
      </c>
      <c r="AP973" t="str">
        <f t="shared" si="156"/>
        <v>50+</v>
      </c>
      <c r="AQ973" t="str">
        <f t="shared" si="157"/>
        <v>Very High</v>
      </c>
      <c r="AR973" t="str">
        <f t="shared" si="158"/>
        <v>Medium</v>
      </c>
      <c r="AS973">
        <f t="shared" si="159"/>
        <v>0</v>
      </c>
    </row>
    <row r="974" spans="1:4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s="20">
        <v>1611</v>
      </c>
      <c r="T974">
        <v>19305</v>
      </c>
      <c r="U974">
        <v>1</v>
      </c>
      <c r="V974" t="s">
        <v>42</v>
      </c>
      <c r="W974" t="s">
        <v>43</v>
      </c>
      <c r="X974" s="19">
        <v>15</v>
      </c>
      <c r="Y974">
        <v>3</v>
      </c>
      <c r="Z974">
        <v>3</v>
      </c>
      <c r="AA974">
        <v>80</v>
      </c>
      <c r="AB974">
        <v>0</v>
      </c>
      <c r="AC974">
        <v>0</v>
      </c>
      <c r="AD974">
        <v>5</v>
      </c>
      <c r="AE974">
        <v>4</v>
      </c>
      <c r="AF974">
        <v>0</v>
      </c>
      <c r="AG974">
        <v>0</v>
      </c>
      <c r="AH974">
        <v>0</v>
      </c>
      <c r="AI974">
        <v>0</v>
      </c>
      <c r="AJ974">
        <f t="shared" si="150"/>
        <v>0</v>
      </c>
      <c r="AK974">
        <f t="shared" si="151"/>
        <v>0</v>
      </c>
      <c r="AL974">
        <f t="shared" si="152"/>
        <v>0</v>
      </c>
      <c r="AM974">
        <f t="shared" si="153"/>
        <v>3.75</v>
      </c>
      <c r="AN974">
        <f t="shared" si="154"/>
        <v>19332</v>
      </c>
      <c r="AO974">
        <f t="shared" si="155"/>
        <v>0</v>
      </c>
      <c r="AP974" t="str">
        <f t="shared" si="156"/>
        <v>Under 30</v>
      </c>
      <c r="AQ974" t="str">
        <f t="shared" si="157"/>
        <v>Low</v>
      </c>
      <c r="AR974" t="str">
        <f t="shared" si="158"/>
        <v>Short</v>
      </c>
      <c r="AS974">
        <f t="shared" si="159"/>
        <v>0</v>
      </c>
    </row>
    <row r="975" spans="1:4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s="20">
        <v>5363</v>
      </c>
      <c r="T975">
        <v>10846</v>
      </c>
      <c r="U975">
        <v>0</v>
      </c>
      <c r="V975" t="s">
        <v>42</v>
      </c>
      <c r="W975" t="s">
        <v>43</v>
      </c>
      <c r="X975" s="19">
        <v>12</v>
      </c>
      <c r="Y975">
        <v>3</v>
      </c>
      <c r="Z975">
        <v>2</v>
      </c>
      <c r="AA975">
        <v>80</v>
      </c>
      <c r="AB975">
        <v>1</v>
      </c>
      <c r="AC975">
        <v>10</v>
      </c>
      <c r="AD975">
        <v>0</v>
      </c>
      <c r="AE975">
        <v>3</v>
      </c>
      <c r="AF975">
        <v>9</v>
      </c>
      <c r="AG975">
        <v>7</v>
      </c>
      <c r="AH975">
        <v>0</v>
      </c>
      <c r="AI975">
        <v>0</v>
      </c>
      <c r="AJ975">
        <f t="shared" si="150"/>
        <v>0</v>
      </c>
      <c r="AK975">
        <f t="shared" si="151"/>
        <v>0</v>
      </c>
      <c r="AL975">
        <f t="shared" si="152"/>
        <v>0</v>
      </c>
      <c r="AM975">
        <f t="shared" si="153"/>
        <v>3.25</v>
      </c>
      <c r="AN975">
        <f t="shared" si="154"/>
        <v>6435.6</v>
      </c>
      <c r="AO975">
        <f t="shared" si="155"/>
        <v>0.81818181818181823</v>
      </c>
      <c r="AP975" t="str">
        <f t="shared" si="156"/>
        <v>30-39</v>
      </c>
      <c r="AQ975" t="str">
        <f t="shared" si="157"/>
        <v>High</v>
      </c>
      <c r="AR975" t="str">
        <f t="shared" si="158"/>
        <v>Short</v>
      </c>
      <c r="AS975">
        <f t="shared" si="159"/>
        <v>0</v>
      </c>
    </row>
    <row r="976" spans="1:4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s="20">
        <v>5071</v>
      </c>
      <c r="T976">
        <v>20392</v>
      </c>
      <c r="U976">
        <v>3</v>
      </c>
      <c r="V976" t="s">
        <v>42</v>
      </c>
      <c r="W976" t="s">
        <v>43</v>
      </c>
      <c r="X976" s="19">
        <v>20</v>
      </c>
      <c r="Y976">
        <v>4</v>
      </c>
      <c r="Z976">
        <v>2</v>
      </c>
      <c r="AA976">
        <v>80</v>
      </c>
      <c r="AB976">
        <v>0</v>
      </c>
      <c r="AC976">
        <v>8</v>
      </c>
      <c r="AD976">
        <v>3</v>
      </c>
      <c r="AE976">
        <v>3</v>
      </c>
      <c r="AF976">
        <v>6</v>
      </c>
      <c r="AG976">
        <v>2</v>
      </c>
      <c r="AH976">
        <v>0</v>
      </c>
      <c r="AI976">
        <v>0</v>
      </c>
      <c r="AJ976">
        <f t="shared" si="150"/>
        <v>0</v>
      </c>
      <c r="AK976">
        <f t="shared" si="151"/>
        <v>0</v>
      </c>
      <c r="AL976">
        <f t="shared" si="152"/>
        <v>1</v>
      </c>
      <c r="AM976">
        <f t="shared" si="153"/>
        <v>3.25</v>
      </c>
      <c r="AN976">
        <f t="shared" si="154"/>
        <v>8693.1428571428569</v>
      </c>
      <c r="AO976">
        <f t="shared" si="155"/>
        <v>0.66666666666666663</v>
      </c>
      <c r="AP976" t="str">
        <f t="shared" si="156"/>
        <v>Under 30</v>
      </c>
      <c r="AQ976" t="str">
        <f t="shared" si="157"/>
        <v>High</v>
      </c>
      <c r="AR976" t="str">
        <f t="shared" si="158"/>
        <v>Short</v>
      </c>
      <c r="AS976">
        <f t="shared" si="159"/>
        <v>1</v>
      </c>
    </row>
    <row r="977" spans="1:4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s="20">
        <v>13695</v>
      </c>
      <c r="T977">
        <v>9277</v>
      </c>
      <c r="U977">
        <v>6</v>
      </c>
      <c r="V977" t="s">
        <v>42</v>
      </c>
      <c r="W977" t="s">
        <v>35</v>
      </c>
      <c r="X977" s="19">
        <v>17</v>
      </c>
      <c r="Y977">
        <v>3</v>
      </c>
      <c r="Z977">
        <v>3</v>
      </c>
      <c r="AA977">
        <v>80</v>
      </c>
      <c r="AB977">
        <v>0</v>
      </c>
      <c r="AC977">
        <v>24</v>
      </c>
      <c r="AD977">
        <v>2</v>
      </c>
      <c r="AE977">
        <v>2</v>
      </c>
      <c r="AF977">
        <v>19</v>
      </c>
      <c r="AG977">
        <v>7</v>
      </c>
      <c r="AH977">
        <v>3</v>
      </c>
      <c r="AI977">
        <v>8</v>
      </c>
      <c r="AJ977">
        <f t="shared" si="150"/>
        <v>1</v>
      </c>
      <c r="AK977">
        <f t="shared" si="151"/>
        <v>1</v>
      </c>
      <c r="AL977">
        <f t="shared" si="152"/>
        <v>1</v>
      </c>
      <c r="AM977">
        <f t="shared" si="153"/>
        <v>2.25</v>
      </c>
      <c r="AN977">
        <f t="shared" si="154"/>
        <v>8217</v>
      </c>
      <c r="AO977">
        <f t="shared" si="155"/>
        <v>0.76</v>
      </c>
      <c r="AP977" t="str">
        <f t="shared" si="156"/>
        <v>50+</v>
      </c>
      <c r="AQ977" t="str">
        <f t="shared" si="157"/>
        <v>Very High</v>
      </c>
      <c r="AR977" t="str">
        <f t="shared" si="158"/>
        <v>Medium</v>
      </c>
      <c r="AS977">
        <f t="shared" si="159"/>
        <v>0</v>
      </c>
    </row>
    <row r="978" spans="1:4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s="20">
        <v>13402</v>
      </c>
      <c r="T978">
        <v>18235</v>
      </c>
      <c r="U978">
        <v>4</v>
      </c>
      <c r="V978" t="s">
        <v>42</v>
      </c>
      <c r="W978" t="s">
        <v>35</v>
      </c>
      <c r="X978" s="19">
        <v>12</v>
      </c>
      <c r="Y978">
        <v>3</v>
      </c>
      <c r="Z978">
        <v>1</v>
      </c>
      <c r="AA978">
        <v>80</v>
      </c>
      <c r="AB978">
        <v>1</v>
      </c>
      <c r="AC978">
        <v>33</v>
      </c>
      <c r="AD978">
        <v>0</v>
      </c>
      <c r="AE978">
        <v>3</v>
      </c>
      <c r="AF978">
        <v>19</v>
      </c>
      <c r="AG978">
        <v>16</v>
      </c>
      <c r="AH978">
        <v>15</v>
      </c>
      <c r="AI978">
        <v>9</v>
      </c>
      <c r="AJ978">
        <f t="shared" si="150"/>
        <v>0</v>
      </c>
      <c r="AK978">
        <f t="shared" si="151"/>
        <v>1</v>
      </c>
      <c r="AL978">
        <f t="shared" si="152"/>
        <v>1</v>
      </c>
      <c r="AM978">
        <f t="shared" si="153"/>
        <v>2.5</v>
      </c>
      <c r="AN978">
        <f t="shared" si="154"/>
        <v>8041.2</v>
      </c>
      <c r="AO978">
        <f t="shared" si="155"/>
        <v>0.55882352941176472</v>
      </c>
      <c r="AP978" t="str">
        <f t="shared" si="156"/>
        <v>50+</v>
      </c>
      <c r="AQ978" t="str">
        <f t="shared" si="157"/>
        <v>Very High</v>
      </c>
      <c r="AR978" t="str">
        <f t="shared" si="158"/>
        <v>Long</v>
      </c>
      <c r="AS978">
        <f t="shared" si="159"/>
        <v>0</v>
      </c>
    </row>
    <row r="979" spans="1:4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s="20">
        <v>2029</v>
      </c>
      <c r="T979">
        <v>15891</v>
      </c>
      <c r="U979">
        <v>1</v>
      </c>
      <c r="V979" t="s">
        <v>42</v>
      </c>
      <c r="W979" t="s">
        <v>43</v>
      </c>
      <c r="X979" s="19">
        <v>20</v>
      </c>
      <c r="Y979">
        <v>4</v>
      </c>
      <c r="Z979">
        <v>3</v>
      </c>
      <c r="AA979">
        <v>80</v>
      </c>
      <c r="AB979">
        <v>3</v>
      </c>
      <c r="AC979">
        <v>5</v>
      </c>
      <c r="AD979">
        <v>2</v>
      </c>
      <c r="AE979">
        <v>3</v>
      </c>
      <c r="AF979">
        <v>5</v>
      </c>
      <c r="AG979">
        <v>4</v>
      </c>
      <c r="AH979">
        <v>0</v>
      </c>
      <c r="AI979">
        <v>0</v>
      </c>
      <c r="AJ979">
        <f t="shared" si="150"/>
        <v>0</v>
      </c>
      <c r="AK979">
        <f t="shared" si="151"/>
        <v>0</v>
      </c>
      <c r="AL979">
        <f t="shared" si="152"/>
        <v>0</v>
      </c>
      <c r="AM979">
        <f t="shared" si="153"/>
        <v>2.5</v>
      </c>
      <c r="AN979">
        <f t="shared" si="154"/>
        <v>4058</v>
      </c>
      <c r="AO979">
        <f t="shared" si="155"/>
        <v>0.83333333333333337</v>
      </c>
      <c r="AP979" t="str">
        <f t="shared" si="156"/>
        <v>30-39</v>
      </c>
      <c r="AQ979" t="str">
        <f t="shared" si="157"/>
        <v>Low</v>
      </c>
      <c r="AR979" t="str">
        <f t="shared" si="158"/>
        <v>Long</v>
      </c>
      <c r="AS979">
        <f t="shared" si="159"/>
        <v>0</v>
      </c>
    </row>
    <row r="980" spans="1:4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s="20">
        <v>6377</v>
      </c>
      <c r="T980">
        <v>13888</v>
      </c>
      <c r="U980">
        <v>5</v>
      </c>
      <c r="V980" t="s">
        <v>42</v>
      </c>
      <c r="W980" t="s">
        <v>43</v>
      </c>
      <c r="X980" s="19">
        <v>20</v>
      </c>
      <c r="Y980">
        <v>4</v>
      </c>
      <c r="Z980">
        <v>2</v>
      </c>
      <c r="AA980">
        <v>80</v>
      </c>
      <c r="AB980">
        <v>3</v>
      </c>
      <c r="AC980">
        <v>15</v>
      </c>
      <c r="AD980">
        <v>0</v>
      </c>
      <c r="AE980">
        <v>3</v>
      </c>
      <c r="AF980">
        <v>12</v>
      </c>
      <c r="AG980">
        <v>11</v>
      </c>
      <c r="AH980">
        <v>11</v>
      </c>
      <c r="AI980">
        <v>8</v>
      </c>
      <c r="AJ980">
        <f t="shared" si="150"/>
        <v>0</v>
      </c>
      <c r="AK980">
        <f t="shared" si="151"/>
        <v>0</v>
      </c>
      <c r="AL980">
        <f t="shared" si="152"/>
        <v>0</v>
      </c>
      <c r="AM980">
        <f t="shared" si="153"/>
        <v>2.5</v>
      </c>
      <c r="AN980">
        <f t="shared" si="154"/>
        <v>5886.4615384615381</v>
      </c>
      <c r="AO980">
        <f t="shared" si="155"/>
        <v>0.75</v>
      </c>
      <c r="AP980" t="str">
        <f t="shared" si="156"/>
        <v>40-49</v>
      </c>
      <c r="AQ980" t="str">
        <f t="shared" si="157"/>
        <v>High</v>
      </c>
      <c r="AR980" t="str">
        <f t="shared" si="158"/>
        <v>Short</v>
      </c>
      <c r="AS980">
        <f t="shared" si="159"/>
        <v>0</v>
      </c>
    </row>
    <row r="981" spans="1:4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s="20">
        <v>5429</v>
      </c>
      <c r="T981">
        <v>17491</v>
      </c>
      <c r="U981">
        <v>4</v>
      </c>
      <c r="V981" t="s">
        <v>42</v>
      </c>
      <c r="W981" t="s">
        <v>43</v>
      </c>
      <c r="X981" s="19">
        <v>13</v>
      </c>
      <c r="Y981">
        <v>3</v>
      </c>
      <c r="Z981">
        <v>1</v>
      </c>
      <c r="AA981">
        <v>80</v>
      </c>
      <c r="AB981">
        <v>2</v>
      </c>
      <c r="AC981">
        <v>10</v>
      </c>
      <c r="AD981">
        <v>1</v>
      </c>
      <c r="AE981">
        <v>3</v>
      </c>
      <c r="AF981">
        <v>8</v>
      </c>
      <c r="AG981">
        <v>7</v>
      </c>
      <c r="AH981">
        <v>7</v>
      </c>
      <c r="AI981">
        <v>7</v>
      </c>
      <c r="AJ981">
        <f t="shared" si="150"/>
        <v>0</v>
      </c>
      <c r="AK981">
        <f t="shared" si="151"/>
        <v>0</v>
      </c>
      <c r="AL981">
        <f t="shared" si="152"/>
        <v>1</v>
      </c>
      <c r="AM981">
        <f t="shared" si="153"/>
        <v>2.25</v>
      </c>
      <c r="AN981">
        <f t="shared" si="154"/>
        <v>7238.666666666667</v>
      </c>
      <c r="AO981">
        <f t="shared" si="155"/>
        <v>0.72727272727272729</v>
      </c>
      <c r="AP981" t="str">
        <f t="shared" si="156"/>
        <v>30-39</v>
      </c>
      <c r="AQ981" t="str">
        <f t="shared" si="157"/>
        <v>High</v>
      </c>
      <c r="AR981" t="str">
        <f t="shared" si="158"/>
        <v>Long</v>
      </c>
      <c r="AS981">
        <f t="shared" si="159"/>
        <v>0</v>
      </c>
    </row>
    <row r="982" spans="1:4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s="20">
        <v>2785</v>
      </c>
      <c r="T982">
        <v>11882</v>
      </c>
      <c r="U982">
        <v>7</v>
      </c>
      <c r="V982" t="s">
        <v>42</v>
      </c>
      <c r="W982" t="s">
        <v>43</v>
      </c>
      <c r="X982" s="19">
        <v>14</v>
      </c>
      <c r="Y982">
        <v>3</v>
      </c>
      <c r="Z982">
        <v>3</v>
      </c>
      <c r="AA982">
        <v>80</v>
      </c>
      <c r="AB982">
        <v>0</v>
      </c>
      <c r="AC982">
        <v>3</v>
      </c>
      <c r="AD982">
        <v>3</v>
      </c>
      <c r="AE982">
        <v>4</v>
      </c>
      <c r="AF982">
        <v>1</v>
      </c>
      <c r="AG982">
        <v>0</v>
      </c>
      <c r="AH982">
        <v>0</v>
      </c>
      <c r="AI982">
        <v>0</v>
      </c>
      <c r="AJ982">
        <f t="shared" si="150"/>
        <v>1</v>
      </c>
      <c r="AK982">
        <f t="shared" si="151"/>
        <v>0</v>
      </c>
      <c r="AL982">
        <f t="shared" si="152"/>
        <v>0</v>
      </c>
      <c r="AM982">
        <f t="shared" si="153"/>
        <v>3.5</v>
      </c>
      <c r="AN982">
        <f t="shared" si="154"/>
        <v>16710</v>
      </c>
      <c r="AO982">
        <f t="shared" si="155"/>
        <v>0.25</v>
      </c>
      <c r="AP982" t="str">
        <f t="shared" si="156"/>
        <v>30-39</v>
      </c>
      <c r="AQ982" t="str">
        <f t="shared" si="157"/>
        <v>Low</v>
      </c>
      <c r="AR982" t="str">
        <f t="shared" si="158"/>
        <v>Short</v>
      </c>
      <c r="AS982">
        <f t="shared" si="159"/>
        <v>1</v>
      </c>
    </row>
    <row r="983" spans="1:4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s="20">
        <v>4614</v>
      </c>
      <c r="T983">
        <v>23288</v>
      </c>
      <c r="U983">
        <v>0</v>
      </c>
      <c r="V983" t="s">
        <v>42</v>
      </c>
      <c r="W983" t="s">
        <v>35</v>
      </c>
      <c r="X983" s="19">
        <v>18</v>
      </c>
      <c r="Y983">
        <v>3</v>
      </c>
      <c r="Z983">
        <v>3</v>
      </c>
      <c r="AA983">
        <v>80</v>
      </c>
      <c r="AB983">
        <v>1</v>
      </c>
      <c r="AC983">
        <v>5</v>
      </c>
      <c r="AD983">
        <v>0</v>
      </c>
      <c r="AE983">
        <v>2</v>
      </c>
      <c r="AF983">
        <v>4</v>
      </c>
      <c r="AG983">
        <v>2</v>
      </c>
      <c r="AH983">
        <v>3</v>
      </c>
      <c r="AI983">
        <v>2</v>
      </c>
      <c r="AJ983">
        <f t="shared" si="150"/>
        <v>1</v>
      </c>
      <c r="AK983">
        <f t="shared" si="151"/>
        <v>1</v>
      </c>
      <c r="AL983">
        <f t="shared" si="152"/>
        <v>0</v>
      </c>
      <c r="AM983">
        <f t="shared" si="153"/>
        <v>3</v>
      </c>
      <c r="AN983">
        <f t="shared" si="154"/>
        <v>11073.6</v>
      </c>
      <c r="AO983">
        <f t="shared" si="155"/>
        <v>0.66666666666666663</v>
      </c>
      <c r="AP983" t="str">
        <f t="shared" si="156"/>
        <v>30-39</v>
      </c>
      <c r="AQ983" t="str">
        <f t="shared" si="157"/>
        <v>Medium</v>
      </c>
      <c r="AR983" t="str">
        <f t="shared" si="158"/>
        <v>Long</v>
      </c>
      <c r="AS983">
        <f t="shared" si="159"/>
        <v>1</v>
      </c>
    </row>
    <row r="984" spans="1:4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s="20">
        <v>2610</v>
      </c>
      <c r="T984">
        <v>15748</v>
      </c>
      <c r="U984">
        <v>1</v>
      </c>
      <c r="V984" t="s">
        <v>42</v>
      </c>
      <c r="W984" t="s">
        <v>43</v>
      </c>
      <c r="X984" s="19">
        <v>11</v>
      </c>
      <c r="Y984">
        <v>3</v>
      </c>
      <c r="Z984">
        <v>4</v>
      </c>
      <c r="AA984">
        <v>80</v>
      </c>
      <c r="AB984">
        <v>3</v>
      </c>
      <c r="AC984">
        <v>4</v>
      </c>
      <c r="AD984">
        <v>2</v>
      </c>
      <c r="AE984">
        <v>3</v>
      </c>
      <c r="AF984">
        <v>4</v>
      </c>
      <c r="AG984">
        <v>2</v>
      </c>
      <c r="AH984">
        <v>0</v>
      </c>
      <c r="AI984">
        <v>3</v>
      </c>
      <c r="AJ984">
        <f t="shared" si="150"/>
        <v>0</v>
      </c>
      <c r="AK984">
        <f t="shared" si="151"/>
        <v>0</v>
      </c>
      <c r="AL984">
        <f t="shared" si="152"/>
        <v>1</v>
      </c>
      <c r="AM984">
        <f t="shared" si="153"/>
        <v>3.5</v>
      </c>
      <c r="AN984">
        <f t="shared" si="154"/>
        <v>6264</v>
      </c>
      <c r="AO984">
        <f t="shared" si="155"/>
        <v>0.8</v>
      </c>
      <c r="AP984" t="str">
        <f t="shared" si="156"/>
        <v>30-39</v>
      </c>
      <c r="AQ984" t="str">
        <f t="shared" si="157"/>
        <v>Low</v>
      </c>
      <c r="AR984" t="str">
        <f t="shared" si="158"/>
        <v>Medium</v>
      </c>
      <c r="AS984">
        <f t="shared" si="159"/>
        <v>1</v>
      </c>
    </row>
    <row r="985" spans="1:4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s="20">
        <v>6687</v>
      </c>
      <c r="T985">
        <v>6163</v>
      </c>
      <c r="U985">
        <v>1</v>
      </c>
      <c r="V985" t="s">
        <v>42</v>
      </c>
      <c r="W985" t="s">
        <v>43</v>
      </c>
      <c r="X985" s="19">
        <v>11</v>
      </c>
      <c r="Y985">
        <v>3</v>
      </c>
      <c r="Z985">
        <v>4</v>
      </c>
      <c r="AA985">
        <v>80</v>
      </c>
      <c r="AB985">
        <v>0</v>
      </c>
      <c r="AC985">
        <v>14</v>
      </c>
      <c r="AD985">
        <v>2</v>
      </c>
      <c r="AE985">
        <v>4</v>
      </c>
      <c r="AF985">
        <v>14</v>
      </c>
      <c r="AG985">
        <v>11</v>
      </c>
      <c r="AH985">
        <v>4</v>
      </c>
      <c r="AI985">
        <v>11</v>
      </c>
      <c r="AJ985">
        <f t="shared" si="150"/>
        <v>0</v>
      </c>
      <c r="AK985">
        <f t="shared" si="151"/>
        <v>0</v>
      </c>
      <c r="AL985">
        <f t="shared" si="152"/>
        <v>0</v>
      </c>
      <c r="AM985">
        <f t="shared" si="153"/>
        <v>3.75</v>
      </c>
      <c r="AN985">
        <f t="shared" si="154"/>
        <v>5349.6</v>
      </c>
      <c r="AO985">
        <f t="shared" si="155"/>
        <v>0.93333333333333335</v>
      </c>
      <c r="AP985" t="str">
        <f t="shared" si="156"/>
        <v>30-39</v>
      </c>
      <c r="AQ985" t="str">
        <f t="shared" si="157"/>
        <v>High</v>
      </c>
      <c r="AR985" t="str">
        <f t="shared" si="158"/>
        <v>Short</v>
      </c>
      <c r="AS985">
        <f t="shared" si="159"/>
        <v>0</v>
      </c>
    </row>
    <row r="986" spans="1:4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s="20">
        <v>4724</v>
      </c>
      <c r="T986">
        <v>24232</v>
      </c>
      <c r="U986">
        <v>1</v>
      </c>
      <c r="V986" t="s">
        <v>42</v>
      </c>
      <c r="W986" t="s">
        <v>43</v>
      </c>
      <c r="X986" s="19">
        <v>11</v>
      </c>
      <c r="Y986">
        <v>3</v>
      </c>
      <c r="Z986">
        <v>3</v>
      </c>
      <c r="AA986">
        <v>80</v>
      </c>
      <c r="AB986">
        <v>1</v>
      </c>
      <c r="AC986">
        <v>5</v>
      </c>
      <c r="AD986">
        <v>0</v>
      </c>
      <c r="AE986">
        <v>3</v>
      </c>
      <c r="AF986">
        <v>5</v>
      </c>
      <c r="AG986">
        <v>3</v>
      </c>
      <c r="AH986">
        <v>0</v>
      </c>
      <c r="AI986">
        <v>4</v>
      </c>
      <c r="AJ986">
        <f t="shared" si="150"/>
        <v>0</v>
      </c>
      <c r="AK986">
        <f t="shared" si="151"/>
        <v>0</v>
      </c>
      <c r="AL986">
        <f t="shared" si="152"/>
        <v>1</v>
      </c>
      <c r="AM986">
        <f t="shared" si="153"/>
        <v>2.5</v>
      </c>
      <c r="AN986">
        <f t="shared" si="154"/>
        <v>9448</v>
      </c>
      <c r="AO986">
        <f t="shared" si="155"/>
        <v>0.83333333333333337</v>
      </c>
      <c r="AP986" t="str">
        <f t="shared" si="156"/>
        <v>Under 30</v>
      </c>
      <c r="AQ986" t="str">
        <f t="shared" si="157"/>
        <v>Medium</v>
      </c>
      <c r="AR986" t="str">
        <f t="shared" si="158"/>
        <v>Long</v>
      </c>
      <c r="AS986">
        <f t="shared" si="159"/>
        <v>0</v>
      </c>
    </row>
    <row r="987" spans="1:4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s="20">
        <v>6179</v>
      </c>
      <c r="T987">
        <v>21057</v>
      </c>
      <c r="U987">
        <v>1</v>
      </c>
      <c r="V987" t="s">
        <v>42</v>
      </c>
      <c r="W987" t="s">
        <v>35</v>
      </c>
      <c r="X987" s="19">
        <v>15</v>
      </c>
      <c r="Y987">
        <v>3</v>
      </c>
      <c r="Z987">
        <v>4</v>
      </c>
      <c r="AA987">
        <v>80</v>
      </c>
      <c r="AB987">
        <v>2</v>
      </c>
      <c r="AC987">
        <v>10</v>
      </c>
      <c r="AD987">
        <v>3</v>
      </c>
      <c r="AE987">
        <v>2</v>
      </c>
      <c r="AF987">
        <v>10</v>
      </c>
      <c r="AG987">
        <v>2</v>
      </c>
      <c r="AH987">
        <v>6</v>
      </c>
      <c r="AI987">
        <v>7</v>
      </c>
      <c r="AJ987">
        <f t="shared" si="150"/>
        <v>1</v>
      </c>
      <c r="AK987">
        <f t="shared" si="151"/>
        <v>1</v>
      </c>
      <c r="AL987">
        <f t="shared" si="152"/>
        <v>1</v>
      </c>
      <c r="AM987">
        <f t="shared" si="153"/>
        <v>3.25</v>
      </c>
      <c r="AN987">
        <f t="shared" si="154"/>
        <v>6740.727272727273</v>
      </c>
      <c r="AO987">
        <f t="shared" si="155"/>
        <v>0.90909090909090906</v>
      </c>
      <c r="AP987" t="str">
        <f t="shared" si="156"/>
        <v>30-39</v>
      </c>
      <c r="AQ987" t="str">
        <f t="shared" si="157"/>
        <v>High</v>
      </c>
      <c r="AR987" t="str">
        <f t="shared" si="158"/>
        <v>Long</v>
      </c>
      <c r="AS987">
        <f t="shared" si="159"/>
        <v>0</v>
      </c>
    </row>
    <row r="988" spans="1:4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s="20">
        <v>6120</v>
      </c>
      <c r="T988">
        <v>3567</v>
      </c>
      <c r="U988">
        <v>3</v>
      </c>
      <c r="V988" t="s">
        <v>42</v>
      </c>
      <c r="W988" t="s">
        <v>35</v>
      </c>
      <c r="X988" s="19">
        <v>12</v>
      </c>
      <c r="Y988">
        <v>3</v>
      </c>
      <c r="Z988">
        <v>4</v>
      </c>
      <c r="AA988">
        <v>80</v>
      </c>
      <c r="AB988">
        <v>2</v>
      </c>
      <c r="AC988">
        <v>8</v>
      </c>
      <c r="AD988">
        <v>2</v>
      </c>
      <c r="AE988">
        <v>4</v>
      </c>
      <c r="AF988">
        <v>5</v>
      </c>
      <c r="AG988">
        <v>4</v>
      </c>
      <c r="AH988">
        <v>1</v>
      </c>
      <c r="AI988">
        <v>4</v>
      </c>
      <c r="AJ988">
        <f t="shared" si="150"/>
        <v>0</v>
      </c>
      <c r="AK988">
        <f t="shared" si="151"/>
        <v>1</v>
      </c>
      <c r="AL988">
        <f t="shared" si="152"/>
        <v>1</v>
      </c>
      <c r="AM988">
        <f t="shared" si="153"/>
        <v>3.25</v>
      </c>
      <c r="AN988">
        <f t="shared" si="154"/>
        <v>12240</v>
      </c>
      <c r="AO988">
        <f t="shared" si="155"/>
        <v>0.55555555555555558</v>
      </c>
      <c r="AP988" t="str">
        <f t="shared" si="156"/>
        <v>30-39</v>
      </c>
      <c r="AQ988" t="str">
        <f t="shared" si="157"/>
        <v>High</v>
      </c>
      <c r="AR988" t="str">
        <f t="shared" si="158"/>
        <v>Long</v>
      </c>
      <c r="AS988">
        <f t="shared" si="159"/>
        <v>0</v>
      </c>
    </row>
    <row r="989" spans="1:4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s="20">
        <v>10596</v>
      </c>
      <c r="T989">
        <v>15395</v>
      </c>
      <c r="U989">
        <v>2</v>
      </c>
      <c r="V989" t="s">
        <v>42</v>
      </c>
      <c r="W989" t="s">
        <v>43</v>
      </c>
      <c r="X989" s="19">
        <v>11</v>
      </c>
      <c r="Y989">
        <v>3</v>
      </c>
      <c r="Z989">
        <v>2</v>
      </c>
      <c r="AA989">
        <v>80</v>
      </c>
      <c r="AB989">
        <v>0</v>
      </c>
      <c r="AC989">
        <v>14</v>
      </c>
      <c r="AD989">
        <v>5</v>
      </c>
      <c r="AE989">
        <v>3</v>
      </c>
      <c r="AF989">
        <v>4</v>
      </c>
      <c r="AG989">
        <v>2</v>
      </c>
      <c r="AH989">
        <v>3</v>
      </c>
      <c r="AI989">
        <v>2</v>
      </c>
      <c r="AJ989">
        <f t="shared" si="150"/>
        <v>0</v>
      </c>
      <c r="AK989">
        <f t="shared" si="151"/>
        <v>0</v>
      </c>
      <c r="AL989">
        <f t="shared" si="152"/>
        <v>1</v>
      </c>
      <c r="AM989">
        <f t="shared" si="153"/>
        <v>2.25</v>
      </c>
      <c r="AN989">
        <f t="shared" si="154"/>
        <v>25430.400000000001</v>
      </c>
      <c r="AO989">
        <f t="shared" si="155"/>
        <v>0.26666666666666666</v>
      </c>
      <c r="AP989" t="str">
        <f t="shared" si="156"/>
        <v>50+</v>
      </c>
      <c r="AQ989" t="str">
        <f t="shared" si="157"/>
        <v>Very High</v>
      </c>
      <c r="AR989" t="str">
        <f t="shared" si="158"/>
        <v>Short</v>
      </c>
      <c r="AS989">
        <f t="shared" si="159"/>
        <v>1</v>
      </c>
    </row>
    <row r="990" spans="1:4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s="20">
        <v>5467</v>
      </c>
      <c r="T990">
        <v>13953</v>
      </c>
      <c r="U990">
        <v>3</v>
      </c>
      <c r="V990" t="s">
        <v>42</v>
      </c>
      <c r="W990" t="s">
        <v>35</v>
      </c>
      <c r="X990" s="19">
        <v>14</v>
      </c>
      <c r="Y990">
        <v>3</v>
      </c>
      <c r="Z990">
        <v>1</v>
      </c>
      <c r="AA990">
        <v>80</v>
      </c>
      <c r="AB990">
        <v>2</v>
      </c>
      <c r="AC990">
        <v>12</v>
      </c>
      <c r="AD990">
        <v>4</v>
      </c>
      <c r="AE990">
        <v>2</v>
      </c>
      <c r="AF990">
        <v>6</v>
      </c>
      <c r="AG990">
        <v>2</v>
      </c>
      <c r="AH990">
        <v>3</v>
      </c>
      <c r="AI990">
        <v>3</v>
      </c>
      <c r="AJ990">
        <f t="shared" si="150"/>
        <v>0</v>
      </c>
      <c r="AK990">
        <f t="shared" si="151"/>
        <v>1</v>
      </c>
      <c r="AL990">
        <f t="shared" si="152"/>
        <v>0</v>
      </c>
      <c r="AM990">
        <f t="shared" si="153"/>
        <v>2.75</v>
      </c>
      <c r="AN990">
        <f t="shared" si="154"/>
        <v>9372</v>
      </c>
      <c r="AO990">
        <f t="shared" si="155"/>
        <v>0.46153846153846156</v>
      </c>
      <c r="AP990" t="str">
        <f t="shared" si="156"/>
        <v>40-49</v>
      </c>
      <c r="AQ990" t="str">
        <f t="shared" si="157"/>
        <v>High</v>
      </c>
      <c r="AR990" t="str">
        <f t="shared" si="158"/>
        <v>Long</v>
      </c>
      <c r="AS990">
        <f t="shared" si="159"/>
        <v>1</v>
      </c>
    </row>
    <row r="991" spans="1:4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s="20">
        <v>2996</v>
      </c>
      <c r="T991">
        <v>5182</v>
      </c>
      <c r="U991">
        <v>7</v>
      </c>
      <c r="V991" t="s">
        <v>42</v>
      </c>
      <c r="W991" t="s">
        <v>35</v>
      </c>
      <c r="X991" s="19">
        <v>15</v>
      </c>
      <c r="Y991">
        <v>3</v>
      </c>
      <c r="Z991">
        <v>4</v>
      </c>
      <c r="AA991">
        <v>80</v>
      </c>
      <c r="AB991">
        <v>0</v>
      </c>
      <c r="AC991">
        <v>8</v>
      </c>
      <c r="AD991">
        <v>2</v>
      </c>
      <c r="AE991">
        <v>3</v>
      </c>
      <c r="AF991">
        <v>6</v>
      </c>
      <c r="AG991">
        <v>4</v>
      </c>
      <c r="AH991">
        <v>1</v>
      </c>
      <c r="AI991">
        <v>3</v>
      </c>
      <c r="AJ991">
        <f t="shared" si="150"/>
        <v>0</v>
      </c>
      <c r="AK991">
        <f t="shared" si="151"/>
        <v>1</v>
      </c>
      <c r="AL991">
        <f t="shared" si="152"/>
        <v>1</v>
      </c>
      <c r="AM991">
        <f t="shared" si="153"/>
        <v>3.25</v>
      </c>
      <c r="AN991">
        <f t="shared" si="154"/>
        <v>5136</v>
      </c>
      <c r="AO991">
        <f t="shared" si="155"/>
        <v>0.66666666666666663</v>
      </c>
      <c r="AP991" t="str">
        <f t="shared" si="156"/>
        <v>30-39</v>
      </c>
      <c r="AQ991" t="str">
        <f t="shared" si="157"/>
        <v>Medium</v>
      </c>
      <c r="AR991" t="str">
        <f t="shared" si="158"/>
        <v>Short</v>
      </c>
      <c r="AS991">
        <f t="shared" si="159"/>
        <v>0</v>
      </c>
    </row>
    <row r="992" spans="1:4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s="20">
        <v>9998</v>
      </c>
      <c r="T992">
        <v>19293</v>
      </c>
      <c r="U992">
        <v>6</v>
      </c>
      <c r="V992" t="s">
        <v>42</v>
      </c>
      <c r="W992" t="s">
        <v>43</v>
      </c>
      <c r="X992" s="19">
        <v>13</v>
      </c>
      <c r="Y992">
        <v>3</v>
      </c>
      <c r="Z992">
        <v>1</v>
      </c>
      <c r="AA992">
        <v>80</v>
      </c>
      <c r="AB992">
        <v>0</v>
      </c>
      <c r="AC992">
        <v>8</v>
      </c>
      <c r="AD992">
        <v>2</v>
      </c>
      <c r="AE992">
        <v>4</v>
      </c>
      <c r="AF992">
        <v>5</v>
      </c>
      <c r="AG992">
        <v>4</v>
      </c>
      <c r="AH992">
        <v>1</v>
      </c>
      <c r="AI992">
        <v>2</v>
      </c>
      <c r="AJ992">
        <f t="shared" si="150"/>
        <v>0</v>
      </c>
      <c r="AK992">
        <f t="shared" si="151"/>
        <v>0</v>
      </c>
      <c r="AL992">
        <f t="shared" si="152"/>
        <v>1</v>
      </c>
      <c r="AM992">
        <f t="shared" si="153"/>
        <v>2.75</v>
      </c>
      <c r="AN992">
        <f t="shared" si="154"/>
        <v>19996</v>
      </c>
      <c r="AO992">
        <f t="shared" si="155"/>
        <v>0.55555555555555558</v>
      </c>
      <c r="AP992" t="str">
        <f t="shared" si="156"/>
        <v>30-39</v>
      </c>
      <c r="AQ992" t="str">
        <f t="shared" si="157"/>
        <v>Very High</v>
      </c>
      <c r="AR992" t="str">
        <f t="shared" si="158"/>
        <v>Short</v>
      </c>
      <c r="AS992">
        <f t="shared" si="159"/>
        <v>1</v>
      </c>
    </row>
    <row r="993" spans="1:4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s="20">
        <v>4078</v>
      </c>
      <c r="T993">
        <v>20497</v>
      </c>
      <c r="U993">
        <v>0</v>
      </c>
      <c r="V993" t="s">
        <v>42</v>
      </c>
      <c r="W993" t="s">
        <v>35</v>
      </c>
      <c r="X993" s="19">
        <v>13</v>
      </c>
      <c r="Y993">
        <v>3</v>
      </c>
      <c r="Z993">
        <v>1</v>
      </c>
      <c r="AA993">
        <v>80</v>
      </c>
      <c r="AB993">
        <v>3</v>
      </c>
      <c r="AC993">
        <v>4</v>
      </c>
      <c r="AD993">
        <v>3</v>
      </c>
      <c r="AE993">
        <v>2</v>
      </c>
      <c r="AF993">
        <v>3</v>
      </c>
      <c r="AG993">
        <v>2</v>
      </c>
      <c r="AH993">
        <v>1</v>
      </c>
      <c r="AI993">
        <v>2</v>
      </c>
      <c r="AJ993">
        <f t="shared" si="150"/>
        <v>0</v>
      </c>
      <c r="AK993">
        <f t="shared" si="151"/>
        <v>1</v>
      </c>
      <c r="AL993">
        <f t="shared" si="152"/>
        <v>1</v>
      </c>
      <c r="AM993">
        <f t="shared" si="153"/>
        <v>2</v>
      </c>
      <c r="AN993">
        <f t="shared" si="154"/>
        <v>12234</v>
      </c>
      <c r="AO993">
        <f t="shared" si="155"/>
        <v>0.6</v>
      </c>
      <c r="AP993" t="str">
        <f t="shared" si="156"/>
        <v>30-39</v>
      </c>
      <c r="AQ993" t="str">
        <f t="shared" si="157"/>
        <v>Medium</v>
      </c>
      <c r="AR993" t="str">
        <f t="shared" si="158"/>
        <v>Short</v>
      </c>
      <c r="AS993">
        <f t="shared" si="159"/>
        <v>0</v>
      </c>
    </row>
    <row r="994" spans="1:4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s="20">
        <v>10920</v>
      </c>
      <c r="T994">
        <v>3449</v>
      </c>
      <c r="U994">
        <v>3</v>
      </c>
      <c r="V994" t="s">
        <v>42</v>
      </c>
      <c r="W994" t="s">
        <v>43</v>
      </c>
      <c r="X994" s="19">
        <v>21</v>
      </c>
      <c r="Y994">
        <v>4</v>
      </c>
      <c r="Z994">
        <v>2</v>
      </c>
      <c r="AA994">
        <v>80</v>
      </c>
      <c r="AB994">
        <v>1</v>
      </c>
      <c r="AC994">
        <v>13</v>
      </c>
      <c r="AD994">
        <v>2</v>
      </c>
      <c r="AE994">
        <v>3</v>
      </c>
      <c r="AF994">
        <v>6</v>
      </c>
      <c r="AG994">
        <v>4</v>
      </c>
      <c r="AH994">
        <v>0</v>
      </c>
      <c r="AI994">
        <v>5</v>
      </c>
      <c r="AJ994">
        <f t="shared" si="150"/>
        <v>0</v>
      </c>
      <c r="AK994">
        <f t="shared" si="151"/>
        <v>0</v>
      </c>
      <c r="AL994">
        <f t="shared" si="152"/>
        <v>1</v>
      </c>
      <c r="AM994">
        <f t="shared" si="153"/>
        <v>2.75</v>
      </c>
      <c r="AN994">
        <f t="shared" si="154"/>
        <v>18720</v>
      </c>
      <c r="AO994">
        <f t="shared" si="155"/>
        <v>0.42857142857142855</v>
      </c>
      <c r="AP994" t="str">
        <f t="shared" si="156"/>
        <v>30-39</v>
      </c>
      <c r="AQ994" t="str">
        <f t="shared" si="157"/>
        <v>Very High</v>
      </c>
      <c r="AR994" t="str">
        <f t="shared" si="158"/>
        <v>Long</v>
      </c>
      <c r="AS994">
        <f t="shared" si="159"/>
        <v>0</v>
      </c>
    </row>
    <row r="995" spans="1:4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s="20">
        <v>6232</v>
      </c>
      <c r="T995">
        <v>12477</v>
      </c>
      <c r="U995">
        <v>2</v>
      </c>
      <c r="V995" t="s">
        <v>42</v>
      </c>
      <c r="W995" t="s">
        <v>43</v>
      </c>
      <c r="X995" s="19">
        <v>11</v>
      </c>
      <c r="Y995">
        <v>3</v>
      </c>
      <c r="Z995">
        <v>2</v>
      </c>
      <c r="AA995">
        <v>80</v>
      </c>
      <c r="AB995">
        <v>0</v>
      </c>
      <c r="AC995">
        <v>6</v>
      </c>
      <c r="AD995">
        <v>3</v>
      </c>
      <c r="AE995">
        <v>2</v>
      </c>
      <c r="AF995">
        <v>3</v>
      </c>
      <c r="AG995">
        <v>2</v>
      </c>
      <c r="AH995">
        <v>1</v>
      </c>
      <c r="AI995">
        <v>2</v>
      </c>
      <c r="AJ995">
        <f t="shared" si="150"/>
        <v>0</v>
      </c>
      <c r="AK995">
        <f t="shared" si="151"/>
        <v>0</v>
      </c>
      <c r="AL995">
        <f t="shared" si="152"/>
        <v>1</v>
      </c>
      <c r="AM995">
        <f t="shared" si="153"/>
        <v>2</v>
      </c>
      <c r="AN995">
        <f t="shared" si="154"/>
        <v>18696</v>
      </c>
      <c r="AO995">
        <f t="shared" si="155"/>
        <v>0.42857142857142855</v>
      </c>
      <c r="AP995" t="str">
        <f t="shared" si="156"/>
        <v>Under 30</v>
      </c>
      <c r="AQ995" t="str">
        <f t="shared" si="157"/>
        <v>High</v>
      </c>
      <c r="AR995" t="str">
        <f t="shared" si="158"/>
        <v>Long</v>
      </c>
      <c r="AS995">
        <f t="shared" si="159"/>
        <v>0</v>
      </c>
    </row>
    <row r="996" spans="1:4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s="20">
        <v>13247</v>
      </c>
      <c r="T996">
        <v>9731</v>
      </c>
      <c r="U996">
        <v>2</v>
      </c>
      <c r="V996" t="s">
        <v>42</v>
      </c>
      <c r="W996" t="s">
        <v>35</v>
      </c>
      <c r="X996" s="19">
        <v>11</v>
      </c>
      <c r="Y996">
        <v>3</v>
      </c>
      <c r="Z996">
        <v>2</v>
      </c>
      <c r="AA996">
        <v>80</v>
      </c>
      <c r="AB996">
        <v>1</v>
      </c>
      <c r="AC996">
        <v>24</v>
      </c>
      <c r="AD996">
        <v>3</v>
      </c>
      <c r="AE996">
        <v>2</v>
      </c>
      <c r="AF996">
        <v>5</v>
      </c>
      <c r="AG996">
        <v>3</v>
      </c>
      <c r="AH996">
        <v>0</v>
      </c>
      <c r="AI996">
        <v>2</v>
      </c>
      <c r="AJ996">
        <f t="shared" si="150"/>
        <v>0</v>
      </c>
      <c r="AK996">
        <f t="shared" si="151"/>
        <v>1</v>
      </c>
      <c r="AL996">
        <f t="shared" si="152"/>
        <v>0</v>
      </c>
      <c r="AM996">
        <f t="shared" si="153"/>
        <v>2.75</v>
      </c>
      <c r="AN996">
        <f t="shared" si="154"/>
        <v>26494</v>
      </c>
      <c r="AO996">
        <f t="shared" si="155"/>
        <v>0.2</v>
      </c>
      <c r="AP996" t="str">
        <f t="shared" si="156"/>
        <v>50+</v>
      </c>
      <c r="AQ996" t="str">
        <f t="shared" si="157"/>
        <v>Very High</v>
      </c>
      <c r="AR996" t="str">
        <f t="shared" si="158"/>
        <v>Long</v>
      </c>
      <c r="AS996">
        <f t="shared" si="159"/>
        <v>1</v>
      </c>
    </row>
    <row r="997" spans="1:4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s="20">
        <v>4081</v>
      </c>
      <c r="T997">
        <v>20003</v>
      </c>
      <c r="U997">
        <v>1</v>
      </c>
      <c r="V997" t="s">
        <v>42</v>
      </c>
      <c r="W997" t="s">
        <v>35</v>
      </c>
      <c r="X997" s="19">
        <v>14</v>
      </c>
      <c r="Y997">
        <v>3</v>
      </c>
      <c r="Z997">
        <v>1</v>
      </c>
      <c r="AA997">
        <v>80</v>
      </c>
      <c r="AB997">
        <v>0</v>
      </c>
      <c r="AC997">
        <v>20</v>
      </c>
      <c r="AD997">
        <v>3</v>
      </c>
      <c r="AE997">
        <v>1</v>
      </c>
      <c r="AF997">
        <v>20</v>
      </c>
      <c r="AG997">
        <v>7</v>
      </c>
      <c r="AH997">
        <v>1</v>
      </c>
      <c r="AI997">
        <v>8</v>
      </c>
      <c r="AJ997">
        <f t="shared" si="150"/>
        <v>0</v>
      </c>
      <c r="AK997">
        <f t="shared" si="151"/>
        <v>1</v>
      </c>
      <c r="AL997">
        <f t="shared" si="152"/>
        <v>0</v>
      </c>
      <c r="AM997">
        <f t="shared" si="153"/>
        <v>1.5</v>
      </c>
      <c r="AN997">
        <f t="shared" si="154"/>
        <v>2332</v>
      </c>
      <c r="AO997">
        <f t="shared" si="155"/>
        <v>0.95238095238095233</v>
      </c>
      <c r="AP997" t="str">
        <f t="shared" si="156"/>
        <v>40-49</v>
      </c>
      <c r="AQ997" t="str">
        <f t="shared" si="157"/>
        <v>Medium</v>
      </c>
      <c r="AR997" t="str">
        <f t="shared" si="158"/>
        <v>Medium</v>
      </c>
      <c r="AS997">
        <f t="shared" si="159"/>
        <v>0</v>
      </c>
    </row>
    <row r="998" spans="1:4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s="20">
        <v>5769</v>
      </c>
      <c r="T998">
        <v>7100</v>
      </c>
      <c r="U998">
        <v>1</v>
      </c>
      <c r="V998" t="s">
        <v>42</v>
      </c>
      <c r="W998" t="s">
        <v>35</v>
      </c>
      <c r="X998" s="19">
        <v>11</v>
      </c>
      <c r="Y998">
        <v>3</v>
      </c>
      <c r="Z998">
        <v>4</v>
      </c>
      <c r="AA998">
        <v>80</v>
      </c>
      <c r="AB998">
        <v>0</v>
      </c>
      <c r="AC998">
        <v>6</v>
      </c>
      <c r="AD998">
        <v>3</v>
      </c>
      <c r="AE998">
        <v>3</v>
      </c>
      <c r="AF998">
        <v>6</v>
      </c>
      <c r="AG998">
        <v>2</v>
      </c>
      <c r="AH998">
        <v>4</v>
      </c>
      <c r="AI998">
        <v>4</v>
      </c>
      <c r="AJ998">
        <f t="shared" si="150"/>
        <v>0</v>
      </c>
      <c r="AK998">
        <f t="shared" si="151"/>
        <v>1</v>
      </c>
      <c r="AL998">
        <f t="shared" si="152"/>
        <v>0</v>
      </c>
      <c r="AM998">
        <f t="shared" si="153"/>
        <v>3.75</v>
      </c>
      <c r="AN998">
        <f t="shared" si="154"/>
        <v>9889.7142857142862</v>
      </c>
      <c r="AO998">
        <f t="shared" si="155"/>
        <v>0.8571428571428571</v>
      </c>
      <c r="AP998" t="str">
        <f t="shared" si="156"/>
        <v>Under 30</v>
      </c>
      <c r="AQ998" t="str">
        <f t="shared" si="157"/>
        <v>High</v>
      </c>
      <c r="AR998" t="str">
        <f t="shared" si="158"/>
        <v>Medium</v>
      </c>
      <c r="AS998">
        <f t="shared" si="159"/>
        <v>0</v>
      </c>
    </row>
    <row r="999" spans="1:4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s="20">
        <v>2394</v>
      </c>
      <c r="T999">
        <v>25681</v>
      </c>
      <c r="U999">
        <v>1</v>
      </c>
      <c r="V999" t="s">
        <v>42</v>
      </c>
      <c r="W999" t="s">
        <v>35</v>
      </c>
      <c r="X999" s="19">
        <v>13</v>
      </c>
      <c r="Y999">
        <v>3</v>
      </c>
      <c r="Z999">
        <v>4</v>
      </c>
      <c r="AA999">
        <v>80</v>
      </c>
      <c r="AB999">
        <v>0</v>
      </c>
      <c r="AC999">
        <v>8</v>
      </c>
      <c r="AD999">
        <v>2</v>
      </c>
      <c r="AE999">
        <v>3</v>
      </c>
      <c r="AF999">
        <v>8</v>
      </c>
      <c r="AG999">
        <v>2</v>
      </c>
      <c r="AH999">
        <v>7</v>
      </c>
      <c r="AI999">
        <v>7</v>
      </c>
      <c r="AJ999">
        <f t="shared" si="150"/>
        <v>1</v>
      </c>
      <c r="AK999">
        <f t="shared" si="151"/>
        <v>1</v>
      </c>
      <c r="AL999">
        <f t="shared" si="152"/>
        <v>0</v>
      </c>
      <c r="AM999">
        <f t="shared" si="153"/>
        <v>3.5</v>
      </c>
      <c r="AN999">
        <f t="shared" si="154"/>
        <v>3192</v>
      </c>
      <c r="AO999">
        <f t="shared" si="155"/>
        <v>0.88888888888888884</v>
      </c>
      <c r="AP999" t="str">
        <f t="shared" si="156"/>
        <v>Under 30</v>
      </c>
      <c r="AQ999" t="str">
        <f t="shared" si="157"/>
        <v>Low</v>
      </c>
      <c r="AR999" t="str">
        <f t="shared" si="158"/>
        <v>Long</v>
      </c>
      <c r="AS999">
        <f t="shared" si="159"/>
        <v>0</v>
      </c>
    </row>
    <row r="1000" spans="1:4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s="20">
        <v>3904</v>
      </c>
      <c r="T1000">
        <v>4050</v>
      </c>
      <c r="U1000">
        <v>0</v>
      </c>
      <c r="V1000" t="s">
        <v>42</v>
      </c>
      <c r="W1000" t="s">
        <v>43</v>
      </c>
      <c r="X1000" s="19">
        <v>12</v>
      </c>
      <c r="Y1000">
        <v>3</v>
      </c>
      <c r="Z1000">
        <v>4</v>
      </c>
      <c r="AA1000">
        <v>80</v>
      </c>
      <c r="AB1000">
        <v>0</v>
      </c>
      <c r="AC1000">
        <v>5</v>
      </c>
      <c r="AD1000">
        <v>2</v>
      </c>
      <c r="AE1000">
        <v>3</v>
      </c>
      <c r="AF1000">
        <v>4</v>
      </c>
      <c r="AG1000">
        <v>3</v>
      </c>
      <c r="AH1000">
        <v>1</v>
      </c>
      <c r="AI1000">
        <v>1</v>
      </c>
      <c r="AJ1000">
        <f t="shared" si="150"/>
        <v>0</v>
      </c>
      <c r="AK1000">
        <f t="shared" si="151"/>
        <v>0</v>
      </c>
      <c r="AL1000">
        <f t="shared" si="152"/>
        <v>1</v>
      </c>
      <c r="AM1000">
        <f t="shared" si="153"/>
        <v>3</v>
      </c>
      <c r="AN1000">
        <f t="shared" si="154"/>
        <v>9369.6</v>
      </c>
      <c r="AO1000">
        <f t="shared" si="155"/>
        <v>0.66666666666666663</v>
      </c>
      <c r="AP1000" t="str">
        <f t="shared" si="156"/>
        <v>Under 30</v>
      </c>
      <c r="AQ1000" t="str">
        <f t="shared" si="157"/>
        <v>Medium</v>
      </c>
      <c r="AR1000" t="str">
        <f t="shared" si="158"/>
        <v>Short</v>
      </c>
      <c r="AS1000">
        <f t="shared" si="159"/>
        <v>0</v>
      </c>
    </row>
    <row r="1001" spans="1:4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s="20">
        <v>16799</v>
      </c>
      <c r="T1001">
        <v>16616</v>
      </c>
      <c r="U1001">
        <v>0</v>
      </c>
      <c r="V1001" t="s">
        <v>42</v>
      </c>
      <c r="W1001" t="s">
        <v>43</v>
      </c>
      <c r="X1001" s="19">
        <v>14</v>
      </c>
      <c r="Y1001">
        <v>3</v>
      </c>
      <c r="Z1001">
        <v>3</v>
      </c>
      <c r="AA1001">
        <v>80</v>
      </c>
      <c r="AB1001">
        <v>1</v>
      </c>
      <c r="AC1001">
        <v>21</v>
      </c>
      <c r="AD1001">
        <v>5</v>
      </c>
      <c r="AE1001">
        <v>3</v>
      </c>
      <c r="AF1001">
        <v>20</v>
      </c>
      <c r="AG1001">
        <v>7</v>
      </c>
      <c r="AH1001">
        <v>0</v>
      </c>
      <c r="AI1001">
        <v>9</v>
      </c>
      <c r="AJ1001">
        <f t="shared" si="150"/>
        <v>0</v>
      </c>
      <c r="AK1001">
        <f t="shared" si="151"/>
        <v>0</v>
      </c>
      <c r="AL1001">
        <f t="shared" si="152"/>
        <v>0</v>
      </c>
      <c r="AM1001">
        <f t="shared" si="153"/>
        <v>2.5</v>
      </c>
      <c r="AN1001">
        <f t="shared" si="154"/>
        <v>9599.4285714285706</v>
      </c>
      <c r="AO1001">
        <f t="shared" si="155"/>
        <v>0.90909090909090906</v>
      </c>
      <c r="AP1001" t="str">
        <f t="shared" si="156"/>
        <v>40-49</v>
      </c>
      <c r="AQ1001" t="str">
        <f t="shared" si="157"/>
        <v>Very High</v>
      </c>
      <c r="AR1001" t="str">
        <f t="shared" si="158"/>
        <v>Medium</v>
      </c>
      <c r="AS1001">
        <f t="shared" si="159"/>
        <v>0</v>
      </c>
    </row>
    <row r="1002" spans="1:45" x14ac:dyDescent="0.3">
      <c r="A1002">
        <v>52</v>
      </c>
      <c r="B1002" t="s">
        <v>43</v>
      </c>
      <c r="C1002" t="s">
        <v>36</v>
      </c>
      <c r="D1002">
        <v>258</v>
      </c>
      <c r="E1002" t="s">
        <v>45</v>
      </c>
      <c r="F1002">
        <v>10</v>
      </c>
      <c r="G1002">
        <v>4</v>
      </c>
      <c r="H1002" t="s">
        <v>49</v>
      </c>
      <c r="I1002">
        <v>1</v>
      </c>
      <c r="J1002">
        <v>1409</v>
      </c>
      <c r="K1002">
        <v>3</v>
      </c>
      <c r="L1002" t="s">
        <v>39</v>
      </c>
      <c r="M1002">
        <v>54</v>
      </c>
      <c r="N1002">
        <v>3</v>
      </c>
      <c r="O1002">
        <v>1</v>
      </c>
      <c r="P1002" t="s">
        <v>50</v>
      </c>
      <c r="Q1002">
        <v>1</v>
      </c>
      <c r="R1002" t="s">
        <v>48</v>
      </c>
      <c r="S1002" s="20">
        <v>2674</v>
      </c>
      <c r="T1002">
        <v>17363</v>
      </c>
      <c r="U1002">
        <v>9</v>
      </c>
      <c r="V1002" t="s">
        <v>42</v>
      </c>
      <c r="W1002" t="s">
        <v>43</v>
      </c>
      <c r="X1002" s="19">
        <v>13</v>
      </c>
      <c r="Y1002">
        <v>3</v>
      </c>
      <c r="Z1002">
        <v>3</v>
      </c>
      <c r="AA1002">
        <v>80</v>
      </c>
      <c r="AB1002">
        <v>0</v>
      </c>
      <c r="AC1002">
        <v>12</v>
      </c>
      <c r="AD1002">
        <v>2</v>
      </c>
      <c r="AE1002">
        <v>1</v>
      </c>
      <c r="AF1002">
        <v>5</v>
      </c>
      <c r="AG1002">
        <v>4</v>
      </c>
      <c r="AH1002">
        <v>0</v>
      </c>
      <c r="AI1002">
        <v>4</v>
      </c>
      <c r="AJ1002">
        <f t="shared" si="150"/>
        <v>0</v>
      </c>
      <c r="AK1002">
        <f t="shared" si="151"/>
        <v>0</v>
      </c>
      <c r="AL1002">
        <f t="shared" si="152"/>
        <v>0</v>
      </c>
      <c r="AM1002">
        <f t="shared" si="153"/>
        <v>2</v>
      </c>
      <c r="AN1002">
        <f t="shared" si="154"/>
        <v>5348</v>
      </c>
      <c r="AO1002">
        <f t="shared" si="155"/>
        <v>0.38461538461538464</v>
      </c>
      <c r="AP1002" t="str">
        <f t="shared" si="156"/>
        <v>50+</v>
      </c>
      <c r="AQ1002" t="str">
        <f t="shared" si="157"/>
        <v>Low</v>
      </c>
      <c r="AR1002" t="str">
        <f t="shared" si="158"/>
        <v>Medium</v>
      </c>
      <c r="AS1002">
        <f t="shared" si="159"/>
        <v>0</v>
      </c>
    </row>
    <row r="1003" spans="1:4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s="20">
        <v>3629</v>
      </c>
      <c r="T1003">
        <v>19106</v>
      </c>
      <c r="U1003">
        <v>4</v>
      </c>
      <c r="V1003" t="s">
        <v>42</v>
      </c>
      <c r="W1003" t="s">
        <v>43</v>
      </c>
      <c r="X1003" s="19">
        <v>18</v>
      </c>
      <c r="Y1003">
        <v>3</v>
      </c>
      <c r="Z1003">
        <v>1</v>
      </c>
      <c r="AA1003">
        <v>80</v>
      </c>
      <c r="AB1003">
        <v>0</v>
      </c>
      <c r="AC1003">
        <v>8</v>
      </c>
      <c r="AD1003">
        <v>6</v>
      </c>
      <c r="AE1003">
        <v>3</v>
      </c>
      <c r="AF1003">
        <v>3</v>
      </c>
      <c r="AG1003">
        <v>2</v>
      </c>
      <c r="AH1003">
        <v>0</v>
      </c>
      <c r="AI1003">
        <v>2</v>
      </c>
      <c r="AJ1003">
        <f t="shared" si="150"/>
        <v>0</v>
      </c>
      <c r="AK1003">
        <f t="shared" si="151"/>
        <v>0</v>
      </c>
      <c r="AL1003">
        <f t="shared" si="152"/>
        <v>0</v>
      </c>
      <c r="AM1003">
        <f t="shared" si="153"/>
        <v>2</v>
      </c>
      <c r="AN1003">
        <f t="shared" si="154"/>
        <v>10887</v>
      </c>
      <c r="AO1003">
        <f t="shared" si="155"/>
        <v>0.33333333333333331</v>
      </c>
      <c r="AP1003" t="str">
        <f t="shared" si="156"/>
        <v>30-39</v>
      </c>
      <c r="AQ1003" t="str">
        <f t="shared" si="157"/>
        <v>Medium</v>
      </c>
      <c r="AR1003" t="str">
        <f t="shared" si="158"/>
        <v>Medium</v>
      </c>
      <c r="AS1003">
        <f t="shared" si="159"/>
        <v>0</v>
      </c>
    </row>
    <row r="1004" spans="1:4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s="20">
        <v>9362</v>
      </c>
      <c r="T1004">
        <v>19944</v>
      </c>
      <c r="U1004">
        <v>2</v>
      </c>
      <c r="V1004" t="s">
        <v>42</v>
      </c>
      <c r="W1004" t="s">
        <v>43</v>
      </c>
      <c r="X1004" s="19">
        <v>11</v>
      </c>
      <c r="Y1004">
        <v>3</v>
      </c>
      <c r="Z1004">
        <v>3</v>
      </c>
      <c r="AA1004">
        <v>80</v>
      </c>
      <c r="AB1004">
        <v>0</v>
      </c>
      <c r="AC1004">
        <v>10</v>
      </c>
      <c r="AD1004">
        <v>2</v>
      </c>
      <c r="AE1004">
        <v>3</v>
      </c>
      <c r="AF1004">
        <v>2</v>
      </c>
      <c r="AG1004">
        <v>2</v>
      </c>
      <c r="AH1004">
        <v>2</v>
      </c>
      <c r="AI1004">
        <v>2</v>
      </c>
      <c r="AJ1004">
        <f t="shared" si="150"/>
        <v>0</v>
      </c>
      <c r="AK1004">
        <f t="shared" si="151"/>
        <v>0</v>
      </c>
      <c r="AL1004">
        <f t="shared" si="152"/>
        <v>1</v>
      </c>
      <c r="AM1004">
        <f t="shared" si="153"/>
        <v>3.25</v>
      </c>
      <c r="AN1004">
        <f t="shared" si="154"/>
        <v>37448</v>
      </c>
      <c r="AO1004">
        <f t="shared" si="155"/>
        <v>0.18181818181818182</v>
      </c>
      <c r="AP1004" t="str">
        <f t="shared" si="156"/>
        <v>30-39</v>
      </c>
      <c r="AQ1004" t="str">
        <f t="shared" si="157"/>
        <v>Very High</v>
      </c>
      <c r="AR1004" t="str">
        <f t="shared" si="158"/>
        <v>Long</v>
      </c>
      <c r="AS1004">
        <f t="shared" si="159"/>
        <v>1</v>
      </c>
    </row>
    <row r="1005" spans="1:4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s="20">
        <v>3229</v>
      </c>
      <c r="T1005">
        <v>4910</v>
      </c>
      <c r="U1005">
        <v>4</v>
      </c>
      <c r="V1005" t="s">
        <v>42</v>
      </c>
      <c r="W1005" t="s">
        <v>43</v>
      </c>
      <c r="X1005" s="19">
        <v>11</v>
      </c>
      <c r="Y1005">
        <v>3</v>
      </c>
      <c r="Z1005">
        <v>2</v>
      </c>
      <c r="AA1005">
        <v>80</v>
      </c>
      <c r="AB1005">
        <v>1</v>
      </c>
      <c r="AC1005">
        <v>7</v>
      </c>
      <c r="AD1005">
        <v>2</v>
      </c>
      <c r="AE1005">
        <v>2</v>
      </c>
      <c r="AF1005">
        <v>3</v>
      </c>
      <c r="AG1005">
        <v>2</v>
      </c>
      <c r="AH1005">
        <v>0</v>
      </c>
      <c r="AI1005">
        <v>2</v>
      </c>
      <c r="AJ1005">
        <f t="shared" si="150"/>
        <v>0</v>
      </c>
      <c r="AK1005">
        <f t="shared" si="151"/>
        <v>0</v>
      </c>
      <c r="AL1005">
        <f t="shared" si="152"/>
        <v>1</v>
      </c>
      <c r="AM1005">
        <f t="shared" si="153"/>
        <v>2.25</v>
      </c>
      <c r="AN1005">
        <f t="shared" si="154"/>
        <v>9687</v>
      </c>
      <c r="AO1005">
        <f t="shared" si="155"/>
        <v>0.375</v>
      </c>
      <c r="AP1005" t="str">
        <f t="shared" si="156"/>
        <v>Under 30</v>
      </c>
      <c r="AQ1005" t="str">
        <f t="shared" si="157"/>
        <v>Medium</v>
      </c>
      <c r="AR1005" t="str">
        <f t="shared" si="158"/>
        <v>Short</v>
      </c>
      <c r="AS1005">
        <f t="shared" si="159"/>
        <v>0</v>
      </c>
    </row>
    <row r="1006" spans="1:4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s="20">
        <v>3578</v>
      </c>
      <c r="T1006">
        <v>23577</v>
      </c>
      <c r="U1006">
        <v>0</v>
      </c>
      <c r="V1006" t="s">
        <v>42</v>
      </c>
      <c r="W1006" t="s">
        <v>43</v>
      </c>
      <c r="X1006" s="19">
        <v>12</v>
      </c>
      <c r="Y1006">
        <v>3</v>
      </c>
      <c r="Z1006">
        <v>4</v>
      </c>
      <c r="AA1006">
        <v>80</v>
      </c>
      <c r="AB1006">
        <v>0</v>
      </c>
      <c r="AC1006">
        <v>8</v>
      </c>
      <c r="AD1006">
        <v>2</v>
      </c>
      <c r="AE1006">
        <v>3</v>
      </c>
      <c r="AF1006">
        <v>7</v>
      </c>
      <c r="AG1006">
        <v>7</v>
      </c>
      <c r="AH1006">
        <v>0</v>
      </c>
      <c r="AI1006">
        <v>7</v>
      </c>
      <c r="AJ1006">
        <f t="shared" si="150"/>
        <v>0</v>
      </c>
      <c r="AK1006">
        <f t="shared" si="151"/>
        <v>0</v>
      </c>
      <c r="AL1006">
        <f t="shared" si="152"/>
        <v>1</v>
      </c>
      <c r="AM1006">
        <f t="shared" si="153"/>
        <v>2.75</v>
      </c>
      <c r="AN1006">
        <f t="shared" si="154"/>
        <v>5367</v>
      </c>
      <c r="AO1006">
        <f t="shared" si="155"/>
        <v>0.77777777777777779</v>
      </c>
      <c r="AP1006" t="str">
        <f t="shared" si="156"/>
        <v>Under 30</v>
      </c>
      <c r="AQ1006" t="str">
        <f t="shared" si="157"/>
        <v>Medium</v>
      </c>
      <c r="AR1006" t="str">
        <f t="shared" si="158"/>
        <v>Medium</v>
      </c>
      <c r="AS1006">
        <f t="shared" si="159"/>
        <v>0</v>
      </c>
    </row>
    <row r="1007" spans="1:45" x14ac:dyDescent="0.3">
      <c r="A1007">
        <v>29</v>
      </c>
      <c r="B1007" t="s">
        <v>43</v>
      </c>
      <c r="C1007" t="s">
        <v>36</v>
      </c>
      <c r="D1007">
        <v>332</v>
      </c>
      <c r="E1007" t="s">
        <v>61</v>
      </c>
      <c r="F1007">
        <v>17</v>
      </c>
      <c r="G1007">
        <v>3</v>
      </c>
      <c r="H1007" t="s">
        <v>49</v>
      </c>
      <c r="I1007">
        <v>1</v>
      </c>
      <c r="J1007">
        <v>1419</v>
      </c>
      <c r="K1007">
        <v>3</v>
      </c>
      <c r="L1007" t="s">
        <v>46</v>
      </c>
      <c r="M1007">
        <v>51</v>
      </c>
      <c r="N1007">
        <v>2</v>
      </c>
      <c r="O1007">
        <v>3</v>
      </c>
      <c r="P1007" t="s">
        <v>61</v>
      </c>
      <c r="Q1007">
        <v>1</v>
      </c>
      <c r="R1007" t="s">
        <v>41</v>
      </c>
      <c r="S1007" s="20">
        <v>7988</v>
      </c>
      <c r="T1007">
        <v>9769</v>
      </c>
      <c r="U1007">
        <v>1</v>
      </c>
      <c r="V1007" t="s">
        <v>42</v>
      </c>
      <c r="W1007" t="s">
        <v>43</v>
      </c>
      <c r="X1007" s="19">
        <v>13</v>
      </c>
      <c r="Y1007">
        <v>3</v>
      </c>
      <c r="Z1007">
        <v>1</v>
      </c>
      <c r="AA1007">
        <v>80</v>
      </c>
      <c r="AB1007">
        <v>0</v>
      </c>
      <c r="AC1007">
        <v>10</v>
      </c>
      <c r="AD1007">
        <v>3</v>
      </c>
      <c r="AE1007">
        <v>2</v>
      </c>
      <c r="AF1007">
        <v>10</v>
      </c>
      <c r="AG1007">
        <v>9</v>
      </c>
      <c r="AH1007">
        <v>0</v>
      </c>
      <c r="AI1007">
        <v>9</v>
      </c>
      <c r="AJ1007">
        <f t="shared" si="150"/>
        <v>0</v>
      </c>
      <c r="AK1007">
        <f t="shared" si="151"/>
        <v>0</v>
      </c>
      <c r="AL1007">
        <f t="shared" si="152"/>
        <v>1</v>
      </c>
      <c r="AM1007">
        <f t="shared" si="153"/>
        <v>1.75</v>
      </c>
      <c r="AN1007">
        <f t="shared" si="154"/>
        <v>8714.181818181818</v>
      </c>
      <c r="AO1007">
        <f t="shared" si="155"/>
        <v>0.90909090909090906</v>
      </c>
      <c r="AP1007" t="str">
        <f t="shared" si="156"/>
        <v>Under 30</v>
      </c>
      <c r="AQ1007" t="str">
        <f t="shared" si="157"/>
        <v>High</v>
      </c>
      <c r="AR1007" t="str">
        <f t="shared" si="158"/>
        <v>Long</v>
      </c>
      <c r="AS1007">
        <f t="shared" si="159"/>
        <v>0</v>
      </c>
    </row>
    <row r="1008" spans="1:4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s="20">
        <v>4284</v>
      </c>
      <c r="T1008">
        <v>22710</v>
      </c>
      <c r="U1008">
        <v>3</v>
      </c>
      <c r="V1008" t="s">
        <v>42</v>
      </c>
      <c r="W1008" t="s">
        <v>43</v>
      </c>
      <c r="X1008" s="19">
        <v>20</v>
      </c>
      <c r="Y1008">
        <v>4</v>
      </c>
      <c r="Z1008">
        <v>1</v>
      </c>
      <c r="AA1008">
        <v>80</v>
      </c>
      <c r="AB1008">
        <v>0</v>
      </c>
      <c r="AC1008">
        <v>20</v>
      </c>
      <c r="AD1008">
        <v>2</v>
      </c>
      <c r="AE1008">
        <v>3</v>
      </c>
      <c r="AF1008">
        <v>4</v>
      </c>
      <c r="AG1008">
        <v>3</v>
      </c>
      <c r="AH1008">
        <v>1</v>
      </c>
      <c r="AI1008">
        <v>3</v>
      </c>
      <c r="AJ1008">
        <f t="shared" si="150"/>
        <v>1</v>
      </c>
      <c r="AK1008">
        <f t="shared" si="151"/>
        <v>0</v>
      </c>
      <c r="AL1008">
        <f t="shared" si="152"/>
        <v>1</v>
      </c>
      <c r="AM1008">
        <f t="shared" si="153"/>
        <v>1.5</v>
      </c>
      <c r="AN1008">
        <f t="shared" si="154"/>
        <v>10281.6</v>
      </c>
      <c r="AO1008">
        <f t="shared" si="155"/>
        <v>0.19047619047619047</v>
      </c>
      <c r="AP1008" t="str">
        <f t="shared" si="156"/>
        <v>40-49</v>
      </c>
      <c r="AQ1008" t="str">
        <f t="shared" si="157"/>
        <v>Medium</v>
      </c>
      <c r="AR1008" t="str">
        <f t="shared" si="158"/>
        <v>Long</v>
      </c>
      <c r="AS1008">
        <f t="shared" si="159"/>
        <v>1</v>
      </c>
    </row>
    <row r="1009" spans="1:4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s="20">
        <v>7553</v>
      </c>
      <c r="T1009">
        <v>22930</v>
      </c>
      <c r="U1009">
        <v>0</v>
      </c>
      <c r="V1009" t="s">
        <v>42</v>
      </c>
      <c r="W1009" t="s">
        <v>35</v>
      </c>
      <c r="X1009" s="19">
        <v>12</v>
      </c>
      <c r="Y1009">
        <v>3</v>
      </c>
      <c r="Z1009">
        <v>1</v>
      </c>
      <c r="AA1009">
        <v>80</v>
      </c>
      <c r="AB1009">
        <v>0</v>
      </c>
      <c r="AC1009">
        <v>9</v>
      </c>
      <c r="AD1009">
        <v>1</v>
      </c>
      <c r="AE1009">
        <v>3</v>
      </c>
      <c r="AF1009">
        <v>8</v>
      </c>
      <c r="AG1009">
        <v>7</v>
      </c>
      <c r="AH1009">
        <v>7</v>
      </c>
      <c r="AI1009">
        <v>7</v>
      </c>
      <c r="AJ1009">
        <f t="shared" si="150"/>
        <v>1</v>
      </c>
      <c r="AK1009">
        <f t="shared" si="151"/>
        <v>1</v>
      </c>
      <c r="AL1009">
        <f t="shared" si="152"/>
        <v>0</v>
      </c>
      <c r="AM1009">
        <f t="shared" si="153"/>
        <v>2.75</v>
      </c>
      <c r="AN1009">
        <f t="shared" si="154"/>
        <v>10070.666666666666</v>
      </c>
      <c r="AO1009">
        <f t="shared" si="155"/>
        <v>0.8</v>
      </c>
      <c r="AP1009" t="str">
        <f t="shared" si="156"/>
        <v>Under 30</v>
      </c>
      <c r="AQ1009" t="str">
        <f t="shared" si="157"/>
        <v>High</v>
      </c>
      <c r="AR1009" t="str">
        <f t="shared" si="158"/>
        <v>Medium</v>
      </c>
      <c r="AS1009">
        <f t="shared" si="159"/>
        <v>1</v>
      </c>
    </row>
    <row r="1010" spans="1:4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s="20">
        <v>17328</v>
      </c>
      <c r="T1010">
        <v>5652</v>
      </c>
      <c r="U1010">
        <v>6</v>
      </c>
      <c r="V1010" t="s">
        <v>42</v>
      </c>
      <c r="W1010" t="s">
        <v>43</v>
      </c>
      <c r="X1010" s="19">
        <v>19</v>
      </c>
      <c r="Y1010">
        <v>3</v>
      </c>
      <c r="Z1010">
        <v>4</v>
      </c>
      <c r="AA1010">
        <v>80</v>
      </c>
      <c r="AB1010">
        <v>0</v>
      </c>
      <c r="AC1010">
        <v>29</v>
      </c>
      <c r="AD1010">
        <v>3</v>
      </c>
      <c r="AE1010">
        <v>2</v>
      </c>
      <c r="AF1010">
        <v>20</v>
      </c>
      <c r="AG1010">
        <v>7</v>
      </c>
      <c r="AH1010">
        <v>12</v>
      </c>
      <c r="AI1010">
        <v>7</v>
      </c>
      <c r="AJ1010">
        <f t="shared" si="150"/>
        <v>0</v>
      </c>
      <c r="AK1010">
        <f t="shared" si="151"/>
        <v>0</v>
      </c>
      <c r="AL1010">
        <f t="shared" si="152"/>
        <v>0</v>
      </c>
      <c r="AM1010">
        <f t="shared" si="153"/>
        <v>3.5</v>
      </c>
      <c r="AN1010">
        <f t="shared" si="154"/>
        <v>9901.7142857142862</v>
      </c>
      <c r="AO1010">
        <f t="shared" si="155"/>
        <v>0.66666666666666663</v>
      </c>
      <c r="AP1010" t="str">
        <f t="shared" si="156"/>
        <v>50+</v>
      </c>
      <c r="AQ1010" t="str">
        <f t="shared" si="157"/>
        <v>Very High</v>
      </c>
      <c r="AR1010" t="str">
        <f t="shared" si="158"/>
        <v>Short</v>
      </c>
      <c r="AS1010">
        <f t="shared" si="159"/>
        <v>0</v>
      </c>
    </row>
    <row r="1011" spans="1:4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s="20">
        <v>19701</v>
      </c>
      <c r="T1011">
        <v>22456</v>
      </c>
      <c r="U1011">
        <v>3</v>
      </c>
      <c r="V1011" t="s">
        <v>42</v>
      </c>
      <c r="W1011" t="s">
        <v>35</v>
      </c>
      <c r="X1011" s="19">
        <v>21</v>
      </c>
      <c r="Y1011">
        <v>4</v>
      </c>
      <c r="Z1011">
        <v>3</v>
      </c>
      <c r="AA1011">
        <v>80</v>
      </c>
      <c r="AB1011">
        <v>1</v>
      </c>
      <c r="AC1011">
        <v>32</v>
      </c>
      <c r="AD1011">
        <v>3</v>
      </c>
      <c r="AE1011">
        <v>3</v>
      </c>
      <c r="AF1011">
        <v>9</v>
      </c>
      <c r="AG1011">
        <v>8</v>
      </c>
      <c r="AH1011">
        <v>1</v>
      </c>
      <c r="AI1011">
        <v>5</v>
      </c>
      <c r="AJ1011">
        <f t="shared" si="150"/>
        <v>0</v>
      </c>
      <c r="AK1011">
        <f t="shared" si="151"/>
        <v>1</v>
      </c>
      <c r="AL1011">
        <f t="shared" si="152"/>
        <v>0</v>
      </c>
      <c r="AM1011">
        <f t="shared" si="153"/>
        <v>2.75</v>
      </c>
      <c r="AN1011">
        <f t="shared" si="154"/>
        <v>23641.200000000001</v>
      </c>
      <c r="AO1011">
        <f t="shared" si="155"/>
        <v>0.27272727272727271</v>
      </c>
      <c r="AP1011" t="str">
        <f t="shared" si="156"/>
        <v>50+</v>
      </c>
      <c r="AQ1011" t="str">
        <f t="shared" si="157"/>
        <v>Very High</v>
      </c>
      <c r="AR1011" t="str">
        <f t="shared" si="158"/>
        <v>Short</v>
      </c>
      <c r="AS1011">
        <f t="shared" si="159"/>
        <v>0</v>
      </c>
    </row>
    <row r="1012" spans="1:4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s="20">
        <v>14732</v>
      </c>
      <c r="T1012">
        <v>12414</v>
      </c>
      <c r="U1012">
        <v>2</v>
      </c>
      <c r="V1012" t="s">
        <v>42</v>
      </c>
      <c r="W1012" t="s">
        <v>43</v>
      </c>
      <c r="X1012" s="19">
        <v>13</v>
      </c>
      <c r="Y1012">
        <v>3</v>
      </c>
      <c r="Z1012">
        <v>4</v>
      </c>
      <c r="AA1012">
        <v>80</v>
      </c>
      <c r="AB1012">
        <v>2</v>
      </c>
      <c r="AC1012">
        <v>31</v>
      </c>
      <c r="AD1012">
        <v>4</v>
      </c>
      <c r="AE1012">
        <v>4</v>
      </c>
      <c r="AF1012">
        <v>7</v>
      </c>
      <c r="AG1012">
        <v>7</v>
      </c>
      <c r="AH1012">
        <v>0</v>
      </c>
      <c r="AI1012">
        <v>0</v>
      </c>
      <c r="AJ1012">
        <f t="shared" si="150"/>
        <v>0</v>
      </c>
      <c r="AK1012">
        <f t="shared" si="151"/>
        <v>0</v>
      </c>
      <c r="AL1012">
        <f t="shared" si="152"/>
        <v>1</v>
      </c>
      <c r="AM1012">
        <f t="shared" si="153"/>
        <v>3.5</v>
      </c>
      <c r="AN1012">
        <f t="shared" si="154"/>
        <v>22098</v>
      </c>
      <c r="AO1012">
        <f t="shared" si="155"/>
        <v>0.21875</v>
      </c>
      <c r="AP1012" t="str">
        <f t="shared" si="156"/>
        <v>50+</v>
      </c>
      <c r="AQ1012" t="str">
        <f t="shared" si="157"/>
        <v>Very High</v>
      </c>
      <c r="AR1012" t="str">
        <f t="shared" si="158"/>
        <v>Short</v>
      </c>
      <c r="AS1012">
        <f t="shared" si="159"/>
        <v>0</v>
      </c>
    </row>
    <row r="1013" spans="1:4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s="20">
        <v>9278</v>
      </c>
      <c r="T1013">
        <v>20763</v>
      </c>
      <c r="U1013">
        <v>3</v>
      </c>
      <c r="V1013" t="s">
        <v>42</v>
      </c>
      <c r="W1013" t="s">
        <v>35</v>
      </c>
      <c r="X1013" s="19">
        <v>16</v>
      </c>
      <c r="Y1013">
        <v>3</v>
      </c>
      <c r="Z1013">
        <v>4</v>
      </c>
      <c r="AA1013">
        <v>80</v>
      </c>
      <c r="AB1013">
        <v>0</v>
      </c>
      <c r="AC1013">
        <v>15</v>
      </c>
      <c r="AD1013">
        <v>3</v>
      </c>
      <c r="AE1013">
        <v>3</v>
      </c>
      <c r="AF1013">
        <v>5</v>
      </c>
      <c r="AG1013">
        <v>4</v>
      </c>
      <c r="AH1013">
        <v>0</v>
      </c>
      <c r="AI1013">
        <v>1</v>
      </c>
      <c r="AJ1013">
        <f t="shared" si="150"/>
        <v>0</v>
      </c>
      <c r="AK1013">
        <f t="shared" si="151"/>
        <v>1</v>
      </c>
      <c r="AL1013">
        <f t="shared" si="152"/>
        <v>0</v>
      </c>
      <c r="AM1013">
        <f t="shared" si="153"/>
        <v>2.5</v>
      </c>
      <c r="AN1013">
        <f t="shared" si="154"/>
        <v>18556</v>
      </c>
      <c r="AO1013">
        <f t="shared" si="155"/>
        <v>0.3125</v>
      </c>
      <c r="AP1013" t="str">
        <f t="shared" si="156"/>
        <v>30-39</v>
      </c>
      <c r="AQ1013" t="str">
        <f t="shared" si="157"/>
        <v>Very High</v>
      </c>
      <c r="AR1013" t="str">
        <f t="shared" si="158"/>
        <v>Short</v>
      </c>
      <c r="AS1013">
        <f t="shared" si="159"/>
        <v>0</v>
      </c>
    </row>
    <row r="1014" spans="1:4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s="20">
        <v>1359</v>
      </c>
      <c r="T1014">
        <v>16154</v>
      </c>
      <c r="U1014">
        <v>1</v>
      </c>
      <c r="V1014" t="s">
        <v>42</v>
      </c>
      <c r="W1014" t="s">
        <v>43</v>
      </c>
      <c r="X1014" s="19">
        <v>12</v>
      </c>
      <c r="Y1014">
        <v>3</v>
      </c>
      <c r="Z1014">
        <v>2</v>
      </c>
      <c r="AA1014">
        <v>80</v>
      </c>
      <c r="AB1014">
        <v>0</v>
      </c>
      <c r="AC1014">
        <v>1</v>
      </c>
      <c r="AD1014">
        <v>3</v>
      </c>
      <c r="AE1014">
        <v>3</v>
      </c>
      <c r="AF1014">
        <v>1</v>
      </c>
      <c r="AG1014">
        <v>0</v>
      </c>
      <c r="AH1014">
        <v>0</v>
      </c>
      <c r="AI1014">
        <v>0</v>
      </c>
      <c r="AJ1014">
        <f t="shared" si="150"/>
        <v>1</v>
      </c>
      <c r="AK1014">
        <f t="shared" si="151"/>
        <v>0</v>
      </c>
      <c r="AL1014">
        <f t="shared" si="152"/>
        <v>0</v>
      </c>
      <c r="AM1014">
        <f t="shared" si="153"/>
        <v>2.5</v>
      </c>
      <c r="AN1014">
        <f t="shared" si="154"/>
        <v>8154</v>
      </c>
      <c r="AO1014">
        <f t="shared" si="155"/>
        <v>0.5</v>
      </c>
      <c r="AP1014" t="str">
        <f t="shared" si="156"/>
        <v>30-39</v>
      </c>
      <c r="AQ1014" t="str">
        <f t="shared" si="157"/>
        <v>Low</v>
      </c>
      <c r="AR1014" t="str">
        <f t="shared" si="158"/>
        <v>Short</v>
      </c>
      <c r="AS1014">
        <f t="shared" si="159"/>
        <v>1</v>
      </c>
    </row>
    <row r="1015" spans="1:4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s="20">
        <v>4779</v>
      </c>
      <c r="T1015">
        <v>12761</v>
      </c>
      <c r="U1015">
        <v>7</v>
      </c>
      <c r="V1015" t="s">
        <v>42</v>
      </c>
      <c r="W1015" t="s">
        <v>43</v>
      </c>
      <c r="X1015" s="19">
        <v>14</v>
      </c>
      <c r="Y1015">
        <v>3</v>
      </c>
      <c r="Z1015">
        <v>2</v>
      </c>
      <c r="AA1015">
        <v>80</v>
      </c>
      <c r="AB1015">
        <v>2</v>
      </c>
      <c r="AC1015">
        <v>8</v>
      </c>
      <c r="AD1015">
        <v>3</v>
      </c>
      <c r="AE1015">
        <v>3</v>
      </c>
      <c r="AF1015">
        <v>3</v>
      </c>
      <c r="AG1015">
        <v>2</v>
      </c>
      <c r="AH1015">
        <v>0</v>
      </c>
      <c r="AI1015">
        <v>2</v>
      </c>
      <c r="AJ1015">
        <f t="shared" si="150"/>
        <v>0</v>
      </c>
      <c r="AK1015">
        <f t="shared" si="151"/>
        <v>0</v>
      </c>
      <c r="AL1015">
        <f t="shared" si="152"/>
        <v>0</v>
      </c>
      <c r="AM1015">
        <f t="shared" si="153"/>
        <v>2.5</v>
      </c>
      <c r="AN1015">
        <f t="shared" si="154"/>
        <v>14337</v>
      </c>
      <c r="AO1015">
        <f t="shared" si="155"/>
        <v>0.33333333333333331</v>
      </c>
      <c r="AP1015" t="str">
        <f t="shared" si="156"/>
        <v>30-39</v>
      </c>
      <c r="AQ1015" t="str">
        <f t="shared" si="157"/>
        <v>Medium</v>
      </c>
      <c r="AR1015" t="str">
        <f t="shared" si="158"/>
        <v>Medium</v>
      </c>
      <c r="AS1015">
        <f t="shared" si="159"/>
        <v>0</v>
      </c>
    </row>
    <row r="1016" spans="1:4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s="20">
        <v>16422</v>
      </c>
      <c r="T1016">
        <v>8847</v>
      </c>
      <c r="U1016">
        <v>3</v>
      </c>
      <c r="V1016" t="s">
        <v>42</v>
      </c>
      <c r="W1016" t="s">
        <v>43</v>
      </c>
      <c r="X1016" s="19">
        <v>11</v>
      </c>
      <c r="Y1016">
        <v>3</v>
      </c>
      <c r="Z1016">
        <v>3</v>
      </c>
      <c r="AA1016">
        <v>80</v>
      </c>
      <c r="AB1016">
        <v>0</v>
      </c>
      <c r="AC1016">
        <v>9</v>
      </c>
      <c r="AD1016">
        <v>3</v>
      </c>
      <c r="AE1016">
        <v>4</v>
      </c>
      <c r="AF1016">
        <v>3</v>
      </c>
      <c r="AG1016">
        <v>2</v>
      </c>
      <c r="AH1016">
        <v>1</v>
      </c>
      <c r="AI1016">
        <v>0</v>
      </c>
      <c r="AJ1016">
        <f t="shared" si="150"/>
        <v>0</v>
      </c>
      <c r="AK1016">
        <f t="shared" si="151"/>
        <v>0</v>
      </c>
      <c r="AL1016">
        <f t="shared" si="152"/>
        <v>0</v>
      </c>
      <c r="AM1016">
        <f t="shared" si="153"/>
        <v>2.5</v>
      </c>
      <c r="AN1016">
        <f t="shared" si="154"/>
        <v>49266</v>
      </c>
      <c r="AO1016">
        <f t="shared" si="155"/>
        <v>0.3</v>
      </c>
      <c r="AP1016" t="str">
        <f t="shared" si="156"/>
        <v>30-39</v>
      </c>
      <c r="AQ1016" t="str">
        <f t="shared" si="157"/>
        <v>Very High</v>
      </c>
      <c r="AR1016" t="str">
        <f t="shared" si="158"/>
        <v>Medium</v>
      </c>
      <c r="AS1016">
        <f t="shared" si="159"/>
        <v>0</v>
      </c>
    </row>
    <row r="1017" spans="1:4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s="20">
        <v>2996</v>
      </c>
      <c r="T1017">
        <v>20284</v>
      </c>
      <c r="U1017">
        <v>5</v>
      </c>
      <c r="V1017" t="s">
        <v>42</v>
      </c>
      <c r="W1017" t="s">
        <v>43</v>
      </c>
      <c r="X1017" s="19">
        <v>14</v>
      </c>
      <c r="Y1017">
        <v>3</v>
      </c>
      <c r="Z1017">
        <v>3</v>
      </c>
      <c r="AA1017">
        <v>80</v>
      </c>
      <c r="AB1017">
        <v>2</v>
      </c>
      <c r="AC1017">
        <v>10</v>
      </c>
      <c r="AD1017">
        <v>2</v>
      </c>
      <c r="AE1017">
        <v>3</v>
      </c>
      <c r="AF1017">
        <v>4</v>
      </c>
      <c r="AG1017">
        <v>3</v>
      </c>
      <c r="AH1017">
        <v>1</v>
      </c>
      <c r="AI1017">
        <v>3</v>
      </c>
      <c r="AJ1017">
        <f t="shared" si="150"/>
        <v>0</v>
      </c>
      <c r="AK1017">
        <f t="shared" si="151"/>
        <v>0</v>
      </c>
      <c r="AL1017">
        <f t="shared" si="152"/>
        <v>1</v>
      </c>
      <c r="AM1017">
        <f t="shared" si="153"/>
        <v>2.75</v>
      </c>
      <c r="AN1017">
        <f t="shared" si="154"/>
        <v>7190.4</v>
      </c>
      <c r="AO1017">
        <f t="shared" si="155"/>
        <v>0.36363636363636365</v>
      </c>
      <c r="AP1017" t="str">
        <f t="shared" si="156"/>
        <v>30-39</v>
      </c>
      <c r="AQ1017" t="str">
        <f t="shared" si="157"/>
        <v>Medium</v>
      </c>
      <c r="AR1017" t="str">
        <f t="shared" si="158"/>
        <v>Short</v>
      </c>
      <c r="AS1017">
        <f t="shared" si="159"/>
        <v>1</v>
      </c>
    </row>
    <row r="1018" spans="1:4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s="20">
        <v>1261</v>
      </c>
      <c r="T1018">
        <v>22262</v>
      </c>
      <c r="U1018">
        <v>1</v>
      </c>
      <c r="V1018" t="s">
        <v>42</v>
      </c>
      <c r="W1018" t="s">
        <v>43</v>
      </c>
      <c r="X1018" s="19">
        <v>12</v>
      </c>
      <c r="Y1018">
        <v>3</v>
      </c>
      <c r="Z1018">
        <v>3</v>
      </c>
      <c r="AA1018">
        <v>80</v>
      </c>
      <c r="AB1018">
        <v>0</v>
      </c>
      <c r="AC1018">
        <v>1</v>
      </c>
      <c r="AD1018">
        <v>3</v>
      </c>
      <c r="AE1018">
        <v>4</v>
      </c>
      <c r="AF1018">
        <v>1</v>
      </c>
      <c r="AG1018">
        <v>0</v>
      </c>
      <c r="AH1018">
        <v>0</v>
      </c>
      <c r="AI1018">
        <v>0</v>
      </c>
      <c r="AJ1018">
        <f t="shared" si="150"/>
        <v>1</v>
      </c>
      <c r="AK1018">
        <f t="shared" si="151"/>
        <v>0</v>
      </c>
      <c r="AL1018">
        <f t="shared" si="152"/>
        <v>0</v>
      </c>
      <c r="AM1018">
        <f t="shared" si="153"/>
        <v>2.5</v>
      </c>
      <c r="AN1018">
        <f t="shared" si="154"/>
        <v>7566</v>
      </c>
      <c r="AO1018">
        <f t="shared" si="155"/>
        <v>0.5</v>
      </c>
      <c r="AP1018" t="str">
        <f t="shared" si="156"/>
        <v>30-39</v>
      </c>
      <c r="AQ1018" t="str">
        <f t="shared" si="157"/>
        <v>Low</v>
      </c>
      <c r="AR1018" t="str">
        <f t="shared" si="158"/>
        <v>Medium</v>
      </c>
      <c r="AS1018">
        <f t="shared" si="159"/>
        <v>0</v>
      </c>
    </row>
    <row r="1019" spans="1:4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s="20">
        <v>2099</v>
      </c>
      <c r="T1019">
        <v>7679</v>
      </c>
      <c r="U1019">
        <v>0</v>
      </c>
      <c r="V1019" t="s">
        <v>42</v>
      </c>
      <c r="W1019" t="s">
        <v>43</v>
      </c>
      <c r="X1019" s="19">
        <v>14</v>
      </c>
      <c r="Y1019">
        <v>3</v>
      </c>
      <c r="Z1019">
        <v>2</v>
      </c>
      <c r="AA1019">
        <v>80</v>
      </c>
      <c r="AB1019">
        <v>0</v>
      </c>
      <c r="AC1019">
        <v>6</v>
      </c>
      <c r="AD1019">
        <v>3</v>
      </c>
      <c r="AE1019">
        <v>4</v>
      </c>
      <c r="AF1019">
        <v>5</v>
      </c>
      <c r="AG1019">
        <v>0</v>
      </c>
      <c r="AH1019">
        <v>1</v>
      </c>
      <c r="AI1019">
        <v>4</v>
      </c>
      <c r="AJ1019">
        <f t="shared" si="150"/>
        <v>0</v>
      </c>
      <c r="AK1019">
        <f t="shared" si="151"/>
        <v>0</v>
      </c>
      <c r="AL1019">
        <f t="shared" si="152"/>
        <v>1</v>
      </c>
      <c r="AM1019">
        <f t="shared" si="153"/>
        <v>2.25</v>
      </c>
      <c r="AN1019">
        <f t="shared" si="154"/>
        <v>4198</v>
      </c>
      <c r="AO1019">
        <f t="shared" si="155"/>
        <v>0.7142857142857143</v>
      </c>
      <c r="AP1019" t="str">
        <f t="shared" si="156"/>
        <v>Under 30</v>
      </c>
      <c r="AQ1019" t="str">
        <f t="shared" si="157"/>
        <v>Low</v>
      </c>
      <c r="AR1019" t="str">
        <f t="shared" si="158"/>
        <v>Medium</v>
      </c>
      <c r="AS1019">
        <f t="shared" si="159"/>
        <v>0</v>
      </c>
    </row>
    <row r="1020" spans="1:4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s="20">
        <v>5810</v>
      </c>
      <c r="T1020">
        <v>22604</v>
      </c>
      <c r="U1020">
        <v>1</v>
      </c>
      <c r="V1020" t="s">
        <v>42</v>
      </c>
      <c r="W1020" t="s">
        <v>43</v>
      </c>
      <c r="X1020" s="19">
        <v>16</v>
      </c>
      <c r="Y1020">
        <v>3</v>
      </c>
      <c r="Z1020">
        <v>3</v>
      </c>
      <c r="AA1020">
        <v>80</v>
      </c>
      <c r="AB1020">
        <v>0</v>
      </c>
      <c r="AC1020">
        <v>10</v>
      </c>
      <c r="AD1020">
        <v>2</v>
      </c>
      <c r="AE1020">
        <v>2</v>
      </c>
      <c r="AF1020">
        <v>10</v>
      </c>
      <c r="AG1020">
        <v>4</v>
      </c>
      <c r="AH1020">
        <v>1</v>
      </c>
      <c r="AI1020">
        <v>8</v>
      </c>
      <c r="AJ1020">
        <f t="shared" si="150"/>
        <v>0</v>
      </c>
      <c r="AK1020">
        <f t="shared" si="151"/>
        <v>0</v>
      </c>
      <c r="AL1020">
        <f t="shared" si="152"/>
        <v>1</v>
      </c>
      <c r="AM1020">
        <f t="shared" si="153"/>
        <v>2.5</v>
      </c>
      <c r="AN1020">
        <f t="shared" si="154"/>
        <v>6338.181818181818</v>
      </c>
      <c r="AO1020">
        <f t="shared" si="155"/>
        <v>0.90909090909090906</v>
      </c>
      <c r="AP1020" t="str">
        <f t="shared" si="156"/>
        <v>30-39</v>
      </c>
      <c r="AQ1020" t="str">
        <f t="shared" si="157"/>
        <v>High</v>
      </c>
      <c r="AR1020" t="str">
        <f t="shared" si="158"/>
        <v>Short</v>
      </c>
      <c r="AS1020">
        <f t="shared" si="159"/>
        <v>0</v>
      </c>
    </row>
    <row r="1021" spans="1:4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s="20">
        <v>5647</v>
      </c>
      <c r="T1021">
        <v>13494</v>
      </c>
      <c r="U1021">
        <v>4</v>
      </c>
      <c r="V1021" t="s">
        <v>42</v>
      </c>
      <c r="W1021" t="s">
        <v>43</v>
      </c>
      <c r="X1021" s="19">
        <v>13</v>
      </c>
      <c r="Y1021">
        <v>3</v>
      </c>
      <c r="Z1021">
        <v>1</v>
      </c>
      <c r="AA1021">
        <v>80</v>
      </c>
      <c r="AB1021">
        <v>2</v>
      </c>
      <c r="AC1021">
        <v>11</v>
      </c>
      <c r="AD1021">
        <v>3</v>
      </c>
      <c r="AE1021">
        <v>2</v>
      </c>
      <c r="AF1021">
        <v>3</v>
      </c>
      <c r="AG1021">
        <v>2</v>
      </c>
      <c r="AH1021">
        <v>0</v>
      </c>
      <c r="AI1021">
        <v>2</v>
      </c>
      <c r="AJ1021">
        <f t="shared" si="150"/>
        <v>0</v>
      </c>
      <c r="AK1021">
        <f t="shared" si="151"/>
        <v>0</v>
      </c>
      <c r="AL1021">
        <f t="shared" si="152"/>
        <v>0</v>
      </c>
      <c r="AM1021">
        <f t="shared" si="153"/>
        <v>1.75</v>
      </c>
      <c r="AN1021">
        <f t="shared" si="154"/>
        <v>16941</v>
      </c>
      <c r="AO1021">
        <f t="shared" si="155"/>
        <v>0.25</v>
      </c>
      <c r="AP1021" t="str">
        <f t="shared" si="156"/>
        <v>30-39</v>
      </c>
      <c r="AQ1021" t="str">
        <f t="shared" si="157"/>
        <v>High</v>
      </c>
      <c r="AR1021" t="str">
        <f t="shared" si="158"/>
        <v>Long</v>
      </c>
      <c r="AS1021">
        <f t="shared" si="159"/>
        <v>0</v>
      </c>
    </row>
    <row r="1022" spans="1:4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s="20">
        <v>3420</v>
      </c>
      <c r="T1022">
        <v>10205</v>
      </c>
      <c r="U1022">
        <v>7</v>
      </c>
      <c r="V1022" t="s">
        <v>42</v>
      </c>
      <c r="W1022" t="s">
        <v>43</v>
      </c>
      <c r="X1022" s="19">
        <v>12</v>
      </c>
      <c r="Y1022">
        <v>3</v>
      </c>
      <c r="Z1022">
        <v>3</v>
      </c>
      <c r="AA1022">
        <v>80</v>
      </c>
      <c r="AB1022">
        <v>1</v>
      </c>
      <c r="AC1022">
        <v>17</v>
      </c>
      <c r="AD1022">
        <v>2</v>
      </c>
      <c r="AE1022">
        <v>2</v>
      </c>
      <c r="AF1022">
        <v>6</v>
      </c>
      <c r="AG1022">
        <v>5</v>
      </c>
      <c r="AH1022">
        <v>1</v>
      </c>
      <c r="AI1022">
        <v>2</v>
      </c>
      <c r="AJ1022">
        <f t="shared" si="150"/>
        <v>0</v>
      </c>
      <c r="AK1022">
        <f t="shared" si="151"/>
        <v>0</v>
      </c>
      <c r="AL1022">
        <f t="shared" si="152"/>
        <v>1</v>
      </c>
      <c r="AM1022">
        <f t="shared" si="153"/>
        <v>2.5</v>
      </c>
      <c r="AN1022">
        <f t="shared" si="154"/>
        <v>5862.8571428571431</v>
      </c>
      <c r="AO1022">
        <f t="shared" si="155"/>
        <v>0.33333333333333331</v>
      </c>
      <c r="AP1022" t="str">
        <f t="shared" si="156"/>
        <v>40-49</v>
      </c>
      <c r="AQ1022" t="str">
        <f t="shared" si="157"/>
        <v>Medium</v>
      </c>
      <c r="AR1022" t="str">
        <f t="shared" si="158"/>
        <v>Short</v>
      </c>
      <c r="AS1022">
        <f t="shared" si="159"/>
        <v>0</v>
      </c>
    </row>
    <row r="1023" spans="1:4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s="20">
        <v>4400</v>
      </c>
      <c r="T1023">
        <v>15182</v>
      </c>
      <c r="U1023">
        <v>3</v>
      </c>
      <c r="V1023" t="s">
        <v>42</v>
      </c>
      <c r="W1023" t="s">
        <v>43</v>
      </c>
      <c r="X1023" s="19">
        <v>12</v>
      </c>
      <c r="Y1023">
        <v>3</v>
      </c>
      <c r="Z1023">
        <v>1</v>
      </c>
      <c r="AA1023">
        <v>80</v>
      </c>
      <c r="AB1023">
        <v>0</v>
      </c>
      <c r="AC1023">
        <v>6</v>
      </c>
      <c r="AD1023">
        <v>2</v>
      </c>
      <c r="AE1023">
        <v>3</v>
      </c>
      <c r="AF1023">
        <v>3</v>
      </c>
      <c r="AG1023">
        <v>2</v>
      </c>
      <c r="AH1023">
        <v>2</v>
      </c>
      <c r="AI1023">
        <v>2</v>
      </c>
      <c r="AJ1023">
        <f t="shared" si="150"/>
        <v>1</v>
      </c>
      <c r="AK1023">
        <f t="shared" si="151"/>
        <v>0</v>
      </c>
      <c r="AL1023">
        <f t="shared" si="152"/>
        <v>1</v>
      </c>
      <c r="AM1023">
        <f t="shared" si="153"/>
        <v>1.5</v>
      </c>
      <c r="AN1023">
        <f t="shared" si="154"/>
        <v>13200</v>
      </c>
      <c r="AO1023">
        <f t="shared" si="155"/>
        <v>0.42857142857142855</v>
      </c>
      <c r="AP1023" t="str">
        <f t="shared" si="156"/>
        <v>Under 30</v>
      </c>
      <c r="AQ1023" t="str">
        <f t="shared" si="157"/>
        <v>Medium</v>
      </c>
      <c r="AR1023" t="str">
        <f t="shared" si="158"/>
        <v>Medium</v>
      </c>
      <c r="AS1023">
        <f t="shared" si="159"/>
        <v>0</v>
      </c>
    </row>
    <row r="1024" spans="1:4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s="20">
        <v>3500</v>
      </c>
      <c r="T1024">
        <v>25470</v>
      </c>
      <c r="U1024">
        <v>0</v>
      </c>
      <c r="V1024" t="s">
        <v>42</v>
      </c>
      <c r="W1024" t="s">
        <v>43</v>
      </c>
      <c r="X1024" s="19">
        <v>14</v>
      </c>
      <c r="Y1024">
        <v>3</v>
      </c>
      <c r="Z1024">
        <v>1</v>
      </c>
      <c r="AA1024">
        <v>80</v>
      </c>
      <c r="AB1024">
        <v>0</v>
      </c>
      <c r="AC1024">
        <v>7</v>
      </c>
      <c r="AD1024">
        <v>2</v>
      </c>
      <c r="AE1024">
        <v>1</v>
      </c>
      <c r="AF1024">
        <v>6</v>
      </c>
      <c r="AG1024">
        <v>5</v>
      </c>
      <c r="AH1024">
        <v>1</v>
      </c>
      <c r="AI1024">
        <v>3</v>
      </c>
      <c r="AJ1024">
        <f t="shared" si="150"/>
        <v>0</v>
      </c>
      <c r="AK1024">
        <f t="shared" si="151"/>
        <v>0</v>
      </c>
      <c r="AL1024">
        <f t="shared" si="152"/>
        <v>1</v>
      </c>
      <c r="AM1024">
        <f t="shared" si="153"/>
        <v>2</v>
      </c>
      <c r="AN1024">
        <f t="shared" si="154"/>
        <v>6000</v>
      </c>
      <c r="AO1024">
        <f t="shared" si="155"/>
        <v>0.75</v>
      </c>
      <c r="AP1024" t="str">
        <f t="shared" si="156"/>
        <v>30-39</v>
      </c>
      <c r="AQ1024" t="str">
        <f t="shared" si="157"/>
        <v>Medium</v>
      </c>
      <c r="AR1024" t="str">
        <f t="shared" si="158"/>
        <v>Short</v>
      </c>
      <c r="AS1024">
        <f t="shared" si="159"/>
        <v>0</v>
      </c>
    </row>
    <row r="1025" spans="1:4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s="20">
        <v>2066</v>
      </c>
      <c r="T1025">
        <v>10494</v>
      </c>
      <c r="U1025">
        <v>2</v>
      </c>
      <c r="V1025" t="s">
        <v>42</v>
      </c>
      <c r="W1025" t="s">
        <v>43</v>
      </c>
      <c r="X1025" s="19">
        <v>22</v>
      </c>
      <c r="Y1025">
        <v>4</v>
      </c>
      <c r="Z1025">
        <v>4</v>
      </c>
      <c r="AA1025">
        <v>80</v>
      </c>
      <c r="AB1025">
        <v>1</v>
      </c>
      <c r="AC1025">
        <v>5</v>
      </c>
      <c r="AD1025">
        <v>3</v>
      </c>
      <c r="AE1025">
        <v>4</v>
      </c>
      <c r="AF1025">
        <v>3</v>
      </c>
      <c r="AG1025">
        <v>2</v>
      </c>
      <c r="AH1025">
        <v>1</v>
      </c>
      <c r="AI1025">
        <v>0</v>
      </c>
      <c r="AJ1025">
        <f t="shared" si="150"/>
        <v>0</v>
      </c>
      <c r="AK1025">
        <f t="shared" si="151"/>
        <v>0</v>
      </c>
      <c r="AL1025">
        <f t="shared" si="152"/>
        <v>0</v>
      </c>
      <c r="AM1025">
        <f t="shared" si="153"/>
        <v>2.5</v>
      </c>
      <c r="AN1025">
        <f t="shared" si="154"/>
        <v>6198</v>
      </c>
      <c r="AO1025">
        <f t="shared" si="155"/>
        <v>0.5</v>
      </c>
      <c r="AP1025" t="str">
        <f t="shared" si="156"/>
        <v>50+</v>
      </c>
      <c r="AQ1025" t="str">
        <f t="shared" si="157"/>
        <v>Low</v>
      </c>
      <c r="AR1025" t="str">
        <f t="shared" si="158"/>
        <v>Short</v>
      </c>
      <c r="AS1025">
        <f t="shared" si="159"/>
        <v>0</v>
      </c>
    </row>
    <row r="1026" spans="1:4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s="20">
        <v>17169</v>
      </c>
      <c r="T1026">
        <v>26703</v>
      </c>
      <c r="U1026">
        <v>3</v>
      </c>
      <c r="V1026" t="s">
        <v>42</v>
      </c>
      <c r="W1026" t="s">
        <v>43</v>
      </c>
      <c r="X1026" s="19">
        <v>19</v>
      </c>
      <c r="Y1026">
        <v>3</v>
      </c>
      <c r="Z1026">
        <v>2</v>
      </c>
      <c r="AA1026">
        <v>80</v>
      </c>
      <c r="AB1026">
        <v>2</v>
      </c>
      <c r="AC1026">
        <v>26</v>
      </c>
      <c r="AD1026">
        <v>2</v>
      </c>
      <c r="AE1026">
        <v>4</v>
      </c>
      <c r="AF1026">
        <v>20</v>
      </c>
      <c r="AG1026">
        <v>17</v>
      </c>
      <c r="AH1026">
        <v>5</v>
      </c>
      <c r="AI1026">
        <v>6</v>
      </c>
      <c r="AJ1026">
        <f t="shared" si="150"/>
        <v>0</v>
      </c>
      <c r="AK1026">
        <f t="shared" si="151"/>
        <v>0</v>
      </c>
      <c r="AL1026">
        <f t="shared" si="152"/>
        <v>0</v>
      </c>
      <c r="AM1026">
        <f t="shared" si="153"/>
        <v>2.5</v>
      </c>
      <c r="AN1026">
        <f t="shared" si="154"/>
        <v>9810.8571428571431</v>
      </c>
      <c r="AO1026">
        <f t="shared" si="155"/>
        <v>0.7407407407407407</v>
      </c>
      <c r="AP1026" t="str">
        <f t="shared" si="156"/>
        <v>40-49</v>
      </c>
      <c r="AQ1026" t="str">
        <f t="shared" si="157"/>
        <v>Very High</v>
      </c>
      <c r="AR1026" t="str">
        <f t="shared" si="158"/>
        <v>Short</v>
      </c>
      <c r="AS1026">
        <f t="shared" si="159"/>
        <v>0</v>
      </c>
    </row>
    <row r="1027" spans="1:4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s="20">
        <v>4162</v>
      </c>
      <c r="T1027">
        <v>15211</v>
      </c>
      <c r="U1027">
        <v>1</v>
      </c>
      <c r="V1027" t="s">
        <v>42</v>
      </c>
      <c r="W1027" t="s">
        <v>35</v>
      </c>
      <c r="X1027" s="19">
        <v>12</v>
      </c>
      <c r="Y1027">
        <v>3</v>
      </c>
      <c r="Z1027">
        <v>3</v>
      </c>
      <c r="AA1027">
        <v>80</v>
      </c>
      <c r="AB1027">
        <v>2</v>
      </c>
      <c r="AC1027">
        <v>5</v>
      </c>
      <c r="AD1027">
        <v>3</v>
      </c>
      <c r="AE1027">
        <v>3</v>
      </c>
      <c r="AF1027">
        <v>5</v>
      </c>
      <c r="AG1027">
        <v>4</v>
      </c>
      <c r="AH1027">
        <v>0</v>
      </c>
      <c r="AI1027">
        <v>3</v>
      </c>
      <c r="AJ1027">
        <f t="shared" ref="AJ1027:AJ1090" si="160">IF(B1027="Yes",1,0)</f>
        <v>0</v>
      </c>
      <c r="AK1027">
        <f t="shared" ref="AK1027:AK1090" si="161">IF(W1027="Yes",1,0)</f>
        <v>1</v>
      </c>
      <c r="AL1027">
        <f t="shared" ref="AL1027:AL1090" si="162">IF(L1027="Male",1,0)</f>
        <v>0</v>
      </c>
      <c r="AM1027">
        <f t="shared" ref="AM1027:AM1090" si="163">AVERAGE(K1027,Q1027,Z1027,AE1027)</f>
        <v>3.25</v>
      </c>
      <c r="AN1027">
        <f t="shared" ref="AN1027:AN1090" si="164">(S1027*12)/(AF1027+1)</f>
        <v>8324</v>
      </c>
      <c r="AO1027">
        <f t="shared" ref="AO1027:AO1090" si="165">AF1027/(AC1027+1)</f>
        <v>0.83333333333333337</v>
      </c>
      <c r="AP1027" t="str">
        <f t="shared" ref="AP1027:AP1090" si="166">IF(A1027&lt;30,"Under 30",IF(A1027&lt;40,"30-39",IF(A1027&lt;50,"40-49","50+")))</f>
        <v>Under 30</v>
      </c>
      <c r="AQ1027" t="str">
        <f t="shared" ref="AQ1027:AQ1090" si="167">IF(S1027&lt;=$AV$1,"Low",IF(S1027&lt;=$AV$2,"Medium",IF(S1027&lt;=$AV$3,"High","Very High")))</f>
        <v>Medium</v>
      </c>
      <c r="AR1027" t="str">
        <f t="shared" ref="AR1027:AR1090" si="168">IF(F1027&lt;=5,"Short",IF(F1027&lt;=15,"Medium","Long"))</f>
        <v>Short</v>
      </c>
      <c r="AS1027">
        <f t="shared" ref="AS1027:AS1090" si="169">IF(C1027="Travel_Frequently",1,0)</f>
        <v>0</v>
      </c>
    </row>
    <row r="1028" spans="1:4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s="20">
        <v>9204</v>
      </c>
      <c r="T1028">
        <v>23343</v>
      </c>
      <c r="U1028">
        <v>4</v>
      </c>
      <c r="V1028" t="s">
        <v>42</v>
      </c>
      <c r="W1028" t="s">
        <v>43</v>
      </c>
      <c r="X1028" s="19">
        <v>12</v>
      </c>
      <c r="Y1028">
        <v>3</v>
      </c>
      <c r="Z1028">
        <v>3</v>
      </c>
      <c r="AA1028">
        <v>80</v>
      </c>
      <c r="AB1028">
        <v>1</v>
      </c>
      <c r="AC1028">
        <v>7</v>
      </c>
      <c r="AD1028">
        <v>3</v>
      </c>
      <c r="AE1028">
        <v>2</v>
      </c>
      <c r="AF1028">
        <v>4</v>
      </c>
      <c r="AG1028">
        <v>3</v>
      </c>
      <c r="AH1028">
        <v>0</v>
      </c>
      <c r="AI1028">
        <v>3</v>
      </c>
      <c r="AJ1028">
        <f t="shared" si="160"/>
        <v>0</v>
      </c>
      <c r="AK1028">
        <f t="shared" si="161"/>
        <v>0</v>
      </c>
      <c r="AL1028">
        <f t="shared" si="162"/>
        <v>1</v>
      </c>
      <c r="AM1028">
        <f t="shared" si="163"/>
        <v>3.25</v>
      </c>
      <c r="AN1028">
        <f t="shared" si="164"/>
        <v>22089.599999999999</v>
      </c>
      <c r="AO1028">
        <f t="shared" si="165"/>
        <v>0.5</v>
      </c>
      <c r="AP1028" t="str">
        <f t="shared" si="166"/>
        <v>30-39</v>
      </c>
      <c r="AQ1028" t="str">
        <f t="shared" si="167"/>
        <v>Very High</v>
      </c>
      <c r="AR1028" t="str">
        <f t="shared" si="168"/>
        <v>Medium</v>
      </c>
      <c r="AS1028">
        <f t="shared" si="169"/>
        <v>0</v>
      </c>
    </row>
    <row r="1029" spans="1:4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s="20">
        <v>3294</v>
      </c>
      <c r="T1029">
        <v>3708</v>
      </c>
      <c r="U1029">
        <v>5</v>
      </c>
      <c r="V1029" t="s">
        <v>42</v>
      </c>
      <c r="W1029" t="s">
        <v>43</v>
      </c>
      <c r="X1029" s="19">
        <v>17</v>
      </c>
      <c r="Y1029">
        <v>3</v>
      </c>
      <c r="Z1029">
        <v>1</v>
      </c>
      <c r="AA1029">
        <v>80</v>
      </c>
      <c r="AB1029">
        <v>1</v>
      </c>
      <c r="AC1029">
        <v>7</v>
      </c>
      <c r="AD1029">
        <v>2</v>
      </c>
      <c r="AE1029">
        <v>2</v>
      </c>
      <c r="AF1029">
        <v>5</v>
      </c>
      <c r="AG1029">
        <v>4</v>
      </c>
      <c r="AH1029">
        <v>0</v>
      </c>
      <c r="AI1029">
        <v>2</v>
      </c>
      <c r="AJ1029">
        <f t="shared" si="160"/>
        <v>0</v>
      </c>
      <c r="AK1029">
        <f t="shared" si="161"/>
        <v>0</v>
      </c>
      <c r="AL1029">
        <f t="shared" si="162"/>
        <v>0</v>
      </c>
      <c r="AM1029">
        <f t="shared" si="163"/>
        <v>2.25</v>
      </c>
      <c r="AN1029">
        <f t="shared" si="164"/>
        <v>6588</v>
      </c>
      <c r="AO1029">
        <f t="shared" si="165"/>
        <v>0.625</v>
      </c>
      <c r="AP1029" t="str">
        <f t="shared" si="166"/>
        <v>30-39</v>
      </c>
      <c r="AQ1029" t="str">
        <f t="shared" si="167"/>
        <v>Medium</v>
      </c>
      <c r="AR1029" t="str">
        <f t="shared" si="168"/>
        <v>Short</v>
      </c>
      <c r="AS1029">
        <f t="shared" si="169"/>
        <v>0</v>
      </c>
    </row>
    <row r="1030" spans="1:4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s="20">
        <v>2127</v>
      </c>
      <c r="T1030">
        <v>5561</v>
      </c>
      <c r="U1030">
        <v>2</v>
      </c>
      <c r="V1030" t="s">
        <v>42</v>
      </c>
      <c r="W1030" t="s">
        <v>35</v>
      </c>
      <c r="X1030" s="19">
        <v>12</v>
      </c>
      <c r="Y1030">
        <v>3</v>
      </c>
      <c r="Z1030">
        <v>1</v>
      </c>
      <c r="AA1030">
        <v>80</v>
      </c>
      <c r="AB1030">
        <v>0</v>
      </c>
      <c r="AC1030">
        <v>7</v>
      </c>
      <c r="AD1030">
        <v>5</v>
      </c>
      <c r="AE1030">
        <v>2</v>
      </c>
      <c r="AF1030">
        <v>4</v>
      </c>
      <c r="AG1030">
        <v>2</v>
      </c>
      <c r="AH1030">
        <v>0</v>
      </c>
      <c r="AI1030">
        <v>3</v>
      </c>
      <c r="AJ1030">
        <f t="shared" si="160"/>
        <v>0</v>
      </c>
      <c r="AK1030">
        <f t="shared" si="161"/>
        <v>1</v>
      </c>
      <c r="AL1030">
        <f t="shared" si="162"/>
        <v>1</v>
      </c>
      <c r="AM1030">
        <f t="shared" si="163"/>
        <v>2</v>
      </c>
      <c r="AN1030">
        <f t="shared" si="164"/>
        <v>5104.8</v>
      </c>
      <c r="AO1030">
        <f t="shared" si="165"/>
        <v>0.5</v>
      </c>
      <c r="AP1030" t="str">
        <f t="shared" si="166"/>
        <v>40-49</v>
      </c>
      <c r="AQ1030" t="str">
        <f t="shared" si="167"/>
        <v>Low</v>
      </c>
      <c r="AR1030" t="str">
        <f t="shared" si="168"/>
        <v>Short</v>
      </c>
      <c r="AS1030">
        <f t="shared" si="169"/>
        <v>0</v>
      </c>
    </row>
    <row r="1031" spans="1:4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s="20">
        <v>3975</v>
      </c>
      <c r="T1031">
        <v>23099</v>
      </c>
      <c r="U1031">
        <v>3</v>
      </c>
      <c r="V1031" t="s">
        <v>42</v>
      </c>
      <c r="W1031" t="s">
        <v>43</v>
      </c>
      <c r="X1031" s="19">
        <v>11</v>
      </c>
      <c r="Y1031">
        <v>3</v>
      </c>
      <c r="Z1031">
        <v>3</v>
      </c>
      <c r="AA1031">
        <v>80</v>
      </c>
      <c r="AB1031">
        <v>2</v>
      </c>
      <c r="AC1031">
        <v>11</v>
      </c>
      <c r="AD1031">
        <v>2</v>
      </c>
      <c r="AE1031">
        <v>4</v>
      </c>
      <c r="AF1031">
        <v>8</v>
      </c>
      <c r="AG1031">
        <v>7</v>
      </c>
      <c r="AH1031">
        <v>0</v>
      </c>
      <c r="AI1031">
        <v>7</v>
      </c>
      <c r="AJ1031">
        <f t="shared" si="160"/>
        <v>0</v>
      </c>
      <c r="AK1031">
        <f t="shared" si="161"/>
        <v>0</v>
      </c>
      <c r="AL1031">
        <f t="shared" si="162"/>
        <v>1</v>
      </c>
      <c r="AM1031">
        <f t="shared" si="163"/>
        <v>3.25</v>
      </c>
      <c r="AN1031">
        <f t="shared" si="164"/>
        <v>5300</v>
      </c>
      <c r="AO1031">
        <f t="shared" si="165"/>
        <v>0.66666666666666663</v>
      </c>
      <c r="AP1031" t="str">
        <f t="shared" si="166"/>
        <v>40-49</v>
      </c>
      <c r="AQ1031" t="str">
        <f t="shared" si="167"/>
        <v>Medium</v>
      </c>
      <c r="AR1031" t="str">
        <f t="shared" si="168"/>
        <v>Medium</v>
      </c>
      <c r="AS1031">
        <f t="shared" si="169"/>
        <v>0</v>
      </c>
    </row>
    <row r="1032" spans="1:4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s="20">
        <v>10793</v>
      </c>
      <c r="T1032">
        <v>8386</v>
      </c>
      <c r="U1032">
        <v>1</v>
      </c>
      <c r="V1032" t="s">
        <v>42</v>
      </c>
      <c r="W1032" t="s">
        <v>43</v>
      </c>
      <c r="X1032" s="19">
        <v>18</v>
      </c>
      <c r="Y1032">
        <v>3</v>
      </c>
      <c r="Z1032">
        <v>1</v>
      </c>
      <c r="AA1032">
        <v>80</v>
      </c>
      <c r="AB1032">
        <v>1</v>
      </c>
      <c r="AC1032">
        <v>13</v>
      </c>
      <c r="AD1032">
        <v>5</v>
      </c>
      <c r="AE1032">
        <v>3</v>
      </c>
      <c r="AF1032">
        <v>13</v>
      </c>
      <c r="AG1032">
        <v>7</v>
      </c>
      <c r="AH1032">
        <v>9</v>
      </c>
      <c r="AI1032">
        <v>9</v>
      </c>
      <c r="AJ1032">
        <f t="shared" si="160"/>
        <v>0</v>
      </c>
      <c r="AK1032">
        <f t="shared" si="161"/>
        <v>0</v>
      </c>
      <c r="AL1032">
        <f t="shared" si="162"/>
        <v>1</v>
      </c>
      <c r="AM1032">
        <f t="shared" si="163"/>
        <v>2.25</v>
      </c>
      <c r="AN1032">
        <f t="shared" si="164"/>
        <v>9251.1428571428569</v>
      </c>
      <c r="AO1032">
        <f t="shared" si="165"/>
        <v>0.9285714285714286</v>
      </c>
      <c r="AP1032" t="str">
        <f t="shared" si="166"/>
        <v>30-39</v>
      </c>
      <c r="AQ1032" t="str">
        <f t="shared" si="167"/>
        <v>Very High</v>
      </c>
      <c r="AR1032" t="str">
        <f t="shared" si="168"/>
        <v>Medium</v>
      </c>
      <c r="AS1032">
        <f t="shared" si="169"/>
        <v>0</v>
      </c>
    </row>
    <row r="1033" spans="1:4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s="20">
        <v>10096</v>
      </c>
      <c r="T1033">
        <v>15986</v>
      </c>
      <c r="U1033">
        <v>4</v>
      </c>
      <c r="V1033" t="s">
        <v>42</v>
      </c>
      <c r="W1033" t="s">
        <v>43</v>
      </c>
      <c r="X1033" s="19">
        <v>11</v>
      </c>
      <c r="Y1033">
        <v>3</v>
      </c>
      <c r="Z1033">
        <v>1</v>
      </c>
      <c r="AA1033">
        <v>80</v>
      </c>
      <c r="AB1033">
        <v>1</v>
      </c>
      <c r="AC1033">
        <v>28</v>
      </c>
      <c r="AD1033">
        <v>1</v>
      </c>
      <c r="AE1033">
        <v>4</v>
      </c>
      <c r="AF1033">
        <v>7</v>
      </c>
      <c r="AG1033">
        <v>7</v>
      </c>
      <c r="AH1033">
        <v>4</v>
      </c>
      <c r="AI1033">
        <v>3</v>
      </c>
      <c r="AJ1033">
        <f t="shared" si="160"/>
        <v>1</v>
      </c>
      <c r="AK1033">
        <f t="shared" si="161"/>
        <v>0</v>
      </c>
      <c r="AL1033">
        <f t="shared" si="162"/>
        <v>1</v>
      </c>
      <c r="AM1033">
        <f t="shared" si="163"/>
        <v>2.5</v>
      </c>
      <c r="AN1033">
        <f t="shared" si="164"/>
        <v>15144</v>
      </c>
      <c r="AO1033">
        <f t="shared" si="165"/>
        <v>0.2413793103448276</v>
      </c>
      <c r="AP1033" t="str">
        <f t="shared" si="166"/>
        <v>40-49</v>
      </c>
      <c r="AQ1033" t="str">
        <f t="shared" si="167"/>
        <v>Very High</v>
      </c>
      <c r="AR1033" t="str">
        <f t="shared" si="168"/>
        <v>Medium</v>
      </c>
      <c r="AS1033">
        <f t="shared" si="169"/>
        <v>0</v>
      </c>
    </row>
    <row r="1034" spans="1:4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s="20">
        <v>3646</v>
      </c>
      <c r="T1034">
        <v>17181</v>
      </c>
      <c r="U1034">
        <v>2</v>
      </c>
      <c r="V1034" t="s">
        <v>42</v>
      </c>
      <c r="W1034" t="s">
        <v>35</v>
      </c>
      <c r="X1034" s="19">
        <v>23</v>
      </c>
      <c r="Y1034">
        <v>4</v>
      </c>
      <c r="Z1034">
        <v>2</v>
      </c>
      <c r="AA1034">
        <v>80</v>
      </c>
      <c r="AB1034">
        <v>0</v>
      </c>
      <c r="AC1034">
        <v>11</v>
      </c>
      <c r="AD1034">
        <v>2</v>
      </c>
      <c r="AE1034">
        <v>4</v>
      </c>
      <c r="AF1034">
        <v>1</v>
      </c>
      <c r="AG1034">
        <v>0</v>
      </c>
      <c r="AH1034">
        <v>0</v>
      </c>
      <c r="AI1034">
        <v>0</v>
      </c>
      <c r="AJ1034">
        <f t="shared" si="160"/>
        <v>1</v>
      </c>
      <c r="AK1034">
        <f t="shared" si="161"/>
        <v>1</v>
      </c>
      <c r="AL1034">
        <f t="shared" si="162"/>
        <v>0</v>
      </c>
      <c r="AM1034">
        <f t="shared" si="163"/>
        <v>2</v>
      </c>
      <c r="AN1034">
        <f t="shared" si="164"/>
        <v>21876</v>
      </c>
      <c r="AO1034">
        <f t="shared" si="165"/>
        <v>8.3333333333333329E-2</v>
      </c>
      <c r="AP1034" t="str">
        <f t="shared" si="166"/>
        <v>30-39</v>
      </c>
      <c r="AQ1034" t="str">
        <f t="shared" si="167"/>
        <v>Medium</v>
      </c>
      <c r="AR1034" t="str">
        <f t="shared" si="168"/>
        <v>Short</v>
      </c>
      <c r="AS1034">
        <f t="shared" si="169"/>
        <v>0</v>
      </c>
    </row>
    <row r="1035" spans="1:4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s="20">
        <v>7446</v>
      </c>
      <c r="T1035">
        <v>8931</v>
      </c>
      <c r="U1035">
        <v>1</v>
      </c>
      <c r="V1035" t="s">
        <v>42</v>
      </c>
      <c r="W1035" t="s">
        <v>43</v>
      </c>
      <c r="X1035" s="19">
        <v>11</v>
      </c>
      <c r="Y1035">
        <v>3</v>
      </c>
      <c r="Z1035">
        <v>1</v>
      </c>
      <c r="AA1035">
        <v>80</v>
      </c>
      <c r="AB1035">
        <v>0</v>
      </c>
      <c r="AC1035">
        <v>10</v>
      </c>
      <c r="AD1035">
        <v>2</v>
      </c>
      <c r="AE1035">
        <v>3</v>
      </c>
      <c r="AF1035">
        <v>10</v>
      </c>
      <c r="AG1035">
        <v>8</v>
      </c>
      <c r="AH1035">
        <v>4</v>
      </c>
      <c r="AI1035">
        <v>7</v>
      </c>
      <c r="AJ1035">
        <f t="shared" si="160"/>
        <v>1</v>
      </c>
      <c r="AK1035">
        <f t="shared" si="161"/>
        <v>0</v>
      </c>
      <c r="AL1035">
        <f t="shared" si="162"/>
        <v>0</v>
      </c>
      <c r="AM1035">
        <f t="shared" si="163"/>
        <v>2.25</v>
      </c>
      <c r="AN1035">
        <f t="shared" si="164"/>
        <v>8122.909090909091</v>
      </c>
      <c r="AO1035">
        <f t="shared" si="165"/>
        <v>0.90909090909090906</v>
      </c>
      <c r="AP1035" t="str">
        <f t="shared" si="166"/>
        <v>30-39</v>
      </c>
      <c r="AQ1035" t="str">
        <f t="shared" si="167"/>
        <v>High</v>
      </c>
      <c r="AR1035" t="str">
        <f t="shared" si="168"/>
        <v>Short</v>
      </c>
      <c r="AS1035">
        <f t="shared" si="169"/>
        <v>1</v>
      </c>
    </row>
    <row r="1036" spans="1:4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s="20">
        <v>10851</v>
      </c>
      <c r="T1036">
        <v>19863</v>
      </c>
      <c r="U1036">
        <v>2</v>
      </c>
      <c r="V1036" t="s">
        <v>42</v>
      </c>
      <c r="W1036" t="s">
        <v>35</v>
      </c>
      <c r="X1036" s="19">
        <v>18</v>
      </c>
      <c r="Y1036">
        <v>3</v>
      </c>
      <c r="Z1036">
        <v>2</v>
      </c>
      <c r="AA1036">
        <v>80</v>
      </c>
      <c r="AB1036">
        <v>1</v>
      </c>
      <c r="AC1036">
        <v>24</v>
      </c>
      <c r="AD1036">
        <v>2</v>
      </c>
      <c r="AE1036">
        <v>3</v>
      </c>
      <c r="AF1036">
        <v>7</v>
      </c>
      <c r="AG1036">
        <v>7</v>
      </c>
      <c r="AH1036">
        <v>0</v>
      </c>
      <c r="AI1036">
        <v>7</v>
      </c>
      <c r="AJ1036">
        <f t="shared" si="160"/>
        <v>0</v>
      </c>
      <c r="AK1036">
        <f t="shared" si="161"/>
        <v>1</v>
      </c>
      <c r="AL1036">
        <f t="shared" si="162"/>
        <v>1</v>
      </c>
      <c r="AM1036">
        <f t="shared" si="163"/>
        <v>2</v>
      </c>
      <c r="AN1036">
        <f t="shared" si="164"/>
        <v>16276.5</v>
      </c>
      <c r="AO1036">
        <f t="shared" si="165"/>
        <v>0.28000000000000003</v>
      </c>
      <c r="AP1036" t="str">
        <f t="shared" si="166"/>
        <v>40-49</v>
      </c>
      <c r="AQ1036" t="str">
        <f t="shared" si="167"/>
        <v>Very High</v>
      </c>
      <c r="AR1036" t="str">
        <f t="shared" si="168"/>
        <v>Long</v>
      </c>
      <c r="AS1036">
        <f t="shared" si="169"/>
        <v>0</v>
      </c>
    </row>
    <row r="1037" spans="1:4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s="20">
        <v>2109</v>
      </c>
      <c r="T1037">
        <v>24609</v>
      </c>
      <c r="U1037">
        <v>9</v>
      </c>
      <c r="V1037" t="s">
        <v>42</v>
      </c>
      <c r="W1037" t="s">
        <v>43</v>
      </c>
      <c r="X1037" s="19">
        <v>18</v>
      </c>
      <c r="Y1037">
        <v>3</v>
      </c>
      <c r="Z1037">
        <v>4</v>
      </c>
      <c r="AA1037">
        <v>80</v>
      </c>
      <c r="AB1037">
        <v>0</v>
      </c>
      <c r="AC1037">
        <v>8</v>
      </c>
      <c r="AD1037">
        <v>3</v>
      </c>
      <c r="AE1037">
        <v>3</v>
      </c>
      <c r="AF1037">
        <v>3</v>
      </c>
      <c r="AG1037">
        <v>2</v>
      </c>
      <c r="AH1037">
        <v>0</v>
      </c>
      <c r="AI1037">
        <v>2</v>
      </c>
      <c r="AJ1037">
        <f t="shared" si="160"/>
        <v>0</v>
      </c>
      <c r="AK1037">
        <f t="shared" si="161"/>
        <v>0</v>
      </c>
      <c r="AL1037">
        <f t="shared" si="162"/>
        <v>0</v>
      </c>
      <c r="AM1037">
        <f t="shared" si="163"/>
        <v>3.25</v>
      </c>
      <c r="AN1037">
        <f t="shared" si="164"/>
        <v>6327</v>
      </c>
      <c r="AO1037">
        <f t="shared" si="165"/>
        <v>0.33333333333333331</v>
      </c>
      <c r="AP1037" t="str">
        <f t="shared" si="166"/>
        <v>30-39</v>
      </c>
      <c r="AQ1037" t="str">
        <f t="shared" si="167"/>
        <v>Low</v>
      </c>
      <c r="AR1037" t="str">
        <f t="shared" si="168"/>
        <v>Medium</v>
      </c>
      <c r="AS1037">
        <f t="shared" si="169"/>
        <v>0</v>
      </c>
    </row>
    <row r="1038" spans="1:4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s="20">
        <v>3722</v>
      </c>
      <c r="T1038">
        <v>21081</v>
      </c>
      <c r="U1038">
        <v>6</v>
      </c>
      <c r="V1038" t="s">
        <v>42</v>
      </c>
      <c r="W1038" t="s">
        <v>35</v>
      </c>
      <c r="X1038" s="19">
        <v>13</v>
      </c>
      <c r="Y1038">
        <v>3</v>
      </c>
      <c r="Z1038">
        <v>3</v>
      </c>
      <c r="AA1038">
        <v>80</v>
      </c>
      <c r="AB1038">
        <v>1</v>
      </c>
      <c r="AC1038">
        <v>7</v>
      </c>
      <c r="AD1038">
        <v>2</v>
      </c>
      <c r="AE1038">
        <v>1</v>
      </c>
      <c r="AF1038">
        <v>2</v>
      </c>
      <c r="AG1038">
        <v>2</v>
      </c>
      <c r="AH1038">
        <v>2</v>
      </c>
      <c r="AI1038">
        <v>2</v>
      </c>
      <c r="AJ1038">
        <f t="shared" si="160"/>
        <v>1</v>
      </c>
      <c r="AK1038">
        <f t="shared" si="161"/>
        <v>1</v>
      </c>
      <c r="AL1038">
        <f t="shared" si="162"/>
        <v>1</v>
      </c>
      <c r="AM1038">
        <f t="shared" si="163"/>
        <v>2.5</v>
      </c>
      <c r="AN1038">
        <f t="shared" si="164"/>
        <v>14888</v>
      </c>
      <c r="AO1038">
        <f t="shared" si="165"/>
        <v>0.25</v>
      </c>
      <c r="AP1038" t="str">
        <f t="shared" si="166"/>
        <v>30-39</v>
      </c>
      <c r="AQ1038" t="str">
        <f t="shared" si="167"/>
        <v>Medium</v>
      </c>
      <c r="AR1038" t="str">
        <f t="shared" si="168"/>
        <v>Short</v>
      </c>
      <c r="AS1038">
        <f t="shared" si="169"/>
        <v>1</v>
      </c>
    </row>
    <row r="1039" spans="1:4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s="20">
        <v>9380</v>
      </c>
      <c r="T1039">
        <v>14720</v>
      </c>
      <c r="U1039">
        <v>4</v>
      </c>
      <c r="V1039" t="s">
        <v>42</v>
      </c>
      <c r="W1039" t="s">
        <v>35</v>
      </c>
      <c r="X1039" s="19">
        <v>18</v>
      </c>
      <c r="Y1039">
        <v>3</v>
      </c>
      <c r="Z1039">
        <v>4</v>
      </c>
      <c r="AA1039">
        <v>80</v>
      </c>
      <c r="AB1039">
        <v>2</v>
      </c>
      <c r="AC1039">
        <v>10</v>
      </c>
      <c r="AD1039">
        <v>4</v>
      </c>
      <c r="AE1039">
        <v>4</v>
      </c>
      <c r="AF1039">
        <v>3</v>
      </c>
      <c r="AG1039">
        <v>1</v>
      </c>
      <c r="AH1039">
        <v>1</v>
      </c>
      <c r="AI1039">
        <v>2</v>
      </c>
      <c r="AJ1039">
        <f t="shared" si="160"/>
        <v>0</v>
      </c>
      <c r="AK1039">
        <f t="shared" si="161"/>
        <v>1</v>
      </c>
      <c r="AL1039">
        <f t="shared" si="162"/>
        <v>1</v>
      </c>
      <c r="AM1039">
        <f t="shared" si="163"/>
        <v>3.5</v>
      </c>
      <c r="AN1039">
        <f t="shared" si="164"/>
        <v>28140</v>
      </c>
      <c r="AO1039">
        <f t="shared" si="165"/>
        <v>0.27272727272727271</v>
      </c>
      <c r="AP1039" t="str">
        <f t="shared" si="166"/>
        <v>40-49</v>
      </c>
      <c r="AQ1039" t="str">
        <f t="shared" si="167"/>
        <v>Very High</v>
      </c>
      <c r="AR1039" t="str">
        <f t="shared" si="168"/>
        <v>Long</v>
      </c>
      <c r="AS1039">
        <f t="shared" si="169"/>
        <v>0</v>
      </c>
    </row>
    <row r="1040" spans="1:4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s="20">
        <v>5486</v>
      </c>
      <c r="T1040">
        <v>24795</v>
      </c>
      <c r="U1040">
        <v>4</v>
      </c>
      <c r="V1040" t="s">
        <v>42</v>
      </c>
      <c r="W1040" t="s">
        <v>43</v>
      </c>
      <c r="X1040" s="19">
        <v>11</v>
      </c>
      <c r="Y1040">
        <v>3</v>
      </c>
      <c r="Z1040">
        <v>1</v>
      </c>
      <c r="AA1040">
        <v>80</v>
      </c>
      <c r="AB1040">
        <v>3</v>
      </c>
      <c r="AC1040">
        <v>15</v>
      </c>
      <c r="AD1040">
        <v>3</v>
      </c>
      <c r="AE1040">
        <v>3</v>
      </c>
      <c r="AF1040">
        <v>2</v>
      </c>
      <c r="AG1040">
        <v>2</v>
      </c>
      <c r="AH1040">
        <v>2</v>
      </c>
      <c r="AI1040">
        <v>2</v>
      </c>
      <c r="AJ1040">
        <f t="shared" si="160"/>
        <v>0</v>
      </c>
      <c r="AK1040">
        <f t="shared" si="161"/>
        <v>0</v>
      </c>
      <c r="AL1040">
        <f t="shared" si="162"/>
        <v>1</v>
      </c>
      <c r="AM1040">
        <f t="shared" si="163"/>
        <v>2</v>
      </c>
      <c r="AN1040">
        <f t="shared" si="164"/>
        <v>21944</v>
      </c>
      <c r="AO1040">
        <f t="shared" si="165"/>
        <v>0.125</v>
      </c>
      <c r="AP1040" t="str">
        <f t="shared" si="166"/>
        <v>40-49</v>
      </c>
      <c r="AQ1040" t="str">
        <f t="shared" si="167"/>
        <v>High</v>
      </c>
      <c r="AR1040" t="str">
        <f t="shared" si="168"/>
        <v>Medium</v>
      </c>
      <c r="AS1040">
        <f t="shared" si="169"/>
        <v>0</v>
      </c>
    </row>
    <row r="1041" spans="1:4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s="20">
        <v>2742</v>
      </c>
      <c r="T1041">
        <v>3072</v>
      </c>
      <c r="U1041">
        <v>1</v>
      </c>
      <c r="V1041" t="s">
        <v>42</v>
      </c>
      <c r="W1041" t="s">
        <v>43</v>
      </c>
      <c r="X1041" s="19">
        <v>15</v>
      </c>
      <c r="Y1041">
        <v>3</v>
      </c>
      <c r="Z1041">
        <v>4</v>
      </c>
      <c r="AA1041">
        <v>80</v>
      </c>
      <c r="AB1041">
        <v>0</v>
      </c>
      <c r="AC1041">
        <v>2</v>
      </c>
      <c r="AD1041">
        <v>0</v>
      </c>
      <c r="AE1041">
        <v>3</v>
      </c>
      <c r="AF1041">
        <v>2</v>
      </c>
      <c r="AG1041">
        <v>2</v>
      </c>
      <c r="AH1041">
        <v>2</v>
      </c>
      <c r="AI1041">
        <v>2</v>
      </c>
      <c r="AJ1041">
        <f t="shared" si="160"/>
        <v>1</v>
      </c>
      <c r="AK1041">
        <f t="shared" si="161"/>
        <v>0</v>
      </c>
      <c r="AL1041">
        <f t="shared" si="162"/>
        <v>0</v>
      </c>
      <c r="AM1041">
        <f t="shared" si="163"/>
        <v>2.75</v>
      </c>
      <c r="AN1041">
        <f t="shared" si="164"/>
        <v>10968</v>
      </c>
      <c r="AO1041">
        <f t="shared" si="165"/>
        <v>0.66666666666666663</v>
      </c>
      <c r="AP1041" t="str">
        <f t="shared" si="166"/>
        <v>30-39</v>
      </c>
      <c r="AQ1041" t="str">
        <f t="shared" si="167"/>
        <v>Low</v>
      </c>
      <c r="AR1041" t="str">
        <f t="shared" si="168"/>
        <v>Medium</v>
      </c>
      <c r="AS1041">
        <f t="shared" si="169"/>
        <v>0</v>
      </c>
    </row>
    <row r="1042" spans="1:4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s="20">
        <v>13757</v>
      </c>
      <c r="T1042">
        <v>25178</v>
      </c>
      <c r="U1042">
        <v>2</v>
      </c>
      <c r="V1042" t="s">
        <v>42</v>
      </c>
      <c r="W1042" t="s">
        <v>43</v>
      </c>
      <c r="X1042" s="19">
        <v>11</v>
      </c>
      <c r="Y1042">
        <v>3</v>
      </c>
      <c r="Z1042">
        <v>3</v>
      </c>
      <c r="AA1042">
        <v>80</v>
      </c>
      <c r="AB1042">
        <v>1</v>
      </c>
      <c r="AC1042">
        <v>16</v>
      </c>
      <c r="AD1042">
        <v>5</v>
      </c>
      <c r="AE1042">
        <v>3</v>
      </c>
      <c r="AF1042">
        <v>9</v>
      </c>
      <c r="AG1042">
        <v>8</v>
      </c>
      <c r="AH1042">
        <v>4</v>
      </c>
      <c r="AI1042">
        <v>8</v>
      </c>
      <c r="AJ1042">
        <f t="shared" si="160"/>
        <v>0</v>
      </c>
      <c r="AK1042">
        <f t="shared" si="161"/>
        <v>0</v>
      </c>
      <c r="AL1042">
        <f t="shared" si="162"/>
        <v>1</v>
      </c>
      <c r="AM1042">
        <f t="shared" si="163"/>
        <v>3</v>
      </c>
      <c r="AN1042">
        <f t="shared" si="164"/>
        <v>16508.400000000001</v>
      </c>
      <c r="AO1042">
        <f t="shared" si="165"/>
        <v>0.52941176470588236</v>
      </c>
      <c r="AP1042" t="str">
        <f t="shared" si="166"/>
        <v>40-49</v>
      </c>
      <c r="AQ1042" t="str">
        <f t="shared" si="167"/>
        <v>Very High</v>
      </c>
      <c r="AR1042" t="str">
        <f t="shared" si="168"/>
        <v>Medium</v>
      </c>
      <c r="AS1042">
        <f t="shared" si="169"/>
        <v>0</v>
      </c>
    </row>
    <row r="1043" spans="1:4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s="20">
        <v>8463</v>
      </c>
      <c r="T1043">
        <v>23490</v>
      </c>
      <c r="U1043">
        <v>0</v>
      </c>
      <c r="V1043" t="s">
        <v>42</v>
      </c>
      <c r="W1043" t="s">
        <v>43</v>
      </c>
      <c r="X1043" s="19">
        <v>18</v>
      </c>
      <c r="Y1043">
        <v>3</v>
      </c>
      <c r="Z1043">
        <v>4</v>
      </c>
      <c r="AA1043">
        <v>80</v>
      </c>
      <c r="AB1043">
        <v>0</v>
      </c>
      <c r="AC1043">
        <v>6</v>
      </c>
      <c r="AD1043">
        <v>4</v>
      </c>
      <c r="AE1043">
        <v>3</v>
      </c>
      <c r="AF1043">
        <v>5</v>
      </c>
      <c r="AG1043">
        <v>4</v>
      </c>
      <c r="AH1043">
        <v>1</v>
      </c>
      <c r="AI1043">
        <v>3</v>
      </c>
      <c r="AJ1043">
        <f t="shared" si="160"/>
        <v>0</v>
      </c>
      <c r="AK1043">
        <f t="shared" si="161"/>
        <v>0</v>
      </c>
      <c r="AL1043">
        <f t="shared" si="162"/>
        <v>1</v>
      </c>
      <c r="AM1043">
        <f t="shared" si="163"/>
        <v>3</v>
      </c>
      <c r="AN1043">
        <f t="shared" si="164"/>
        <v>16926</v>
      </c>
      <c r="AO1043">
        <f t="shared" si="165"/>
        <v>0.7142857142857143</v>
      </c>
      <c r="AP1043" t="str">
        <f t="shared" si="166"/>
        <v>Under 30</v>
      </c>
      <c r="AQ1043" t="str">
        <f t="shared" si="167"/>
        <v>Very High</v>
      </c>
      <c r="AR1043" t="str">
        <f t="shared" si="168"/>
        <v>Short</v>
      </c>
      <c r="AS1043">
        <f t="shared" si="169"/>
        <v>0</v>
      </c>
    </row>
    <row r="1044" spans="1:4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s="20">
        <v>3162</v>
      </c>
      <c r="T1044">
        <v>7973</v>
      </c>
      <c r="U1044">
        <v>3</v>
      </c>
      <c r="V1044" t="s">
        <v>42</v>
      </c>
      <c r="W1044" t="s">
        <v>43</v>
      </c>
      <c r="X1044" s="19">
        <v>14</v>
      </c>
      <c r="Y1044">
        <v>3</v>
      </c>
      <c r="Z1044">
        <v>4</v>
      </c>
      <c r="AA1044">
        <v>80</v>
      </c>
      <c r="AB1044">
        <v>0</v>
      </c>
      <c r="AC1044">
        <v>7</v>
      </c>
      <c r="AD1044">
        <v>5</v>
      </c>
      <c r="AE1044">
        <v>3</v>
      </c>
      <c r="AF1044">
        <v>5</v>
      </c>
      <c r="AG1044">
        <v>2</v>
      </c>
      <c r="AH1044">
        <v>0</v>
      </c>
      <c r="AI1044">
        <v>3</v>
      </c>
      <c r="AJ1044">
        <f t="shared" si="160"/>
        <v>0</v>
      </c>
      <c r="AK1044">
        <f t="shared" si="161"/>
        <v>0</v>
      </c>
      <c r="AL1044">
        <f t="shared" si="162"/>
        <v>1</v>
      </c>
      <c r="AM1044">
        <f t="shared" si="163"/>
        <v>3.25</v>
      </c>
      <c r="AN1044">
        <f t="shared" si="164"/>
        <v>6324</v>
      </c>
      <c r="AO1044">
        <f t="shared" si="165"/>
        <v>0.625</v>
      </c>
      <c r="AP1044" t="str">
        <f t="shared" si="166"/>
        <v>40-49</v>
      </c>
      <c r="AQ1044" t="str">
        <f t="shared" si="167"/>
        <v>Medium</v>
      </c>
      <c r="AR1044" t="str">
        <f t="shared" si="168"/>
        <v>Short</v>
      </c>
      <c r="AS1044">
        <f t="shared" si="169"/>
        <v>0</v>
      </c>
    </row>
    <row r="1045" spans="1:4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s="20">
        <v>16598</v>
      </c>
      <c r="T1045">
        <v>19764</v>
      </c>
      <c r="U1045">
        <v>4</v>
      </c>
      <c r="V1045" t="s">
        <v>42</v>
      </c>
      <c r="W1045" t="s">
        <v>43</v>
      </c>
      <c r="X1045" s="19">
        <v>12</v>
      </c>
      <c r="Y1045">
        <v>3</v>
      </c>
      <c r="Z1045">
        <v>2</v>
      </c>
      <c r="AA1045">
        <v>80</v>
      </c>
      <c r="AB1045">
        <v>0</v>
      </c>
      <c r="AC1045">
        <v>35</v>
      </c>
      <c r="AD1045">
        <v>2</v>
      </c>
      <c r="AE1045">
        <v>2</v>
      </c>
      <c r="AF1045">
        <v>9</v>
      </c>
      <c r="AG1045">
        <v>8</v>
      </c>
      <c r="AH1045">
        <v>8</v>
      </c>
      <c r="AI1045">
        <v>8</v>
      </c>
      <c r="AJ1045">
        <f t="shared" si="160"/>
        <v>0</v>
      </c>
      <c r="AK1045">
        <f t="shared" si="161"/>
        <v>0</v>
      </c>
      <c r="AL1045">
        <f t="shared" si="162"/>
        <v>1</v>
      </c>
      <c r="AM1045">
        <f t="shared" si="163"/>
        <v>2.5</v>
      </c>
      <c r="AN1045">
        <f t="shared" si="164"/>
        <v>19917.599999999999</v>
      </c>
      <c r="AO1045">
        <f t="shared" si="165"/>
        <v>0.25</v>
      </c>
      <c r="AP1045" t="str">
        <f t="shared" si="166"/>
        <v>50+</v>
      </c>
      <c r="AQ1045" t="str">
        <f t="shared" si="167"/>
        <v>Very High</v>
      </c>
      <c r="AR1045" t="str">
        <f t="shared" si="168"/>
        <v>Short</v>
      </c>
      <c r="AS1045">
        <f t="shared" si="169"/>
        <v>0</v>
      </c>
    </row>
    <row r="1046" spans="1:4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s="20">
        <v>6651</v>
      </c>
      <c r="T1046">
        <v>21534</v>
      </c>
      <c r="U1046">
        <v>2</v>
      </c>
      <c r="V1046" t="s">
        <v>42</v>
      </c>
      <c r="W1046" t="s">
        <v>43</v>
      </c>
      <c r="X1046" s="19">
        <v>14</v>
      </c>
      <c r="Y1046">
        <v>3</v>
      </c>
      <c r="Z1046">
        <v>2</v>
      </c>
      <c r="AA1046">
        <v>80</v>
      </c>
      <c r="AB1046">
        <v>1</v>
      </c>
      <c r="AC1046">
        <v>20</v>
      </c>
      <c r="AD1046">
        <v>0</v>
      </c>
      <c r="AE1046">
        <v>2</v>
      </c>
      <c r="AF1046">
        <v>3</v>
      </c>
      <c r="AG1046">
        <v>2</v>
      </c>
      <c r="AH1046">
        <v>1</v>
      </c>
      <c r="AI1046">
        <v>2</v>
      </c>
      <c r="AJ1046">
        <f t="shared" si="160"/>
        <v>0</v>
      </c>
      <c r="AK1046">
        <f t="shared" si="161"/>
        <v>0</v>
      </c>
      <c r="AL1046">
        <f t="shared" si="162"/>
        <v>1</v>
      </c>
      <c r="AM1046">
        <f t="shared" si="163"/>
        <v>2</v>
      </c>
      <c r="AN1046">
        <f t="shared" si="164"/>
        <v>19953</v>
      </c>
      <c r="AO1046">
        <f t="shared" si="165"/>
        <v>0.14285714285714285</v>
      </c>
      <c r="AP1046" t="str">
        <f t="shared" si="166"/>
        <v>40-49</v>
      </c>
      <c r="AQ1046" t="str">
        <f t="shared" si="167"/>
        <v>High</v>
      </c>
      <c r="AR1046" t="str">
        <f t="shared" si="168"/>
        <v>Short</v>
      </c>
      <c r="AS1046">
        <f t="shared" si="169"/>
        <v>0</v>
      </c>
    </row>
    <row r="1047" spans="1:4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s="20">
        <v>2345</v>
      </c>
      <c r="T1047">
        <v>8045</v>
      </c>
      <c r="U1047">
        <v>2</v>
      </c>
      <c r="V1047" t="s">
        <v>42</v>
      </c>
      <c r="W1047" t="s">
        <v>43</v>
      </c>
      <c r="X1047" s="19">
        <v>14</v>
      </c>
      <c r="Y1047">
        <v>3</v>
      </c>
      <c r="Z1047">
        <v>3</v>
      </c>
      <c r="AA1047">
        <v>80</v>
      </c>
      <c r="AB1047">
        <v>1</v>
      </c>
      <c r="AC1047">
        <v>8</v>
      </c>
      <c r="AD1047">
        <v>3</v>
      </c>
      <c r="AE1047">
        <v>4</v>
      </c>
      <c r="AF1047">
        <v>3</v>
      </c>
      <c r="AG1047">
        <v>1</v>
      </c>
      <c r="AH1047">
        <v>1</v>
      </c>
      <c r="AI1047">
        <v>2</v>
      </c>
      <c r="AJ1047">
        <f t="shared" si="160"/>
        <v>0</v>
      </c>
      <c r="AK1047">
        <f t="shared" si="161"/>
        <v>0</v>
      </c>
      <c r="AL1047">
        <f t="shared" si="162"/>
        <v>1</v>
      </c>
      <c r="AM1047">
        <f t="shared" si="163"/>
        <v>3.25</v>
      </c>
      <c r="AN1047">
        <f t="shared" si="164"/>
        <v>7035</v>
      </c>
      <c r="AO1047">
        <f t="shared" si="165"/>
        <v>0.33333333333333331</v>
      </c>
      <c r="AP1047" t="str">
        <f t="shared" si="166"/>
        <v>40-49</v>
      </c>
      <c r="AQ1047" t="str">
        <f t="shared" si="167"/>
        <v>Low</v>
      </c>
      <c r="AR1047" t="str">
        <f t="shared" si="168"/>
        <v>Short</v>
      </c>
      <c r="AS1047">
        <f t="shared" si="169"/>
        <v>0</v>
      </c>
    </row>
    <row r="1048" spans="1:4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s="20">
        <v>3420</v>
      </c>
      <c r="T1048">
        <v>21158</v>
      </c>
      <c r="U1048">
        <v>1</v>
      </c>
      <c r="V1048" t="s">
        <v>42</v>
      </c>
      <c r="W1048" t="s">
        <v>43</v>
      </c>
      <c r="X1048" s="19">
        <v>13</v>
      </c>
      <c r="Y1048">
        <v>3</v>
      </c>
      <c r="Z1048">
        <v>3</v>
      </c>
      <c r="AA1048">
        <v>80</v>
      </c>
      <c r="AB1048">
        <v>0</v>
      </c>
      <c r="AC1048">
        <v>6</v>
      </c>
      <c r="AD1048">
        <v>3</v>
      </c>
      <c r="AE1048">
        <v>2</v>
      </c>
      <c r="AF1048">
        <v>5</v>
      </c>
      <c r="AG1048">
        <v>2</v>
      </c>
      <c r="AH1048">
        <v>1</v>
      </c>
      <c r="AI1048">
        <v>3</v>
      </c>
      <c r="AJ1048">
        <f t="shared" si="160"/>
        <v>0</v>
      </c>
      <c r="AK1048">
        <f t="shared" si="161"/>
        <v>0</v>
      </c>
      <c r="AL1048">
        <f t="shared" si="162"/>
        <v>1</v>
      </c>
      <c r="AM1048">
        <f t="shared" si="163"/>
        <v>2.75</v>
      </c>
      <c r="AN1048">
        <f t="shared" si="164"/>
        <v>6840</v>
      </c>
      <c r="AO1048">
        <f t="shared" si="165"/>
        <v>0.7142857142857143</v>
      </c>
      <c r="AP1048" t="str">
        <f t="shared" si="166"/>
        <v>40-49</v>
      </c>
      <c r="AQ1048" t="str">
        <f t="shared" si="167"/>
        <v>Medium</v>
      </c>
      <c r="AR1048" t="str">
        <f t="shared" si="168"/>
        <v>Long</v>
      </c>
      <c r="AS1048">
        <f t="shared" si="169"/>
        <v>0</v>
      </c>
    </row>
    <row r="1049" spans="1:4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s="20">
        <v>4373</v>
      </c>
      <c r="T1049">
        <v>17456</v>
      </c>
      <c r="U1049">
        <v>0</v>
      </c>
      <c r="V1049" t="s">
        <v>42</v>
      </c>
      <c r="W1049" t="s">
        <v>43</v>
      </c>
      <c r="X1049" s="19">
        <v>14</v>
      </c>
      <c r="Y1049">
        <v>3</v>
      </c>
      <c r="Z1049">
        <v>1</v>
      </c>
      <c r="AA1049">
        <v>80</v>
      </c>
      <c r="AB1049">
        <v>2</v>
      </c>
      <c r="AC1049">
        <v>5</v>
      </c>
      <c r="AD1049">
        <v>2</v>
      </c>
      <c r="AE1049">
        <v>3</v>
      </c>
      <c r="AF1049">
        <v>4</v>
      </c>
      <c r="AG1049">
        <v>3</v>
      </c>
      <c r="AH1049">
        <v>0</v>
      </c>
      <c r="AI1049">
        <v>3</v>
      </c>
      <c r="AJ1049">
        <f t="shared" si="160"/>
        <v>0</v>
      </c>
      <c r="AK1049">
        <f t="shared" si="161"/>
        <v>0</v>
      </c>
      <c r="AL1049">
        <f t="shared" si="162"/>
        <v>1</v>
      </c>
      <c r="AM1049">
        <f t="shared" si="163"/>
        <v>2.25</v>
      </c>
      <c r="AN1049">
        <f t="shared" si="164"/>
        <v>10495.2</v>
      </c>
      <c r="AO1049">
        <f t="shared" si="165"/>
        <v>0.66666666666666663</v>
      </c>
      <c r="AP1049" t="str">
        <f t="shared" si="166"/>
        <v>30-39</v>
      </c>
      <c r="AQ1049" t="str">
        <f t="shared" si="167"/>
        <v>Medium</v>
      </c>
      <c r="AR1049" t="str">
        <f t="shared" si="168"/>
        <v>Medium</v>
      </c>
      <c r="AS1049">
        <f t="shared" si="169"/>
        <v>1</v>
      </c>
    </row>
    <row r="1050" spans="1:4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s="20">
        <v>4759</v>
      </c>
      <c r="T1050">
        <v>15891</v>
      </c>
      <c r="U1050">
        <v>3</v>
      </c>
      <c r="V1050" t="s">
        <v>42</v>
      </c>
      <c r="W1050" t="s">
        <v>43</v>
      </c>
      <c r="X1050" s="19">
        <v>18</v>
      </c>
      <c r="Y1050">
        <v>3</v>
      </c>
      <c r="Z1050">
        <v>4</v>
      </c>
      <c r="AA1050">
        <v>80</v>
      </c>
      <c r="AB1050">
        <v>0</v>
      </c>
      <c r="AC1050">
        <v>15</v>
      </c>
      <c r="AD1050">
        <v>2</v>
      </c>
      <c r="AE1050">
        <v>3</v>
      </c>
      <c r="AF1050">
        <v>13</v>
      </c>
      <c r="AG1050">
        <v>9</v>
      </c>
      <c r="AH1050">
        <v>3</v>
      </c>
      <c r="AI1050">
        <v>12</v>
      </c>
      <c r="AJ1050">
        <f t="shared" si="160"/>
        <v>0</v>
      </c>
      <c r="AK1050">
        <f t="shared" si="161"/>
        <v>0</v>
      </c>
      <c r="AL1050">
        <f t="shared" si="162"/>
        <v>1</v>
      </c>
      <c r="AM1050">
        <f t="shared" si="163"/>
        <v>3</v>
      </c>
      <c r="AN1050">
        <f t="shared" si="164"/>
        <v>4079.1428571428573</v>
      </c>
      <c r="AO1050">
        <f t="shared" si="165"/>
        <v>0.8125</v>
      </c>
      <c r="AP1050" t="str">
        <f t="shared" si="166"/>
        <v>30-39</v>
      </c>
      <c r="AQ1050" t="str">
        <f t="shared" si="167"/>
        <v>Medium</v>
      </c>
      <c r="AR1050" t="str">
        <f t="shared" si="168"/>
        <v>Short</v>
      </c>
      <c r="AS1050">
        <f t="shared" si="169"/>
        <v>0</v>
      </c>
    </row>
    <row r="1051" spans="1:4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s="20">
        <v>5301</v>
      </c>
      <c r="T1051">
        <v>2939</v>
      </c>
      <c r="U1051">
        <v>8</v>
      </c>
      <c r="V1051" t="s">
        <v>42</v>
      </c>
      <c r="W1051" t="s">
        <v>43</v>
      </c>
      <c r="X1051" s="19">
        <v>15</v>
      </c>
      <c r="Y1051">
        <v>3</v>
      </c>
      <c r="Z1051">
        <v>3</v>
      </c>
      <c r="AA1051">
        <v>80</v>
      </c>
      <c r="AB1051">
        <v>2</v>
      </c>
      <c r="AC1051">
        <v>4</v>
      </c>
      <c r="AD1051">
        <v>2</v>
      </c>
      <c r="AE1051">
        <v>2</v>
      </c>
      <c r="AF1051">
        <v>2</v>
      </c>
      <c r="AG1051">
        <v>1</v>
      </c>
      <c r="AH1051">
        <v>2</v>
      </c>
      <c r="AI1051">
        <v>2</v>
      </c>
      <c r="AJ1051">
        <f t="shared" si="160"/>
        <v>0</v>
      </c>
      <c r="AK1051">
        <f t="shared" si="161"/>
        <v>0</v>
      </c>
      <c r="AL1051">
        <f t="shared" si="162"/>
        <v>1</v>
      </c>
      <c r="AM1051">
        <f t="shared" si="163"/>
        <v>3</v>
      </c>
      <c r="AN1051">
        <f t="shared" si="164"/>
        <v>21204</v>
      </c>
      <c r="AO1051">
        <f t="shared" si="165"/>
        <v>0.4</v>
      </c>
      <c r="AP1051" t="str">
        <f t="shared" si="166"/>
        <v>30-39</v>
      </c>
      <c r="AQ1051" t="str">
        <f t="shared" si="167"/>
        <v>High</v>
      </c>
      <c r="AR1051" t="str">
        <f t="shared" si="168"/>
        <v>Long</v>
      </c>
      <c r="AS1051">
        <f t="shared" si="169"/>
        <v>0</v>
      </c>
    </row>
    <row r="1052" spans="1:4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s="20">
        <v>3673</v>
      </c>
      <c r="T1052">
        <v>16458</v>
      </c>
      <c r="U1052">
        <v>1</v>
      </c>
      <c r="V1052" t="s">
        <v>42</v>
      </c>
      <c r="W1052" t="s">
        <v>43</v>
      </c>
      <c r="X1052" s="19">
        <v>13</v>
      </c>
      <c r="Y1052">
        <v>3</v>
      </c>
      <c r="Z1052">
        <v>3</v>
      </c>
      <c r="AA1052">
        <v>80</v>
      </c>
      <c r="AB1052">
        <v>0</v>
      </c>
      <c r="AC1052">
        <v>12</v>
      </c>
      <c r="AD1052">
        <v>3</v>
      </c>
      <c r="AE1052">
        <v>3</v>
      </c>
      <c r="AF1052">
        <v>12</v>
      </c>
      <c r="AG1052">
        <v>9</v>
      </c>
      <c r="AH1052">
        <v>5</v>
      </c>
      <c r="AI1052">
        <v>8</v>
      </c>
      <c r="AJ1052">
        <f t="shared" si="160"/>
        <v>0</v>
      </c>
      <c r="AK1052">
        <f t="shared" si="161"/>
        <v>0</v>
      </c>
      <c r="AL1052">
        <f t="shared" si="162"/>
        <v>0</v>
      </c>
      <c r="AM1052">
        <f t="shared" si="163"/>
        <v>2.75</v>
      </c>
      <c r="AN1052">
        <f t="shared" si="164"/>
        <v>3390.4615384615386</v>
      </c>
      <c r="AO1052">
        <f t="shared" si="165"/>
        <v>0.92307692307692313</v>
      </c>
      <c r="AP1052" t="str">
        <f t="shared" si="166"/>
        <v>40-49</v>
      </c>
      <c r="AQ1052" t="str">
        <f t="shared" si="167"/>
        <v>Medium</v>
      </c>
      <c r="AR1052" t="str">
        <f t="shared" si="168"/>
        <v>Medium</v>
      </c>
      <c r="AS1052">
        <f t="shared" si="169"/>
        <v>1</v>
      </c>
    </row>
    <row r="1053" spans="1:4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s="20">
        <v>4768</v>
      </c>
      <c r="T1053">
        <v>9282</v>
      </c>
      <c r="U1053">
        <v>7</v>
      </c>
      <c r="V1053" t="s">
        <v>42</v>
      </c>
      <c r="W1053" t="s">
        <v>43</v>
      </c>
      <c r="X1053" s="19">
        <v>12</v>
      </c>
      <c r="Y1053">
        <v>3</v>
      </c>
      <c r="Z1053">
        <v>3</v>
      </c>
      <c r="AA1053">
        <v>80</v>
      </c>
      <c r="AB1053">
        <v>1</v>
      </c>
      <c r="AC1053">
        <v>11</v>
      </c>
      <c r="AD1053">
        <v>4</v>
      </c>
      <c r="AE1053">
        <v>2</v>
      </c>
      <c r="AF1053">
        <v>1</v>
      </c>
      <c r="AG1053">
        <v>0</v>
      </c>
      <c r="AH1053">
        <v>0</v>
      </c>
      <c r="AI1053">
        <v>0</v>
      </c>
      <c r="AJ1053">
        <f t="shared" si="160"/>
        <v>0</v>
      </c>
      <c r="AK1053">
        <f t="shared" si="161"/>
        <v>0</v>
      </c>
      <c r="AL1053">
        <f t="shared" si="162"/>
        <v>0</v>
      </c>
      <c r="AM1053">
        <f t="shared" si="163"/>
        <v>2.25</v>
      </c>
      <c r="AN1053">
        <f t="shared" si="164"/>
        <v>28608</v>
      </c>
      <c r="AO1053">
        <f t="shared" si="165"/>
        <v>8.3333333333333329E-2</v>
      </c>
      <c r="AP1053" t="str">
        <f t="shared" si="166"/>
        <v>40-49</v>
      </c>
      <c r="AQ1053" t="str">
        <f t="shared" si="167"/>
        <v>Medium</v>
      </c>
      <c r="AR1053" t="str">
        <f t="shared" si="168"/>
        <v>Short</v>
      </c>
      <c r="AS1053">
        <f t="shared" si="169"/>
        <v>1</v>
      </c>
    </row>
    <row r="1054" spans="1:4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s="20">
        <v>1274</v>
      </c>
      <c r="T1054">
        <v>7152</v>
      </c>
      <c r="U1054">
        <v>1</v>
      </c>
      <c r="V1054" t="s">
        <v>42</v>
      </c>
      <c r="W1054" t="s">
        <v>43</v>
      </c>
      <c r="X1054" s="19">
        <v>13</v>
      </c>
      <c r="Y1054">
        <v>3</v>
      </c>
      <c r="Z1054">
        <v>2</v>
      </c>
      <c r="AA1054">
        <v>80</v>
      </c>
      <c r="AB1054">
        <v>2</v>
      </c>
      <c r="AC1054">
        <v>1</v>
      </c>
      <c r="AD1054">
        <v>2</v>
      </c>
      <c r="AE1054">
        <v>2</v>
      </c>
      <c r="AF1054">
        <v>1</v>
      </c>
      <c r="AG1054">
        <v>0</v>
      </c>
      <c r="AH1054">
        <v>0</v>
      </c>
      <c r="AI1054">
        <v>0</v>
      </c>
      <c r="AJ1054">
        <f t="shared" si="160"/>
        <v>0</v>
      </c>
      <c r="AK1054">
        <f t="shared" si="161"/>
        <v>0</v>
      </c>
      <c r="AL1054">
        <f t="shared" si="162"/>
        <v>1</v>
      </c>
      <c r="AM1054">
        <f t="shared" si="163"/>
        <v>2.5</v>
      </c>
      <c r="AN1054">
        <f t="shared" si="164"/>
        <v>7644</v>
      </c>
      <c r="AO1054">
        <f t="shared" si="165"/>
        <v>0.5</v>
      </c>
      <c r="AP1054" t="str">
        <f t="shared" si="166"/>
        <v>30-39</v>
      </c>
      <c r="AQ1054" t="str">
        <f t="shared" si="167"/>
        <v>Low</v>
      </c>
      <c r="AR1054" t="str">
        <f t="shared" si="168"/>
        <v>Medium</v>
      </c>
      <c r="AS1054">
        <f t="shared" si="169"/>
        <v>0</v>
      </c>
    </row>
    <row r="1055" spans="1:4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s="20">
        <v>4900</v>
      </c>
      <c r="T1055">
        <v>2721</v>
      </c>
      <c r="U1055">
        <v>0</v>
      </c>
      <c r="V1055" t="s">
        <v>42</v>
      </c>
      <c r="W1055" t="s">
        <v>43</v>
      </c>
      <c r="X1055" s="19">
        <v>24</v>
      </c>
      <c r="Y1055">
        <v>4</v>
      </c>
      <c r="Z1055">
        <v>1</v>
      </c>
      <c r="AA1055">
        <v>80</v>
      </c>
      <c r="AB1055">
        <v>1</v>
      </c>
      <c r="AC1055">
        <v>13</v>
      </c>
      <c r="AD1055">
        <v>2</v>
      </c>
      <c r="AE1055">
        <v>2</v>
      </c>
      <c r="AF1055">
        <v>12</v>
      </c>
      <c r="AG1055">
        <v>9</v>
      </c>
      <c r="AH1055">
        <v>2</v>
      </c>
      <c r="AI1055">
        <v>8</v>
      </c>
      <c r="AJ1055">
        <f t="shared" si="160"/>
        <v>0</v>
      </c>
      <c r="AK1055">
        <f t="shared" si="161"/>
        <v>0</v>
      </c>
      <c r="AL1055">
        <f t="shared" si="162"/>
        <v>1</v>
      </c>
      <c r="AM1055">
        <f t="shared" si="163"/>
        <v>2</v>
      </c>
      <c r="AN1055">
        <f t="shared" si="164"/>
        <v>4523.0769230769229</v>
      </c>
      <c r="AO1055">
        <f t="shared" si="165"/>
        <v>0.8571428571428571</v>
      </c>
      <c r="AP1055" t="str">
        <f t="shared" si="166"/>
        <v>50+</v>
      </c>
      <c r="AQ1055" t="str">
        <f t="shared" si="167"/>
        <v>Medium</v>
      </c>
      <c r="AR1055" t="str">
        <f t="shared" si="168"/>
        <v>Short</v>
      </c>
      <c r="AS1055">
        <f t="shared" si="169"/>
        <v>0</v>
      </c>
    </row>
    <row r="1056" spans="1:4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s="20">
        <v>10466</v>
      </c>
      <c r="T1056">
        <v>20948</v>
      </c>
      <c r="U1056">
        <v>3</v>
      </c>
      <c r="V1056" t="s">
        <v>42</v>
      </c>
      <c r="W1056" t="s">
        <v>43</v>
      </c>
      <c r="X1056" s="19">
        <v>14</v>
      </c>
      <c r="Y1056">
        <v>3</v>
      </c>
      <c r="Z1056">
        <v>2</v>
      </c>
      <c r="AA1056">
        <v>80</v>
      </c>
      <c r="AB1056">
        <v>2</v>
      </c>
      <c r="AC1056">
        <v>29</v>
      </c>
      <c r="AD1056">
        <v>3</v>
      </c>
      <c r="AE1056">
        <v>3</v>
      </c>
      <c r="AF1056">
        <v>8</v>
      </c>
      <c r="AG1056">
        <v>7</v>
      </c>
      <c r="AH1056">
        <v>0</v>
      </c>
      <c r="AI1056">
        <v>7</v>
      </c>
      <c r="AJ1056">
        <f t="shared" si="160"/>
        <v>0</v>
      </c>
      <c r="AK1056">
        <f t="shared" si="161"/>
        <v>0</v>
      </c>
      <c r="AL1056">
        <f t="shared" si="162"/>
        <v>1</v>
      </c>
      <c r="AM1056">
        <f t="shared" si="163"/>
        <v>2.5</v>
      </c>
      <c r="AN1056">
        <f t="shared" si="164"/>
        <v>13954.666666666666</v>
      </c>
      <c r="AO1056">
        <f t="shared" si="165"/>
        <v>0.26666666666666666</v>
      </c>
      <c r="AP1056" t="str">
        <f t="shared" si="166"/>
        <v>40-49</v>
      </c>
      <c r="AQ1056" t="str">
        <f t="shared" si="167"/>
        <v>Very High</v>
      </c>
      <c r="AR1056" t="str">
        <f t="shared" si="168"/>
        <v>Medium</v>
      </c>
      <c r="AS1056">
        <f t="shared" si="169"/>
        <v>0</v>
      </c>
    </row>
    <row r="1057" spans="1:4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s="20">
        <v>17007</v>
      </c>
      <c r="T1057">
        <v>11929</v>
      </c>
      <c r="U1057">
        <v>7</v>
      </c>
      <c r="V1057" t="s">
        <v>42</v>
      </c>
      <c r="W1057" t="s">
        <v>43</v>
      </c>
      <c r="X1057" s="19">
        <v>14</v>
      </c>
      <c r="Y1057">
        <v>3</v>
      </c>
      <c r="Z1057">
        <v>4</v>
      </c>
      <c r="AA1057">
        <v>80</v>
      </c>
      <c r="AB1057">
        <v>2</v>
      </c>
      <c r="AC1057">
        <v>16</v>
      </c>
      <c r="AD1057">
        <v>3</v>
      </c>
      <c r="AE1057">
        <v>2</v>
      </c>
      <c r="AF1057">
        <v>14</v>
      </c>
      <c r="AG1057">
        <v>8</v>
      </c>
      <c r="AH1057">
        <v>6</v>
      </c>
      <c r="AI1057">
        <v>9</v>
      </c>
      <c r="AJ1057">
        <f t="shared" si="160"/>
        <v>0</v>
      </c>
      <c r="AK1057">
        <f t="shared" si="161"/>
        <v>0</v>
      </c>
      <c r="AL1057">
        <f t="shared" si="162"/>
        <v>1</v>
      </c>
      <c r="AM1057">
        <f t="shared" si="163"/>
        <v>2.25</v>
      </c>
      <c r="AN1057">
        <f t="shared" si="164"/>
        <v>13605.6</v>
      </c>
      <c r="AO1057">
        <f t="shared" si="165"/>
        <v>0.82352941176470584</v>
      </c>
      <c r="AP1057" t="str">
        <f t="shared" si="166"/>
        <v>30-39</v>
      </c>
      <c r="AQ1057" t="str">
        <f t="shared" si="167"/>
        <v>Very High</v>
      </c>
      <c r="AR1057" t="str">
        <f t="shared" si="168"/>
        <v>Medium</v>
      </c>
      <c r="AS1057">
        <f t="shared" si="169"/>
        <v>1</v>
      </c>
    </row>
    <row r="1058" spans="1:4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s="20">
        <v>2909</v>
      </c>
      <c r="T1058">
        <v>15747</v>
      </c>
      <c r="U1058">
        <v>3</v>
      </c>
      <c r="V1058" t="s">
        <v>42</v>
      </c>
      <c r="W1058" t="s">
        <v>43</v>
      </c>
      <c r="X1058" s="19">
        <v>15</v>
      </c>
      <c r="Y1058">
        <v>3</v>
      </c>
      <c r="Z1058">
        <v>4</v>
      </c>
      <c r="AA1058">
        <v>80</v>
      </c>
      <c r="AB1058">
        <v>1</v>
      </c>
      <c r="AC1058">
        <v>5</v>
      </c>
      <c r="AD1058">
        <v>3</v>
      </c>
      <c r="AE1058">
        <v>4</v>
      </c>
      <c r="AF1058">
        <v>3</v>
      </c>
      <c r="AG1058">
        <v>2</v>
      </c>
      <c r="AH1058">
        <v>1</v>
      </c>
      <c r="AI1058">
        <v>2</v>
      </c>
      <c r="AJ1058">
        <f t="shared" si="160"/>
        <v>1</v>
      </c>
      <c r="AK1058">
        <f t="shared" si="161"/>
        <v>0</v>
      </c>
      <c r="AL1058">
        <f t="shared" si="162"/>
        <v>1</v>
      </c>
      <c r="AM1058">
        <f t="shared" si="163"/>
        <v>3</v>
      </c>
      <c r="AN1058">
        <f t="shared" si="164"/>
        <v>8727</v>
      </c>
      <c r="AO1058">
        <f t="shared" si="165"/>
        <v>0.5</v>
      </c>
      <c r="AP1058" t="str">
        <f t="shared" si="166"/>
        <v>Under 30</v>
      </c>
      <c r="AQ1058" t="str">
        <f t="shared" si="167"/>
        <v>Medium</v>
      </c>
      <c r="AR1058" t="str">
        <f t="shared" si="168"/>
        <v>Short</v>
      </c>
      <c r="AS1058">
        <f t="shared" si="169"/>
        <v>1</v>
      </c>
    </row>
    <row r="1059" spans="1:4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s="20">
        <v>5765</v>
      </c>
      <c r="T1059">
        <v>17485</v>
      </c>
      <c r="U1059">
        <v>5</v>
      </c>
      <c r="V1059" t="s">
        <v>42</v>
      </c>
      <c r="W1059" t="s">
        <v>43</v>
      </c>
      <c r="X1059" s="19">
        <v>11</v>
      </c>
      <c r="Y1059">
        <v>3</v>
      </c>
      <c r="Z1059">
        <v>1</v>
      </c>
      <c r="AA1059">
        <v>80</v>
      </c>
      <c r="AB1059">
        <v>0</v>
      </c>
      <c r="AC1059">
        <v>7</v>
      </c>
      <c r="AD1059">
        <v>4</v>
      </c>
      <c r="AE1059">
        <v>1</v>
      </c>
      <c r="AF1059">
        <v>5</v>
      </c>
      <c r="AG1059">
        <v>3</v>
      </c>
      <c r="AH1059">
        <v>0</v>
      </c>
      <c r="AI1059">
        <v>0</v>
      </c>
      <c r="AJ1059">
        <f t="shared" si="160"/>
        <v>1</v>
      </c>
      <c r="AK1059">
        <f t="shared" si="161"/>
        <v>0</v>
      </c>
      <c r="AL1059">
        <f t="shared" si="162"/>
        <v>0</v>
      </c>
      <c r="AM1059">
        <f t="shared" si="163"/>
        <v>1.25</v>
      </c>
      <c r="AN1059">
        <f t="shared" si="164"/>
        <v>11530</v>
      </c>
      <c r="AO1059">
        <f t="shared" si="165"/>
        <v>0.625</v>
      </c>
      <c r="AP1059" t="str">
        <f t="shared" si="166"/>
        <v>Under 30</v>
      </c>
      <c r="AQ1059" t="str">
        <f t="shared" si="167"/>
        <v>High</v>
      </c>
      <c r="AR1059" t="str">
        <f t="shared" si="168"/>
        <v>Medium</v>
      </c>
      <c r="AS1059">
        <f t="shared" si="169"/>
        <v>1</v>
      </c>
    </row>
    <row r="1060" spans="1:4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s="20">
        <v>4599</v>
      </c>
      <c r="T1060">
        <v>7815</v>
      </c>
      <c r="U1060">
        <v>0</v>
      </c>
      <c r="V1060" t="s">
        <v>42</v>
      </c>
      <c r="W1060" t="s">
        <v>35</v>
      </c>
      <c r="X1060" s="19">
        <v>23</v>
      </c>
      <c r="Y1060">
        <v>4</v>
      </c>
      <c r="Z1060">
        <v>3</v>
      </c>
      <c r="AA1060">
        <v>80</v>
      </c>
      <c r="AB1060">
        <v>0</v>
      </c>
      <c r="AC1060">
        <v>16</v>
      </c>
      <c r="AD1060">
        <v>2</v>
      </c>
      <c r="AE1060">
        <v>4</v>
      </c>
      <c r="AF1060">
        <v>15</v>
      </c>
      <c r="AG1060">
        <v>9</v>
      </c>
      <c r="AH1060">
        <v>10</v>
      </c>
      <c r="AI1060">
        <v>10</v>
      </c>
      <c r="AJ1060">
        <f t="shared" si="160"/>
        <v>1</v>
      </c>
      <c r="AK1060">
        <f t="shared" si="161"/>
        <v>1</v>
      </c>
      <c r="AL1060">
        <f t="shared" si="162"/>
        <v>0</v>
      </c>
      <c r="AM1060">
        <f t="shared" si="163"/>
        <v>2.5</v>
      </c>
      <c r="AN1060">
        <f t="shared" si="164"/>
        <v>3449.25</v>
      </c>
      <c r="AO1060">
        <f t="shared" si="165"/>
        <v>0.88235294117647056</v>
      </c>
      <c r="AP1060" t="str">
        <f t="shared" si="166"/>
        <v>30-39</v>
      </c>
      <c r="AQ1060" t="str">
        <f t="shared" si="167"/>
        <v>Medium</v>
      </c>
      <c r="AR1060" t="str">
        <f t="shared" si="168"/>
        <v>Long</v>
      </c>
      <c r="AS1060">
        <f t="shared" si="169"/>
        <v>0</v>
      </c>
    </row>
    <row r="1061" spans="1:4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s="20">
        <v>2404</v>
      </c>
      <c r="T1061">
        <v>16192</v>
      </c>
      <c r="U1061">
        <v>1</v>
      </c>
      <c r="V1061" t="s">
        <v>42</v>
      </c>
      <c r="W1061" t="s">
        <v>43</v>
      </c>
      <c r="X1061" s="19">
        <v>13</v>
      </c>
      <c r="Y1061">
        <v>3</v>
      </c>
      <c r="Z1061">
        <v>1</v>
      </c>
      <c r="AA1061">
        <v>80</v>
      </c>
      <c r="AB1061">
        <v>1</v>
      </c>
      <c r="AC1061">
        <v>1</v>
      </c>
      <c r="AD1061">
        <v>3</v>
      </c>
      <c r="AE1061">
        <v>3</v>
      </c>
      <c r="AF1061">
        <v>1</v>
      </c>
      <c r="AG1061">
        <v>0</v>
      </c>
      <c r="AH1061">
        <v>0</v>
      </c>
      <c r="AI1061">
        <v>0</v>
      </c>
      <c r="AJ1061">
        <f t="shared" si="160"/>
        <v>0</v>
      </c>
      <c r="AK1061">
        <f t="shared" si="161"/>
        <v>0</v>
      </c>
      <c r="AL1061">
        <f t="shared" si="162"/>
        <v>1</v>
      </c>
      <c r="AM1061">
        <f t="shared" si="163"/>
        <v>2.75</v>
      </c>
      <c r="AN1061">
        <f t="shared" si="164"/>
        <v>14424</v>
      </c>
      <c r="AO1061">
        <f t="shared" si="165"/>
        <v>0.5</v>
      </c>
      <c r="AP1061" t="str">
        <f t="shared" si="166"/>
        <v>30-39</v>
      </c>
      <c r="AQ1061" t="str">
        <f t="shared" si="167"/>
        <v>Low</v>
      </c>
      <c r="AR1061" t="str">
        <f t="shared" si="168"/>
        <v>Medium</v>
      </c>
      <c r="AS1061">
        <f t="shared" si="169"/>
        <v>0</v>
      </c>
    </row>
    <row r="1062" spans="1:4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s="20">
        <v>3172</v>
      </c>
      <c r="T1062">
        <v>16998</v>
      </c>
      <c r="U1062">
        <v>2</v>
      </c>
      <c r="V1062" t="s">
        <v>42</v>
      </c>
      <c r="W1062" t="s">
        <v>35</v>
      </c>
      <c r="X1062" s="19">
        <v>11</v>
      </c>
      <c r="Y1062">
        <v>3</v>
      </c>
      <c r="Z1062">
        <v>3</v>
      </c>
      <c r="AA1062">
        <v>80</v>
      </c>
      <c r="AB1062">
        <v>0</v>
      </c>
      <c r="AC1062">
        <v>10</v>
      </c>
      <c r="AD1062">
        <v>2</v>
      </c>
      <c r="AE1062">
        <v>2</v>
      </c>
      <c r="AF1062">
        <v>0</v>
      </c>
      <c r="AG1062">
        <v>0</v>
      </c>
      <c r="AH1062">
        <v>0</v>
      </c>
      <c r="AI1062">
        <v>0</v>
      </c>
      <c r="AJ1062">
        <f t="shared" si="160"/>
        <v>1</v>
      </c>
      <c r="AK1062">
        <f t="shared" si="161"/>
        <v>1</v>
      </c>
      <c r="AL1062">
        <f t="shared" si="162"/>
        <v>1</v>
      </c>
      <c r="AM1062">
        <f t="shared" si="163"/>
        <v>2</v>
      </c>
      <c r="AN1062">
        <f t="shared" si="164"/>
        <v>38064</v>
      </c>
      <c r="AO1062">
        <f t="shared" si="165"/>
        <v>0</v>
      </c>
      <c r="AP1062" t="str">
        <f t="shared" si="166"/>
        <v>Under 30</v>
      </c>
      <c r="AQ1062" t="str">
        <f t="shared" si="167"/>
        <v>Medium</v>
      </c>
      <c r="AR1062" t="str">
        <f t="shared" si="168"/>
        <v>Medium</v>
      </c>
      <c r="AS1062">
        <f t="shared" si="169"/>
        <v>1</v>
      </c>
    </row>
    <row r="1063" spans="1:4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s="20">
        <v>2033</v>
      </c>
      <c r="T1063">
        <v>7103</v>
      </c>
      <c r="U1063">
        <v>1</v>
      </c>
      <c r="V1063" t="s">
        <v>42</v>
      </c>
      <c r="W1063" t="s">
        <v>43</v>
      </c>
      <c r="X1063" s="19">
        <v>13</v>
      </c>
      <c r="Y1063">
        <v>3</v>
      </c>
      <c r="Z1063">
        <v>3</v>
      </c>
      <c r="AA1063">
        <v>80</v>
      </c>
      <c r="AB1063">
        <v>1</v>
      </c>
      <c r="AC1063">
        <v>1</v>
      </c>
      <c r="AD1063">
        <v>2</v>
      </c>
      <c r="AE1063">
        <v>3</v>
      </c>
      <c r="AF1063">
        <v>1</v>
      </c>
      <c r="AG1063">
        <v>0</v>
      </c>
      <c r="AH1063">
        <v>0</v>
      </c>
      <c r="AI1063">
        <v>0</v>
      </c>
      <c r="AJ1063">
        <f t="shared" si="160"/>
        <v>0</v>
      </c>
      <c r="AK1063">
        <f t="shared" si="161"/>
        <v>0</v>
      </c>
      <c r="AL1063">
        <f t="shared" si="162"/>
        <v>0</v>
      </c>
      <c r="AM1063">
        <f t="shared" si="163"/>
        <v>3</v>
      </c>
      <c r="AN1063">
        <f t="shared" si="164"/>
        <v>12198</v>
      </c>
      <c r="AO1063">
        <f t="shared" si="165"/>
        <v>0.5</v>
      </c>
      <c r="AP1063" t="str">
        <f t="shared" si="166"/>
        <v>Under 30</v>
      </c>
      <c r="AQ1063" t="str">
        <f t="shared" si="167"/>
        <v>Low</v>
      </c>
      <c r="AR1063" t="str">
        <f t="shared" si="168"/>
        <v>Medium</v>
      </c>
      <c r="AS1063">
        <f t="shared" si="169"/>
        <v>0</v>
      </c>
    </row>
    <row r="1064" spans="1:4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s="20">
        <v>10209</v>
      </c>
      <c r="T1064">
        <v>19719</v>
      </c>
      <c r="U1064">
        <v>5</v>
      </c>
      <c r="V1064" t="s">
        <v>42</v>
      </c>
      <c r="W1064" t="s">
        <v>35</v>
      </c>
      <c r="X1064" s="19">
        <v>18</v>
      </c>
      <c r="Y1064">
        <v>3</v>
      </c>
      <c r="Z1064">
        <v>2</v>
      </c>
      <c r="AA1064">
        <v>80</v>
      </c>
      <c r="AB1064">
        <v>0</v>
      </c>
      <c r="AC1064">
        <v>16</v>
      </c>
      <c r="AD1064">
        <v>2</v>
      </c>
      <c r="AE1064">
        <v>2</v>
      </c>
      <c r="AF1064">
        <v>2</v>
      </c>
      <c r="AG1064">
        <v>2</v>
      </c>
      <c r="AH1064">
        <v>2</v>
      </c>
      <c r="AI1064">
        <v>2</v>
      </c>
      <c r="AJ1064">
        <f t="shared" si="160"/>
        <v>0</v>
      </c>
      <c r="AK1064">
        <f t="shared" si="161"/>
        <v>1</v>
      </c>
      <c r="AL1064">
        <f t="shared" si="162"/>
        <v>1</v>
      </c>
      <c r="AM1064">
        <f t="shared" si="163"/>
        <v>2.25</v>
      </c>
      <c r="AN1064">
        <f t="shared" si="164"/>
        <v>40836</v>
      </c>
      <c r="AO1064">
        <f t="shared" si="165"/>
        <v>0.11764705882352941</v>
      </c>
      <c r="AP1064" t="str">
        <f t="shared" si="166"/>
        <v>40-49</v>
      </c>
      <c r="AQ1064" t="str">
        <f t="shared" si="167"/>
        <v>Very High</v>
      </c>
      <c r="AR1064" t="str">
        <f t="shared" si="168"/>
        <v>Short</v>
      </c>
      <c r="AS1064">
        <f t="shared" si="169"/>
        <v>1</v>
      </c>
    </row>
    <row r="1065" spans="1:4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s="20">
        <v>8620</v>
      </c>
      <c r="T1065">
        <v>23757</v>
      </c>
      <c r="U1065">
        <v>1</v>
      </c>
      <c r="V1065" t="s">
        <v>42</v>
      </c>
      <c r="W1065" t="s">
        <v>43</v>
      </c>
      <c r="X1065" s="19">
        <v>14</v>
      </c>
      <c r="Y1065">
        <v>3</v>
      </c>
      <c r="Z1065">
        <v>3</v>
      </c>
      <c r="AA1065">
        <v>80</v>
      </c>
      <c r="AB1065">
        <v>2</v>
      </c>
      <c r="AC1065">
        <v>10</v>
      </c>
      <c r="AD1065">
        <v>3</v>
      </c>
      <c r="AE1065">
        <v>3</v>
      </c>
      <c r="AF1065">
        <v>10</v>
      </c>
      <c r="AG1065">
        <v>7</v>
      </c>
      <c r="AH1065">
        <v>0</v>
      </c>
      <c r="AI1065">
        <v>4</v>
      </c>
      <c r="AJ1065">
        <f t="shared" si="160"/>
        <v>0</v>
      </c>
      <c r="AK1065">
        <f t="shared" si="161"/>
        <v>0</v>
      </c>
      <c r="AL1065">
        <f t="shared" si="162"/>
        <v>1</v>
      </c>
      <c r="AM1065">
        <f t="shared" si="163"/>
        <v>3</v>
      </c>
      <c r="AN1065">
        <f t="shared" si="164"/>
        <v>9403.636363636364</v>
      </c>
      <c r="AO1065">
        <f t="shared" si="165"/>
        <v>0.90909090909090906</v>
      </c>
      <c r="AP1065" t="str">
        <f t="shared" si="166"/>
        <v>Under 30</v>
      </c>
      <c r="AQ1065" t="str">
        <f t="shared" si="167"/>
        <v>Very High</v>
      </c>
      <c r="AR1065" t="str">
        <f t="shared" si="168"/>
        <v>Long</v>
      </c>
      <c r="AS1065">
        <f t="shared" si="169"/>
        <v>0</v>
      </c>
    </row>
    <row r="1066" spans="1:4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s="20">
        <v>2064</v>
      </c>
      <c r="T1066">
        <v>15428</v>
      </c>
      <c r="U1066">
        <v>0</v>
      </c>
      <c r="V1066" t="s">
        <v>42</v>
      </c>
      <c r="W1066" t="s">
        <v>43</v>
      </c>
      <c r="X1066" s="19">
        <v>21</v>
      </c>
      <c r="Y1066">
        <v>4</v>
      </c>
      <c r="Z1066">
        <v>1</v>
      </c>
      <c r="AA1066">
        <v>80</v>
      </c>
      <c r="AB1066">
        <v>1</v>
      </c>
      <c r="AC1066">
        <v>6</v>
      </c>
      <c r="AD1066">
        <v>3</v>
      </c>
      <c r="AE1066">
        <v>4</v>
      </c>
      <c r="AF1066">
        <v>5</v>
      </c>
      <c r="AG1066">
        <v>3</v>
      </c>
      <c r="AH1066">
        <v>1</v>
      </c>
      <c r="AI1066">
        <v>3</v>
      </c>
      <c r="AJ1066">
        <f t="shared" si="160"/>
        <v>0</v>
      </c>
      <c r="AK1066">
        <f t="shared" si="161"/>
        <v>0</v>
      </c>
      <c r="AL1066">
        <f t="shared" si="162"/>
        <v>1</v>
      </c>
      <c r="AM1066">
        <f t="shared" si="163"/>
        <v>2.75</v>
      </c>
      <c r="AN1066">
        <f t="shared" si="164"/>
        <v>4128</v>
      </c>
      <c r="AO1066">
        <f t="shared" si="165"/>
        <v>0.7142857142857143</v>
      </c>
      <c r="AP1066" t="str">
        <f t="shared" si="166"/>
        <v>30-39</v>
      </c>
      <c r="AQ1066" t="str">
        <f t="shared" si="167"/>
        <v>Low</v>
      </c>
      <c r="AR1066" t="str">
        <f t="shared" si="168"/>
        <v>Short</v>
      </c>
      <c r="AS1066">
        <f t="shared" si="169"/>
        <v>0</v>
      </c>
    </row>
    <row r="1067" spans="1:4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s="20">
        <v>4035</v>
      </c>
      <c r="T1067">
        <v>16143</v>
      </c>
      <c r="U1067">
        <v>0</v>
      </c>
      <c r="V1067" t="s">
        <v>42</v>
      </c>
      <c r="W1067" t="s">
        <v>35</v>
      </c>
      <c r="X1067" s="19">
        <v>16</v>
      </c>
      <c r="Y1067">
        <v>3</v>
      </c>
      <c r="Z1067">
        <v>2</v>
      </c>
      <c r="AA1067">
        <v>80</v>
      </c>
      <c r="AB1067">
        <v>0</v>
      </c>
      <c r="AC1067">
        <v>4</v>
      </c>
      <c r="AD1067">
        <v>2</v>
      </c>
      <c r="AE1067">
        <v>3</v>
      </c>
      <c r="AF1067">
        <v>3</v>
      </c>
      <c r="AG1067">
        <v>2</v>
      </c>
      <c r="AH1067">
        <v>1</v>
      </c>
      <c r="AI1067">
        <v>2</v>
      </c>
      <c r="AJ1067">
        <f t="shared" si="160"/>
        <v>0</v>
      </c>
      <c r="AK1067">
        <f t="shared" si="161"/>
        <v>1</v>
      </c>
      <c r="AL1067">
        <f t="shared" si="162"/>
        <v>1</v>
      </c>
      <c r="AM1067">
        <f t="shared" si="163"/>
        <v>3</v>
      </c>
      <c r="AN1067">
        <f t="shared" si="164"/>
        <v>12105</v>
      </c>
      <c r="AO1067">
        <f t="shared" si="165"/>
        <v>0.6</v>
      </c>
      <c r="AP1067" t="str">
        <f t="shared" si="166"/>
        <v>50+</v>
      </c>
      <c r="AQ1067" t="str">
        <f t="shared" si="167"/>
        <v>Medium</v>
      </c>
      <c r="AR1067" t="str">
        <f t="shared" si="168"/>
        <v>Short</v>
      </c>
      <c r="AS1067">
        <f t="shared" si="169"/>
        <v>0</v>
      </c>
    </row>
    <row r="1068" spans="1:4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s="20">
        <v>3838</v>
      </c>
      <c r="T1068">
        <v>8192</v>
      </c>
      <c r="U1068">
        <v>8</v>
      </c>
      <c r="V1068" t="s">
        <v>42</v>
      </c>
      <c r="W1068" t="s">
        <v>43</v>
      </c>
      <c r="X1068" s="19">
        <v>11</v>
      </c>
      <c r="Y1068">
        <v>3</v>
      </c>
      <c r="Z1068">
        <v>4</v>
      </c>
      <c r="AA1068">
        <v>80</v>
      </c>
      <c r="AB1068">
        <v>0</v>
      </c>
      <c r="AC1068">
        <v>8</v>
      </c>
      <c r="AD1068">
        <v>5</v>
      </c>
      <c r="AE1068">
        <v>3</v>
      </c>
      <c r="AF1068">
        <v>5</v>
      </c>
      <c r="AG1068">
        <v>4</v>
      </c>
      <c r="AH1068">
        <v>0</v>
      </c>
      <c r="AI1068">
        <v>2</v>
      </c>
      <c r="AJ1068">
        <f t="shared" si="160"/>
        <v>0</v>
      </c>
      <c r="AK1068">
        <f t="shared" si="161"/>
        <v>0</v>
      </c>
      <c r="AL1068">
        <f t="shared" si="162"/>
        <v>0</v>
      </c>
      <c r="AM1068">
        <f t="shared" si="163"/>
        <v>2.5</v>
      </c>
      <c r="AN1068">
        <f t="shared" si="164"/>
        <v>7676</v>
      </c>
      <c r="AO1068">
        <f t="shared" si="165"/>
        <v>0.55555555555555558</v>
      </c>
      <c r="AP1068" t="str">
        <f t="shared" si="166"/>
        <v>30-39</v>
      </c>
      <c r="AQ1068" t="str">
        <f t="shared" si="167"/>
        <v>Medium</v>
      </c>
      <c r="AR1068" t="str">
        <f t="shared" si="168"/>
        <v>Short</v>
      </c>
      <c r="AS1068">
        <f t="shared" si="169"/>
        <v>0</v>
      </c>
    </row>
    <row r="1069" spans="1:4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s="20">
        <v>4591</v>
      </c>
      <c r="T1069">
        <v>24200</v>
      </c>
      <c r="U1069">
        <v>3</v>
      </c>
      <c r="V1069" t="s">
        <v>42</v>
      </c>
      <c r="W1069" t="s">
        <v>35</v>
      </c>
      <c r="X1069" s="19">
        <v>17</v>
      </c>
      <c r="Y1069">
        <v>3</v>
      </c>
      <c r="Z1069">
        <v>3</v>
      </c>
      <c r="AA1069">
        <v>80</v>
      </c>
      <c r="AB1069">
        <v>1</v>
      </c>
      <c r="AC1069">
        <v>11</v>
      </c>
      <c r="AD1069">
        <v>4</v>
      </c>
      <c r="AE1069">
        <v>2</v>
      </c>
      <c r="AF1069">
        <v>5</v>
      </c>
      <c r="AG1069">
        <v>4</v>
      </c>
      <c r="AH1069">
        <v>1</v>
      </c>
      <c r="AI1069">
        <v>2</v>
      </c>
      <c r="AJ1069">
        <f t="shared" si="160"/>
        <v>0</v>
      </c>
      <c r="AK1069">
        <f t="shared" si="161"/>
        <v>1</v>
      </c>
      <c r="AL1069">
        <f t="shared" si="162"/>
        <v>0</v>
      </c>
      <c r="AM1069">
        <f t="shared" si="163"/>
        <v>2.75</v>
      </c>
      <c r="AN1069">
        <f t="shared" si="164"/>
        <v>9182</v>
      </c>
      <c r="AO1069">
        <f t="shared" si="165"/>
        <v>0.41666666666666669</v>
      </c>
      <c r="AP1069" t="str">
        <f t="shared" si="166"/>
        <v>40-49</v>
      </c>
      <c r="AQ1069" t="str">
        <f t="shared" si="167"/>
        <v>Medium</v>
      </c>
      <c r="AR1069" t="str">
        <f t="shared" si="168"/>
        <v>Medium</v>
      </c>
      <c r="AS1069">
        <f t="shared" si="169"/>
        <v>0</v>
      </c>
    </row>
    <row r="1070" spans="1:4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s="20">
        <v>2561</v>
      </c>
      <c r="T1070">
        <v>5355</v>
      </c>
      <c r="U1070">
        <v>7</v>
      </c>
      <c r="V1070" t="s">
        <v>42</v>
      </c>
      <c r="W1070" t="s">
        <v>43</v>
      </c>
      <c r="X1070" s="19">
        <v>11</v>
      </c>
      <c r="Y1070">
        <v>3</v>
      </c>
      <c r="Z1070">
        <v>3</v>
      </c>
      <c r="AA1070">
        <v>80</v>
      </c>
      <c r="AB1070">
        <v>0</v>
      </c>
      <c r="AC1070">
        <v>8</v>
      </c>
      <c r="AD1070">
        <v>2</v>
      </c>
      <c r="AE1070">
        <v>2</v>
      </c>
      <c r="AF1070">
        <v>0</v>
      </c>
      <c r="AG1070">
        <v>0</v>
      </c>
      <c r="AH1070">
        <v>0</v>
      </c>
      <c r="AI1070">
        <v>0</v>
      </c>
      <c r="AJ1070">
        <f t="shared" si="160"/>
        <v>1</v>
      </c>
      <c r="AK1070">
        <f t="shared" si="161"/>
        <v>0</v>
      </c>
      <c r="AL1070">
        <f t="shared" si="162"/>
        <v>1</v>
      </c>
      <c r="AM1070">
        <f t="shared" si="163"/>
        <v>2.25</v>
      </c>
      <c r="AN1070">
        <f t="shared" si="164"/>
        <v>30732</v>
      </c>
      <c r="AO1070">
        <f t="shared" si="165"/>
        <v>0</v>
      </c>
      <c r="AP1070" t="str">
        <f t="shared" si="166"/>
        <v>Under 30</v>
      </c>
      <c r="AQ1070" t="str">
        <f t="shared" si="167"/>
        <v>Low</v>
      </c>
      <c r="AR1070" t="str">
        <f t="shared" si="168"/>
        <v>Short</v>
      </c>
      <c r="AS1070">
        <f t="shared" si="169"/>
        <v>1</v>
      </c>
    </row>
    <row r="1071" spans="1:4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s="20">
        <v>1563</v>
      </c>
      <c r="T1071">
        <v>12530</v>
      </c>
      <c r="U1071">
        <v>1</v>
      </c>
      <c r="V1071" t="s">
        <v>42</v>
      </c>
      <c r="W1071" t="s">
        <v>43</v>
      </c>
      <c r="X1071" s="19">
        <v>14</v>
      </c>
      <c r="Y1071">
        <v>3</v>
      </c>
      <c r="Z1071">
        <v>4</v>
      </c>
      <c r="AA1071">
        <v>80</v>
      </c>
      <c r="AB1071">
        <v>1</v>
      </c>
      <c r="AC1071">
        <v>1</v>
      </c>
      <c r="AD1071">
        <v>2</v>
      </c>
      <c r="AE1071">
        <v>1</v>
      </c>
      <c r="AF1071">
        <v>1</v>
      </c>
      <c r="AG1071">
        <v>0</v>
      </c>
      <c r="AH1071">
        <v>0</v>
      </c>
      <c r="AI1071">
        <v>0</v>
      </c>
      <c r="AJ1071">
        <f t="shared" si="160"/>
        <v>0</v>
      </c>
      <c r="AK1071">
        <f t="shared" si="161"/>
        <v>0</v>
      </c>
      <c r="AL1071">
        <f t="shared" si="162"/>
        <v>1</v>
      </c>
      <c r="AM1071">
        <f t="shared" si="163"/>
        <v>2.25</v>
      </c>
      <c r="AN1071">
        <f t="shared" si="164"/>
        <v>9378</v>
      </c>
      <c r="AO1071">
        <f t="shared" si="165"/>
        <v>0.5</v>
      </c>
      <c r="AP1071" t="str">
        <f t="shared" si="166"/>
        <v>Under 30</v>
      </c>
      <c r="AQ1071" t="str">
        <f t="shared" si="167"/>
        <v>Low</v>
      </c>
      <c r="AR1071" t="str">
        <f t="shared" si="168"/>
        <v>Short</v>
      </c>
      <c r="AS1071">
        <f t="shared" si="169"/>
        <v>0</v>
      </c>
    </row>
    <row r="1072" spans="1:4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s="20">
        <v>4898</v>
      </c>
      <c r="T1072">
        <v>11827</v>
      </c>
      <c r="U1072">
        <v>0</v>
      </c>
      <c r="V1072" t="s">
        <v>42</v>
      </c>
      <c r="W1072" t="s">
        <v>43</v>
      </c>
      <c r="X1072" s="19">
        <v>14</v>
      </c>
      <c r="Y1072">
        <v>3</v>
      </c>
      <c r="Z1072">
        <v>4</v>
      </c>
      <c r="AA1072">
        <v>80</v>
      </c>
      <c r="AB1072">
        <v>0</v>
      </c>
      <c r="AC1072">
        <v>5</v>
      </c>
      <c r="AD1072">
        <v>5</v>
      </c>
      <c r="AE1072">
        <v>3</v>
      </c>
      <c r="AF1072">
        <v>4</v>
      </c>
      <c r="AG1072">
        <v>2</v>
      </c>
      <c r="AH1072">
        <v>1</v>
      </c>
      <c r="AI1072">
        <v>3</v>
      </c>
      <c r="AJ1072">
        <f t="shared" si="160"/>
        <v>0</v>
      </c>
      <c r="AK1072">
        <f t="shared" si="161"/>
        <v>0</v>
      </c>
      <c r="AL1072">
        <f t="shared" si="162"/>
        <v>1</v>
      </c>
      <c r="AM1072">
        <f t="shared" si="163"/>
        <v>2.75</v>
      </c>
      <c r="AN1072">
        <f t="shared" si="164"/>
        <v>11755.2</v>
      </c>
      <c r="AO1072">
        <f t="shared" si="165"/>
        <v>0.66666666666666663</v>
      </c>
      <c r="AP1072" t="str">
        <f t="shared" si="166"/>
        <v>Under 30</v>
      </c>
      <c r="AQ1072" t="str">
        <f t="shared" si="167"/>
        <v>Medium</v>
      </c>
      <c r="AR1072" t="str">
        <f t="shared" si="168"/>
        <v>Medium</v>
      </c>
      <c r="AS1072">
        <f t="shared" si="169"/>
        <v>1</v>
      </c>
    </row>
    <row r="1073" spans="1:4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s="20">
        <v>4789</v>
      </c>
      <c r="T1073">
        <v>23070</v>
      </c>
      <c r="U1073">
        <v>4</v>
      </c>
      <c r="V1073" t="s">
        <v>42</v>
      </c>
      <c r="W1073" t="s">
        <v>43</v>
      </c>
      <c r="X1073" s="19">
        <v>25</v>
      </c>
      <c r="Y1073">
        <v>4</v>
      </c>
      <c r="Z1073">
        <v>1</v>
      </c>
      <c r="AA1073">
        <v>80</v>
      </c>
      <c r="AB1073">
        <v>1</v>
      </c>
      <c r="AC1073">
        <v>10</v>
      </c>
      <c r="AD1073">
        <v>3</v>
      </c>
      <c r="AE1073">
        <v>3</v>
      </c>
      <c r="AF1073">
        <v>3</v>
      </c>
      <c r="AG1073">
        <v>2</v>
      </c>
      <c r="AH1073">
        <v>1</v>
      </c>
      <c r="AI1073">
        <v>2</v>
      </c>
      <c r="AJ1073">
        <f t="shared" si="160"/>
        <v>0</v>
      </c>
      <c r="AK1073">
        <f t="shared" si="161"/>
        <v>0</v>
      </c>
      <c r="AL1073">
        <f t="shared" si="162"/>
        <v>0</v>
      </c>
      <c r="AM1073">
        <f t="shared" si="163"/>
        <v>2</v>
      </c>
      <c r="AN1073">
        <f t="shared" si="164"/>
        <v>14367</v>
      </c>
      <c r="AO1073">
        <f t="shared" si="165"/>
        <v>0.27272727272727271</v>
      </c>
      <c r="AP1073" t="str">
        <f t="shared" si="166"/>
        <v>40-49</v>
      </c>
      <c r="AQ1073" t="str">
        <f t="shared" si="167"/>
        <v>Medium</v>
      </c>
      <c r="AR1073" t="str">
        <f t="shared" si="168"/>
        <v>Short</v>
      </c>
      <c r="AS1073">
        <f t="shared" si="169"/>
        <v>0</v>
      </c>
    </row>
    <row r="1074" spans="1:4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s="20">
        <v>3180</v>
      </c>
      <c r="T1074">
        <v>4668</v>
      </c>
      <c r="U1074">
        <v>0</v>
      </c>
      <c r="V1074" t="s">
        <v>42</v>
      </c>
      <c r="W1074" t="s">
        <v>43</v>
      </c>
      <c r="X1074" s="19">
        <v>13</v>
      </c>
      <c r="Y1074">
        <v>3</v>
      </c>
      <c r="Z1074">
        <v>3</v>
      </c>
      <c r="AA1074">
        <v>80</v>
      </c>
      <c r="AB1074">
        <v>3</v>
      </c>
      <c r="AC1074">
        <v>4</v>
      </c>
      <c r="AD1074">
        <v>3</v>
      </c>
      <c r="AE1074">
        <v>3</v>
      </c>
      <c r="AF1074">
        <v>3</v>
      </c>
      <c r="AG1074">
        <v>2</v>
      </c>
      <c r="AH1074">
        <v>0</v>
      </c>
      <c r="AI1074">
        <v>2</v>
      </c>
      <c r="AJ1074">
        <f t="shared" si="160"/>
        <v>0</v>
      </c>
      <c r="AK1074">
        <f t="shared" si="161"/>
        <v>0</v>
      </c>
      <c r="AL1074">
        <f t="shared" si="162"/>
        <v>0</v>
      </c>
      <c r="AM1074">
        <f t="shared" si="163"/>
        <v>3</v>
      </c>
      <c r="AN1074">
        <f t="shared" si="164"/>
        <v>9540</v>
      </c>
      <c r="AO1074">
        <f t="shared" si="165"/>
        <v>0.6</v>
      </c>
      <c r="AP1074" t="str">
        <f t="shared" si="166"/>
        <v>Under 30</v>
      </c>
      <c r="AQ1074" t="str">
        <f t="shared" si="167"/>
        <v>Medium</v>
      </c>
      <c r="AR1074" t="str">
        <f t="shared" si="168"/>
        <v>Short</v>
      </c>
      <c r="AS1074">
        <f t="shared" si="169"/>
        <v>1</v>
      </c>
    </row>
    <row r="1075" spans="1:4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s="20">
        <v>6549</v>
      </c>
      <c r="T1075">
        <v>3173</v>
      </c>
      <c r="U1075">
        <v>1</v>
      </c>
      <c r="V1075" t="s">
        <v>42</v>
      </c>
      <c r="W1075" t="s">
        <v>43</v>
      </c>
      <c r="X1075" s="19">
        <v>14</v>
      </c>
      <c r="Y1075">
        <v>3</v>
      </c>
      <c r="Z1075">
        <v>2</v>
      </c>
      <c r="AA1075">
        <v>80</v>
      </c>
      <c r="AB1075">
        <v>2</v>
      </c>
      <c r="AC1075">
        <v>8</v>
      </c>
      <c r="AD1075">
        <v>2</v>
      </c>
      <c r="AE1075">
        <v>2</v>
      </c>
      <c r="AF1075">
        <v>8</v>
      </c>
      <c r="AG1075">
        <v>6</v>
      </c>
      <c r="AH1075">
        <v>1</v>
      </c>
      <c r="AI1075">
        <v>7</v>
      </c>
      <c r="AJ1075">
        <f t="shared" si="160"/>
        <v>0</v>
      </c>
      <c r="AK1075">
        <f t="shared" si="161"/>
        <v>0</v>
      </c>
      <c r="AL1075">
        <f t="shared" si="162"/>
        <v>1</v>
      </c>
      <c r="AM1075">
        <f t="shared" si="163"/>
        <v>2.25</v>
      </c>
      <c r="AN1075">
        <f t="shared" si="164"/>
        <v>8732</v>
      </c>
      <c r="AO1075">
        <f t="shared" si="165"/>
        <v>0.88888888888888884</v>
      </c>
      <c r="AP1075" t="str">
        <f t="shared" si="166"/>
        <v>Under 30</v>
      </c>
      <c r="AQ1075" t="str">
        <f t="shared" si="167"/>
        <v>High</v>
      </c>
      <c r="AR1075" t="str">
        <f t="shared" si="168"/>
        <v>Long</v>
      </c>
      <c r="AS1075">
        <f t="shared" si="169"/>
        <v>0</v>
      </c>
    </row>
    <row r="1076" spans="1:4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s="20">
        <v>6388</v>
      </c>
      <c r="T1076">
        <v>22049</v>
      </c>
      <c r="U1076">
        <v>2</v>
      </c>
      <c r="V1076" t="s">
        <v>42</v>
      </c>
      <c r="W1076" t="s">
        <v>35</v>
      </c>
      <c r="X1076" s="19">
        <v>17</v>
      </c>
      <c r="Y1076">
        <v>3</v>
      </c>
      <c r="Z1076">
        <v>1</v>
      </c>
      <c r="AA1076">
        <v>80</v>
      </c>
      <c r="AB1076">
        <v>0</v>
      </c>
      <c r="AC1076">
        <v>14</v>
      </c>
      <c r="AD1076">
        <v>6</v>
      </c>
      <c r="AE1076">
        <v>3</v>
      </c>
      <c r="AF1076">
        <v>0</v>
      </c>
      <c r="AG1076">
        <v>0</v>
      </c>
      <c r="AH1076">
        <v>0</v>
      </c>
      <c r="AI1076">
        <v>0</v>
      </c>
      <c r="AJ1076">
        <f t="shared" si="160"/>
        <v>0</v>
      </c>
      <c r="AK1076">
        <f t="shared" si="161"/>
        <v>1</v>
      </c>
      <c r="AL1076">
        <f t="shared" si="162"/>
        <v>1</v>
      </c>
      <c r="AM1076">
        <f t="shared" si="163"/>
        <v>2.75</v>
      </c>
      <c r="AN1076">
        <f t="shared" si="164"/>
        <v>76656</v>
      </c>
      <c r="AO1076">
        <f t="shared" si="165"/>
        <v>0</v>
      </c>
      <c r="AP1076" t="str">
        <f t="shared" si="166"/>
        <v>30-39</v>
      </c>
      <c r="AQ1076" t="str">
        <f t="shared" si="167"/>
        <v>High</v>
      </c>
      <c r="AR1076" t="str">
        <f t="shared" si="168"/>
        <v>Medium</v>
      </c>
      <c r="AS1076">
        <f t="shared" si="169"/>
        <v>0</v>
      </c>
    </row>
    <row r="1077" spans="1:4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s="20">
        <v>11244</v>
      </c>
      <c r="T1077">
        <v>21072</v>
      </c>
      <c r="U1077">
        <v>2</v>
      </c>
      <c r="V1077" t="s">
        <v>42</v>
      </c>
      <c r="W1077" t="s">
        <v>43</v>
      </c>
      <c r="X1077" s="19">
        <v>25</v>
      </c>
      <c r="Y1077">
        <v>4</v>
      </c>
      <c r="Z1077">
        <v>2</v>
      </c>
      <c r="AA1077">
        <v>80</v>
      </c>
      <c r="AB1077">
        <v>0</v>
      </c>
      <c r="AC1077">
        <v>10</v>
      </c>
      <c r="AD1077">
        <v>5</v>
      </c>
      <c r="AE1077">
        <v>4</v>
      </c>
      <c r="AF1077">
        <v>5</v>
      </c>
      <c r="AG1077">
        <v>2</v>
      </c>
      <c r="AH1077">
        <v>0</v>
      </c>
      <c r="AI1077">
        <v>0</v>
      </c>
      <c r="AJ1077">
        <f t="shared" si="160"/>
        <v>0</v>
      </c>
      <c r="AK1077">
        <f t="shared" si="161"/>
        <v>0</v>
      </c>
      <c r="AL1077">
        <f t="shared" si="162"/>
        <v>1</v>
      </c>
      <c r="AM1077">
        <f t="shared" si="163"/>
        <v>3.25</v>
      </c>
      <c r="AN1077">
        <f t="shared" si="164"/>
        <v>22488</v>
      </c>
      <c r="AO1077">
        <f t="shared" si="165"/>
        <v>0.45454545454545453</v>
      </c>
      <c r="AP1077" t="str">
        <f t="shared" si="166"/>
        <v>30-39</v>
      </c>
      <c r="AQ1077" t="str">
        <f t="shared" si="167"/>
        <v>Very High</v>
      </c>
      <c r="AR1077" t="str">
        <f t="shared" si="168"/>
        <v>Medium</v>
      </c>
      <c r="AS1077">
        <f t="shared" si="169"/>
        <v>0</v>
      </c>
    </row>
    <row r="1078" spans="1:4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s="20">
        <v>16032</v>
      </c>
      <c r="T1078">
        <v>24456</v>
      </c>
      <c r="U1078">
        <v>3</v>
      </c>
      <c r="V1078" t="s">
        <v>42</v>
      </c>
      <c r="W1078" t="s">
        <v>43</v>
      </c>
      <c r="X1078" s="19">
        <v>20</v>
      </c>
      <c r="Y1078">
        <v>4</v>
      </c>
      <c r="Z1078">
        <v>1</v>
      </c>
      <c r="AA1078">
        <v>80</v>
      </c>
      <c r="AB1078">
        <v>1</v>
      </c>
      <c r="AC1078">
        <v>26</v>
      </c>
      <c r="AD1078">
        <v>2</v>
      </c>
      <c r="AE1078">
        <v>3</v>
      </c>
      <c r="AF1078">
        <v>14</v>
      </c>
      <c r="AG1078">
        <v>9</v>
      </c>
      <c r="AH1078">
        <v>1</v>
      </c>
      <c r="AI1078">
        <v>12</v>
      </c>
      <c r="AJ1078">
        <f t="shared" si="160"/>
        <v>0</v>
      </c>
      <c r="AK1078">
        <f t="shared" si="161"/>
        <v>0</v>
      </c>
      <c r="AL1078">
        <f t="shared" si="162"/>
        <v>0</v>
      </c>
      <c r="AM1078">
        <f t="shared" si="163"/>
        <v>2.5</v>
      </c>
      <c r="AN1078">
        <f t="shared" si="164"/>
        <v>12825.6</v>
      </c>
      <c r="AO1078">
        <f t="shared" si="165"/>
        <v>0.51851851851851849</v>
      </c>
      <c r="AP1078" t="str">
        <f t="shared" si="166"/>
        <v>50+</v>
      </c>
      <c r="AQ1078" t="str">
        <f t="shared" si="167"/>
        <v>Very High</v>
      </c>
      <c r="AR1078" t="str">
        <f t="shared" si="168"/>
        <v>Medium</v>
      </c>
      <c r="AS1078">
        <f t="shared" si="169"/>
        <v>1</v>
      </c>
    </row>
    <row r="1079" spans="1:4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s="20">
        <v>2362</v>
      </c>
      <c r="T1079">
        <v>7568</v>
      </c>
      <c r="U1079">
        <v>6</v>
      </c>
      <c r="V1079" t="s">
        <v>42</v>
      </c>
      <c r="W1079" t="s">
        <v>43</v>
      </c>
      <c r="X1079" s="19">
        <v>13</v>
      </c>
      <c r="Y1079">
        <v>3</v>
      </c>
      <c r="Z1079">
        <v>3</v>
      </c>
      <c r="AA1079">
        <v>80</v>
      </c>
      <c r="AB1079">
        <v>0</v>
      </c>
      <c r="AC1079">
        <v>11</v>
      </c>
      <c r="AD1079">
        <v>2</v>
      </c>
      <c r="AE1079">
        <v>1</v>
      </c>
      <c r="AF1079">
        <v>9</v>
      </c>
      <c r="AG1079">
        <v>7</v>
      </c>
      <c r="AH1079">
        <v>0</v>
      </c>
      <c r="AI1079">
        <v>7</v>
      </c>
      <c r="AJ1079">
        <f t="shared" si="160"/>
        <v>1</v>
      </c>
      <c r="AK1079">
        <f t="shared" si="161"/>
        <v>0</v>
      </c>
      <c r="AL1079">
        <f t="shared" si="162"/>
        <v>1</v>
      </c>
      <c r="AM1079">
        <f t="shared" si="163"/>
        <v>1.5</v>
      </c>
      <c r="AN1079">
        <f t="shared" si="164"/>
        <v>2834.4</v>
      </c>
      <c r="AO1079">
        <f t="shared" si="165"/>
        <v>0.75</v>
      </c>
      <c r="AP1079" t="str">
        <f t="shared" si="166"/>
        <v>Under 30</v>
      </c>
      <c r="AQ1079" t="str">
        <f t="shared" si="167"/>
        <v>Low</v>
      </c>
      <c r="AR1079" t="str">
        <f t="shared" si="168"/>
        <v>Short</v>
      </c>
      <c r="AS1079">
        <f t="shared" si="169"/>
        <v>0</v>
      </c>
    </row>
    <row r="1080" spans="1:4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s="20">
        <v>16328</v>
      </c>
      <c r="T1080">
        <v>22074</v>
      </c>
      <c r="U1080">
        <v>3</v>
      </c>
      <c r="V1080" t="s">
        <v>42</v>
      </c>
      <c r="W1080" t="s">
        <v>43</v>
      </c>
      <c r="X1080" s="19">
        <v>13</v>
      </c>
      <c r="Y1080">
        <v>3</v>
      </c>
      <c r="Z1080">
        <v>3</v>
      </c>
      <c r="AA1080">
        <v>80</v>
      </c>
      <c r="AB1080">
        <v>1</v>
      </c>
      <c r="AC1080">
        <v>24</v>
      </c>
      <c r="AD1080">
        <v>1</v>
      </c>
      <c r="AE1080">
        <v>4</v>
      </c>
      <c r="AF1080">
        <v>20</v>
      </c>
      <c r="AG1080">
        <v>6</v>
      </c>
      <c r="AH1080">
        <v>14</v>
      </c>
      <c r="AI1080">
        <v>17</v>
      </c>
      <c r="AJ1080">
        <f t="shared" si="160"/>
        <v>0</v>
      </c>
      <c r="AK1080">
        <f t="shared" si="161"/>
        <v>0</v>
      </c>
      <c r="AL1080">
        <f t="shared" si="162"/>
        <v>1</v>
      </c>
      <c r="AM1080">
        <f t="shared" si="163"/>
        <v>3</v>
      </c>
      <c r="AN1080">
        <f t="shared" si="164"/>
        <v>9330.2857142857138</v>
      </c>
      <c r="AO1080">
        <f t="shared" si="165"/>
        <v>0.8</v>
      </c>
      <c r="AP1080" t="str">
        <f t="shared" si="166"/>
        <v>40-49</v>
      </c>
      <c r="AQ1080" t="str">
        <f t="shared" si="167"/>
        <v>Very High</v>
      </c>
      <c r="AR1080" t="str">
        <f t="shared" si="168"/>
        <v>Long</v>
      </c>
      <c r="AS1080">
        <f t="shared" si="169"/>
        <v>0</v>
      </c>
    </row>
    <row r="1081" spans="1:4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s="20">
        <v>8376</v>
      </c>
      <c r="T1081">
        <v>9150</v>
      </c>
      <c r="U1081">
        <v>4</v>
      </c>
      <c r="V1081" t="s">
        <v>42</v>
      </c>
      <c r="W1081" t="s">
        <v>43</v>
      </c>
      <c r="X1081" s="19">
        <v>18</v>
      </c>
      <c r="Y1081">
        <v>3</v>
      </c>
      <c r="Z1081">
        <v>4</v>
      </c>
      <c r="AA1081">
        <v>80</v>
      </c>
      <c r="AB1081">
        <v>0</v>
      </c>
      <c r="AC1081">
        <v>9</v>
      </c>
      <c r="AD1081">
        <v>3</v>
      </c>
      <c r="AE1081">
        <v>3</v>
      </c>
      <c r="AF1081">
        <v>2</v>
      </c>
      <c r="AG1081">
        <v>0</v>
      </c>
      <c r="AH1081">
        <v>2</v>
      </c>
      <c r="AI1081">
        <v>2</v>
      </c>
      <c r="AJ1081">
        <f t="shared" si="160"/>
        <v>0</v>
      </c>
      <c r="AK1081">
        <f t="shared" si="161"/>
        <v>0</v>
      </c>
      <c r="AL1081">
        <f t="shared" si="162"/>
        <v>0</v>
      </c>
      <c r="AM1081">
        <f t="shared" si="163"/>
        <v>2.75</v>
      </c>
      <c r="AN1081">
        <f t="shared" si="164"/>
        <v>33504</v>
      </c>
      <c r="AO1081">
        <f t="shared" si="165"/>
        <v>0.2</v>
      </c>
      <c r="AP1081" t="str">
        <f t="shared" si="166"/>
        <v>30-39</v>
      </c>
      <c r="AQ1081" t="str">
        <f t="shared" si="167"/>
        <v>Very High</v>
      </c>
      <c r="AR1081" t="str">
        <f t="shared" si="168"/>
        <v>Medium</v>
      </c>
      <c r="AS1081">
        <f t="shared" si="169"/>
        <v>0</v>
      </c>
    </row>
    <row r="1082" spans="1:4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s="20">
        <v>16606</v>
      </c>
      <c r="T1082">
        <v>11380</v>
      </c>
      <c r="U1082">
        <v>8</v>
      </c>
      <c r="V1082" t="s">
        <v>42</v>
      </c>
      <c r="W1082" t="s">
        <v>43</v>
      </c>
      <c r="X1082" s="19">
        <v>12</v>
      </c>
      <c r="Y1082">
        <v>3</v>
      </c>
      <c r="Z1082">
        <v>4</v>
      </c>
      <c r="AA1082">
        <v>80</v>
      </c>
      <c r="AB1082">
        <v>1</v>
      </c>
      <c r="AC1082">
        <v>23</v>
      </c>
      <c r="AD1082">
        <v>2</v>
      </c>
      <c r="AE1082">
        <v>4</v>
      </c>
      <c r="AF1082">
        <v>13</v>
      </c>
      <c r="AG1082">
        <v>12</v>
      </c>
      <c r="AH1082">
        <v>5</v>
      </c>
      <c r="AI1082">
        <v>1</v>
      </c>
      <c r="AJ1082">
        <f t="shared" si="160"/>
        <v>0</v>
      </c>
      <c r="AK1082">
        <f t="shared" si="161"/>
        <v>0</v>
      </c>
      <c r="AL1082">
        <f t="shared" si="162"/>
        <v>0</v>
      </c>
      <c r="AM1082">
        <f t="shared" si="163"/>
        <v>3.25</v>
      </c>
      <c r="AN1082">
        <f t="shared" si="164"/>
        <v>14233.714285714286</v>
      </c>
      <c r="AO1082">
        <f t="shared" si="165"/>
        <v>0.54166666666666663</v>
      </c>
      <c r="AP1082" t="str">
        <f t="shared" si="166"/>
        <v>40-49</v>
      </c>
      <c r="AQ1082" t="str">
        <f t="shared" si="167"/>
        <v>Very High</v>
      </c>
      <c r="AR1082" t="str">
        <f t="shared" si="168"/>
        <v>Short</v>
      </c>
      <c r="AS1082">
        <f t="shared" si="169"/>
        <v>0</v>
      </c>
    </row>
    <row r="1083" spans="1:4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s="20">
        <v>8606</v>
      </c>
      <c r="T1083">
        <v>21195</v>
      </c>
      <c r="U1083">
        <v>1</v>
      </c>
      <c r="V1083" t="s">
        <v>42</v>
      </c>
      <c r="W1083" t="s">
        <v>43</v>
      </c>
      <c r="X1083" s="19">
        <v>19</v>
      </c>
      <c r="Y1083">
        <v>3</v>
      </c>
      <c r="Z1083">
        <v>4</v>
      </c>
      <c r="AA1083">
        <v>80</v>
      </c>
      <c r="AB1083">
        <v>0</v>
      </c>
      <c r="AC1083">
        <v>11</v>
      </c>
      <c r="AD1083">
        <v>3</v>
      </c>
      <c r="AE1083">
        <v>1</v>
      </c>
      <c r="AF1083">
        <v>11</v>
      </c>
      <c r="AG1083">
        <v>8</v>
      </c>
      <c r="AH1083">
        <v>3</v>
      </c>
      <c r="AI1083">
        <v>3</v>
      </c>
      <c r="AJ1083">
        <f t="shared" si="160"/>
        <v>0</v>
      </c>
      <c r="AK1083">
        <f t="shared" si="161"/>
        <v>0</v>
      </c>
      <c r="AL1083">
        <f t="shared" si="162"/>
        <v>0</v>
      </c>
      <c r="AM1083">
        <f t="shared" si="163"/>
        <v>2.75</v>
      </c>
      <c r="AN1083">
        <f t="shared" si="164"/>
        <v>8606</v>
      </c>
      <c r="AO1083">
        <f t="shared" si="165"/>
        <v>0.91666666666666663</v>
      </c>
      <c r="AP1083" t="str">
        <f t="shared" si="166"/>
        <v>30-39</v>
      </c>
      <c r="AQ1083" t="str">
        <f t="shared" si="167"/>
        <v>Very High</v>
      </c>
      <c r="AR1083" t="str">
        <f t="shared" si="168"/>
        <v>Long</v>
      </c>
      <c r="AS1083">
        <f t="shared" si="169"/>
        <v>0</v>
      </c>
    </row>
    <row r="1084" spans="1:4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s="20">
        <v>2272</v>
      </c>
      <c r="T1084">
        <v>24812</v>
      </c>
      <c r="U1084">
        <v>0</v>
      </c>
      <c r="V1084" t="s">
        <v>42</v>
      </c>
      <c r="W1084" t="s">
        <v>43</v>
      </c>
      <c r="X1084" s="19">
        <v>14</v>
      </c>
      <c r="Y1084">
        <v>3</v>
      </c>
      <c r="Z1084">
        <v>2</v>
      </c>
      <c r="AA1084">
        <v>80</v>
      </c>
      <c r="AB1084">
        <v>0</v>
      </c>
      <c r="AC1084">
        <v>5</v>
      </c>
      <c r="AD1084">
        <v>2</v>
      </c>
      <c r="AE1084">
        <v>3</v>
      </c>
      <c r="AF1084">
        <v>4</v>
      </c>
      <c r="AG1084">
        <v>3</v>
      </c>
      <c r="AH1084">
        <v>1</v>
      </c>
      <c r="AI1084">
        <v>2</v>
      </c>
      <c r="AJ1084">
        <f t="shared" si="160"/>
        <v>0</v>
      </c>
      <c r="AK1084">
        <f t="shared" si="161"/>
        <v>0</v>
      </c>
      <c r="AL1084">
        <f t="shared" si="162"/>
        <v>1</v>
      </c>
      <c r="AM1084">
        <f t="shared" si="163"/>
        <v>2.25</v>
      </c>
      <c r="AN1084">
        <f t="shared" si="164"/>
        <v>5452.8</v>
      </c>
      <c r="AO1084">
        <f t="shared" si="165"/>
        <v>0.66666666666666663</v>
      </c>
      <c r="AP1084" t="str">
        <f t="shared" si="166"/>
        <v>Under 30</v>
      </c>
      <c r="AQ1084" t="str">
        <f t="shared" si="167"/>
        <v>Low</v>
      </c>
      <c r="AR1084" t="str">
        <f t="shared" si="168"/>
        <v>Long</v>
      </c>
      <c r="AS1084">
        <f t="shared" si="169"/>
        <v>0</v>
      </c>
    </row>
    <row r="1085" spans="1:4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s="20">
        <v>2018</v>
      </c>
      <c r="T1085">
        <v>21831</v>
      </c>
      <c r="U1085">
        <v>3</v>
      </c>
      <c r="V1085" t="s">
        <v>42</v>
      </c>
      <c r="W1085" t="s">
        <v>43</v>
      </c>
      <c r="X1085" s="19">
        <v>14</v>
      </c>
      <c r="Y1085">
        <v>3</v>
      </c>
      <c r="Z1085">
        <v>2</v>
      </c>
      <c r="AA1085">
        <v>80</v>
      </c>
      <c r="AB1085">
        <v>0</v>
      </c>
      <c r="AC1085">
        <v>15</v>
      </c>
      <c r="AD1085">
        <v>3</v>
      </c>
      <c r="AE1085">
        <v>1</v>
      </c>
      <c r="AF1085">
        <v>5</v>
      </c>
      <c r="AG1085">
        <v>4</v>
      </c>
      <c r="AH1085">
        <v>1</v>
      </c>
      <c r="AI1085">
        <v>0</v>
      </c>
      <c r="AJ1085">
        <f t="shared" si="160"/>
        <v>1</v>
      </c>
      <c r="AK1085">
        <f t="shared" si="161"/>
        <v>0</v>
      </c>
      <c r="AL1085">
        <f t="shared" si="162"/>
        <v>1</v>
      </c>
      <c r="AM1085">
        <f t="shared" si="163"/>
        <v>2</v>
      </c>
      <c r="AN1085">
        <f t="shared" si="164"/>
        <v>4036</v>
      </c>
      <c r="AO1085">
        <f t="shared" si="165"/>
        <v>0.3125</v>
      </c>
      <c r="AP1085" t="str">
        <f t="shared" si="166"/>
        <v>40-49</v>
      </c>
      <c r="AQ1085" t="str">
        <f t="shared" si="167"/>
        <v>Low</v>
      </c>
      <c r="AR1085" t="str">
        <f t="shared" si="168"/>
        <v>Medium</v>
      </c>
      <c r="AS1085">
        <f t="shared" si="169"/>
        <v>0</v>
      </c>
    </row>
    <row r="1086" spans="1:4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s="20">
        <v>7083</v>
      </c>
      <c r="T1086">
        <v>12288</v>
      </c>
      <c r="U1086">
        <v>1</v>
      </c>
      <c r="V1086" t="s">
        <v>42</v>
      </c>
      <c r="W1086" t="s">
        <v>35</v>
      </c>
      <c r="X1086" s="19">
        <v>14</v>
      </c>
      <c r="Y1086">
        <v>3</v>
      </c>
      <c r="Z1086">
        <v>4</v>
      </c>
      <c r="AA1086">
        <v>80</v>
      </c>
      <c r="AB1086">
        <v>0</v>
      </c>
      <c r="AC1086">
        <v>10</v>
      </c>
      <c r="AD1086">
        <v>3</v>
      </c>
      <c r="AE1086">
        <v>3</v>
      </c>
      <c r="AF1086">
        <v>10</v>
      </c>
      <c r="AG1086">
        <v>9</v>
      </c>
      <c r="AH1086">
        <v>8</v>
      </c>
      <c r="AI1086">
        <v>6</v>
      </c>
      <c r="AJ1086">
        <f t="shared" si="160"/>
        <v>0</v>
      </c>
      <c r="AK1086">
        <f t="shared" si="161"/>
        <v>1</v>
      </c>
      <c r="AL1086">
        <f t="shared" si="162"/>
        <v>1</v>
      </c>
      <c r="AM1086">
        <f t="shared" si="163"/>
        <v>3.5</v>
      </c>
      <c r="AN1086">
        <f t="shared" si="164"/>
        <v>7726.909090909091</v>
      </c>
      <c r="AO1086">
        <f t="shared" si="165"/>
        <v>0.90909090909090906</v>
      </c>
      <c r="AP1086" t="str">
        <f t="shared" si="166"/>
        <v>30-39</v>
      </c>
      <c r="AQ1086" t="str">
        <f t="shared" si="167"/>
        <v>High</v>
      </c>
      <c r="AR1086" t="str">
        <f t="shared" si="168"/>
        <v>Short</v>
      </c>
      <c r="AS1086">
        <f t="shared" si="169"/>
        <v>0</v>
      </c>
    </row>
    <row r="1087" spans="1:4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s="20">
        <v>4084</v>
      </c>
      <c r="T1087">
        <v>4156</v>
      </c>
      <c r="U1087">
        <v>1</v>
      </c>
      <c r="V1087" t="s">
        <v>42</v>
      </c>
      <c r="W1087" t="s">
        <v>43</v>
      </c>
      <c r="X1087" s="19">
        <v>12</v>
      </c>
      <c r="Y1087">
        <v>3</v>
      </c>
      <c r="Z1087">
        <v>1</v>
      </c>
      <c r="AA1087">
        <v>80</v>
      </c>
      <c r="AB1087">
        <v>0</v>
      </c>
      <c r="AC1087">
        <v>7</v>
      </c>
      <c r="AD1087">
        <v>2</v>
      </c>
      <c r="AE1087">
        <v>1</v>
      </c>
      <c r="AF1087">
        <v>7</v>
      </c>
      <c r="AG1087">
        <v>2</v>
      </c>
      <c r="AH1087">
        <v>7</v>
      </c>
      <c r="AI1087">
        <v>7</v>
      </c>
      <c r="AJ1087">
        <f t="shared" si="160"/>
        <v>1</v>
      </c>
      <c r="AK1087">
        <f t="shared" si="161"/>
        <v>0</v>
      </c>
      <c r="AL1087">
        <f t="shared" si="162"/>
        <v>0</v>
      </c>
      <c r="AM1087">
        <f t="shared" si="163"/>
        <v>2.25</v>
      </c>
      <c r="AN1087">
        <f t="shared" si="164"/>
        <v>6126</v>
      </c>
      <c r="AO1087">
        <f t="shared" si="165"/>
        <v>0.875</v>
      </c>
      <c r="AP1087" t="str">
        <f t="shared" si="166"/>
        <v>30-39</v>
      </c>
      <c r="AQ1087" t="str">
        <f t="shared" si="167"/>
        <v>Medium</v>
      </c>
      <c r="AR1087" t="str">
        <f t="shared" si="168"/>
        <v>Short</v>
      </c>
      <c r="AS1087">
        <f t="shared" si="169"/>
        <v>1</v>
      </c>
    </row>
    <row r="1088" spans="1:4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s="20">
        <v>14411</v>
      </c>
      <c r="T1088">
        <v>24450</v>
      </c>
      <c r="U1088">
        <v>1</v>
      </c>
      <c r="V1088" t="s">
        <v>42</v>
      </c>
      <c r="W1088" t="s">
        <v>35</v>
      </c>
      <c r="X1088" s="19">
        <v>13</v>
      </c>
      <c r="Y1088">
        <v>3</v>
      </c>
      <c r="Z1088">
        <v>4</v>
      </c>
      <c r="AA1088">
        <v>80</v>
      </c>
      <c r="AB1088">
        <v>0</v>
      </c>
      <c r="AC1088">
        <v>32</v>
      </c>
      <c r="AD1088">
        <v>2</v>
      </c>
      <c r="AE1088">
        <v>3</v>
      </c>
      <c r="AF1088">
        <v>32</v>
      </c>
      <c r="AG1088">
        <v>6</v>
      </c>
      <c r="AH1088">
        <v>13</v>
      </c>
      <c r="AI1088">
        <v>9</v>
      </c>
      <c r="AJ1088">
        <f t="shared" si="160"/>
        <v>0</v>
      </c>
      <c r="AK1088">
        <f t="shared" si="161"/>
        <v>1</v>
      </c>
      <c r="AL1088">
        <f t="shared" si="162"/>
        <v>1</v>
      </c>
      <c r="AM1088">
        <f t="shared" si="163"/>
        <v>3.5</v>
      </c>
      <c r="AN1088">
        <f t="shared" si="164"/>
        <v>5240.363636363636</v>
      </c>
      <c r="AO1088">
        <f t="shared" si="165"/>
        <v>0.96969696969696972</v>
      </c>
      <c r="AP1088" t="str">
        <f t="shared" si="166"/>
        <v>50+</v>
      </c>
      <c r="AQ1088" t="str">
        <f t="shared" si="167"/>
        <v>Very High</v>
      </c>
      <c r="AR1088" t="str">
        <f t="shared" si="168"/>
        <v>Long</v>
      </c>
      <c r="AS1088">
        <f t="shared" si="169"/>
        <v>1</v>
      </c>
    </row>
    <row r="1089" spans="1:4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s="20">
        <v>2308</v>
      </c>
      <c r="T1089">
        <v>4944</v>
      </c>
      <c r="U1089">
        <v>0</v>
      </c>
      <c r="V1089" t="s">
        <v>42</v>
      </c>
      <c r="W1089" t="s">
        <v>35</v>
      </c>
      <c r="X1089" s="19">
        <v>25</v>
      </c>
      <c r="Y1089">
        <v>4</v>
      </c>
      <c r="Z1089">
        <v>2</v>
      </c>
      <c r="AA1089">
        <v>80</v>
      </c>
      <c r="AB1089">
        <v>1</v>
      </c>
      <c r="AC1089">
        <v>12</v>
      </c>
      <c r="AD1089">
        <v>4</v>
      </c>
      <c r="AE1089">
        <v>3</v>
      </c>
      <c r="AF1089">
        <v>11</v>
      </c>
      <c r="AG1089">
        <v>10</v>
      </c>
      <c r="AH1089">
        <v>5</v>
      </c>
      <c r="AI1089">
        <v>7</v>
      </c>
      <c r="AJ1089">
        <f t="shared" si="160"/>
        <v>0</v>
      </c>
      <c r="AK1089">
        <f t="shared" si="161"/>
        <v>1</v>
      </c>
      <c r="AL1089">
        <f t="shared" si="162"/>
        <v>1</v>
      </c>
      <c r="AM1089">
        <f t="shared" si="163"/>
        <v>2.5</v>
      </c>
      <c r="AN1089">
        <f t="shared" si="164"/>
        <v>2308</v>
      </c>
      <c r="AO1089">
        <f t="shared" si="165"/>
        <v>0.84615384615384615</v>
      </c>
      <c r="AP1089" t="str">
        <f t="shared" si="166"/>
        <v>30-39</v>
      </c>
      <c r="AQ1089" t="str">
        <f t="shared" si="167"/>
        <v>Low</v>
      </c>
      <c r="AR1089" t="str">
        <f t="shared" si="168"/>
        <v>Medium</v>
      </c>
      <c r="AS1089">
        <f t="shared" si="169"/>
        <v>0</v>
      </c>
    </row>
    <row r="1090" spans="1:4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s="20">
        <v>4841</v>
      </c>
      <c r="T1090">
        <v>24052</v>
      </c>
      <c r="U1090">
        <v>4</v>
      </c>
      <c r="V1090" t="s">
        <v>42</v>
      </c>
      <c r="W1090" t="s">
        <v>43</v>
      </c>
      <c r="X1090" s="19">
        <v>14</v>
      </c>
      <c r="Y1090">
        <v>3</v>
      </c>
      <c r="Z1090">
        <v>2</v>
      </c>
      <c r="AA1090">
        <v>80</v>
      </c>
      <c r="AB1090">
        <v>1</v>
      </c>
      <c r="AC1090">
        <v>4</v>
      </c>
      <c r="AD1090">
        <v>3</v>
      </c>
      <c r="AE1090">
        <v>3</v>
      </c>
      <c r="AF1090">
        <v>1</v>
      </c>
      <c r="AG1090">
        <v>0</v>
      </c>
      <c r="AH1090">
        <v>0</v>
      </c>
      <c r="AI1090">
        <v>0</v>
      </c>
      <c r="AJ1090">
        <f t="shared" si="160"/>
        <v>0</v>
      </c>
      <c r="AK1090">
        <f t="shared" si="161"/>
        <v>0</v>
      </c>
      <c r="AL1090">
        <f t="shared" si="162"/>
        <v>1</v>
      </c>
      <c r="AM1090">
        <f t="shared" si="163"/>
        <v>2.5</v>
      </c>
      <c r="AN1090">
        <f t="shared" si="164"/>
        <v>29046</v>
      </c>
      <c r="AO1090">
        <f t="shared" si="165"/>
        <v>0.2</v>
      </c>
      <c r="AP1090" t="str">
        <f t="shared" si="166"/>
        <v>40-49</v>
      </c>
      <c r="AQ1090" t="str">
        <f t="shared" si="167"/>
        <v>Medium</v>
      </c>
      <c r="AR1090" t="str">
        <f t="shared" si="168"/>
        <v>Short</v>
      </c>
      <c r="AS1090">
        <f t="shared" si="169"/>
        <v>0</v>
      </c>
    </row>
    <row r="1091" spans="1:4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s="20">
        <v>4285</v>
      </c>
      <c r="T1091">
        <v>3031</v>
      </c>
      <c r="U1091">
        <v>1</v>
      </c>
      <c r="V1091" t="s">
        <v>42</v>
      </c>
      <c r="W1091" t="s">
        <v>43</v>
      </c>
      <c r="X1091" s="19">
        <v>17</v>
      </c>
      <c r="Y1091">
        <v>3</v>
      </c>
      <c r="Z1091">
        <v>1</v>
      </c>
      <c r="AA1091">
        <v>80</v>
      </c>
      <c r="AB1091">
        <v>0</v>
      </c>
      <c r="AC1091">
        <v>10</v>
      </c>
      <c r="AD1091">
        <v>2</v>
      </c>
      <c r="AE1091">
        <v>3</v>
      </c>
      <c r="AF1091">
        <v>10</v>
      </c>
      <c r="AG1091">
        <v>8</v>
      </c>
      <c r="AH1091">
        <v>3</v>
      </c>
      <c r="AI1091">
        <v>7</v>
      </c>
      <c r="AJ1091">
        <f t="shared" ref="AJ1091:AJ1154" si="170">IF(B1091="Yes",1,0)</f>
        <v>0</v>
      </c>
      <c r="AK1091">
        <f t="shared" ref="AK1091:AK1154" si="171">IF(W1091="Yes",1,0)</f>
        <v>0</v>
      </c>
      <c r="AL1091">
        <f t="shared" ref="AL1091:AL1154" si="172">IF(L1091="Male",1,0)</f>
        <v>1</v>
      </c>
      <c r="AM1091">
        <f t="shared" ref="AM1091:AM1154" si="173">AVERAGE(K1091,Q1091,Z1091,AE1091)</f>
        <v>2.25</v>
      </c>
      <c r="AN1091">
        <f t="shared" ref="AN1091:AN1154" si="174">(S1091*12)/(AF1091+1)</f>
        <v>4674.545454545455</v>
      </c>
      <c r="AO1091">
        <f t="shared" ref="AO1091:AO1154" si="175">AF1091/(AC1091+1)</f>
        <v>0.90909090909090906</v>
      </c>
      <c r="AP1091" t="str">
        <f t="shared" ref="AP1091:AP1154" si="176">IF(A1091&lt;30,"Under 30",IF(A1091&lt;40,"30-39",IF(A1091&lt;50,"40-49","50+")))</f>
        <v>30-39</v>
      </c>
      <c r="AQ1091" t="str">
        <f t="shared" ref="AQ1091:AQ1154" si="177">IF(S1091&lt;=$AV$1,"Low",IF(S1091&lt;=$AV$2,"Medium",IF(S1091&lt;=$AV$3,"High","Very High")))</f>
        <v>Medium</v>
      </c>
      <c r="AR1091" t="str">
        <f t="shared" ref="AR1091:AR1154" si="178">IF(F1091&lt;=5,"Short",IF(F1091&lt;=15,"Medium","Long"))</f>
        <v>Medium</v>
      </c>
      <c r="AS1091">
        <f t="shared" ref="AS1091:AS1154" si="179">IF(C1091="Travel_Frequently",1,0)</f>
        <v>0</v>
      </c>
    </row>
    <row r="1092" spans="1:4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s="20">
        <v>9715</v>
      </c>
      <c r="T1092">
        <v>7288</v>
      </c>
      <c r="U1092">
        <v>3</v>
      </c>
      <c r="V1092" t="s">
        <v>42</v>
      </c>
      <c r="W1092" t="s">
        <v>43</v>
      </c>
      <c r="X1092" s="19">
        <v>13</v>
      </c>
      <c r="Y1092">
        <v>3</v>
      </c>
      <c r="Z1092">
        <v>3</v>
      </c>
      <c r="AA1092">
        <v>80</v>
      </c>
      <c r="AB1092">
        <v>1</v>
      </c>
      <c r="AC1092">
        <v>9</v>
      </c>
      <c r="AD1092">
        <v>3</v>
      </c>
      <c r="AE1092">
        <v>3</v>
      </c>
      <c r="AF1092">
        <v>7</v>
      </c>
      <c r="AG1092">
        <v>7</v>
      </c>
      <c r="AH1092">
        <v>0</v>
      </c>
      <c r="AI1092">
        <v>7</v>
      </c>
      <c r="AJ1092">
        <f t="shared" si="170"/>
        <v>0</v>
      </c>
      <c r="AK1092">
        <f t="shared" si="171"/>
        <v>0</v>
      </c>
      <c r="AL1092">
        <f t="shared" si="172"/>
        <v>0</v>
      </c>
      <c r="AM1092">
        <f t="shared" si="173"/>
        <v>2.5</v>
      </c>
      <c r="AN1092">
        <f t="shared" si="174"/>
        <v>14572.5</v>
      </c>
      <c r="AO1092">
        <f t="shared" si="175"/>
        <v>0.7</v>
      </c>
      <c r="AP1092" t="str">
        <f t="shared" si="176"/>
        <v>Under 30</v>
      </c>
      <c r="AQ1092" t="str">
        <f t="shared" si="177"/>
        <v>Very High</v>
      </c>
      <c r="AR1092" t="str">
        <f t="shared" si="178"/>
        <v>Medium</v>
      </c>
      <c r="AS1092">
        <f t="shared" si="179"/>
        <v>0</v>
      </c>
    </row>
    <row r="1093" spans="1:4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s="20">
        <v>4320</v>
      </c>
      <c r="T1093">
        <v>24152</v>
      </c>
      <c r="U1093">
        <v>1</v>
      </c>
      <c r="V1093" t="s">
        <v>42</v>
      </c>
      <c r="W1093" t="s">
        <v>43</v>
      </c>
      <c r="X1093" s="19">
        <v>13</v>
      </c>
      <c r="Y1093">
        <v>3</v>
      </c>
      <c r="Z1093">
        <v>4</v>
      </c>
      <c r="AA1093">
        <v>80</v>
      </c>
      <c r="AB1093">
        <v>0</v>
      </c>
      <c r="AC1093">
        <v>5</v>
      </c>
      <c r="AD1093">
        <v>2</v>
      </c>
      <c r="AE1093">
        <v>3</v>
      </c>
      <c r="AF1093">
        <v>5</v>
      </c>
      <c r="AG1093">
        <v>3</v>
      </c>
      <c r="AH1093">
        <v>0</v>
      </c>
      <c r="AI1093">
        <v>2</v>
      </c>
      <c r="AJ1093">
        <f t="shared" si="170"/>
        <v>0</v>
      </c>
      <c r="AK1093">
        <f t="shared" si="171"/>
        <v>0</v>
      </c>
      <c r="AL1093">
        <f t="shared" si="172"/>
        <v>1</v>
      </c>
      <c r="AM1093">
        <f t="shared" si="173"/>
        <v>3.25</v>
      </c>
      <c r="AN1093">
        <f t="shared" si="174"/>
        <v>8640</v>
      </c>
      <c r="AO1093">
        <f t="shared" si="175"/>
        <v>0.83333333333333337</v>
      </c>
      <c r="AP1093" t="str">
        <f t="shared" si="176"/>
        <v>30-39</v>
      </c>
      <c r="AQ1093" t="str">
        <f t="shared" si="177"/>
        <v>Medium</v>
      </c>
      <c r="AR1093" t="str">
        <f t="shared" si="178"/>
        <v>Long</v>
      </c>
      <c r="AS1093">
        <f t="shared" si="179"/>
        <v>0</v>
      </c>
    </row>
    <row r="1094" spans="1:4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s="20">
        <v>2132</v>
      </c>
      <c r="T1094">
        <v>4585</v>
      </c>
      <c r="U1094">
        <v>4</v>
      </c>
      <c r="V1094" t="s">
        <v>42</v>
      </c>
      <c r="W1094" t="s">
        <v>43</v>
      </c>
      <c r="X1094" s="19">
        <v>20</v>
      </c>
      <c r="Y1094">
        <v>4</v>
      </c>
      <c r="Z1094">
        <v>4</v>
      </c>
      <c r="AA1094">
        <v>80</v>
      </c>
      <c r="AB1094">
        <v>1</v>
      </c>
      <c r="AC1094">
        <v>8</v>
      </c>
      <c r="AD1094">
        <v>3</v>
      </c>
      <c r="AE1094">
        <v>3</v>
      </c>
      <c r="AF1094">
        <v>5</v>
      </c>
      <c r="AG1094">
        <v>4</v>
      </c>
      <c r="AH1094">
        <v>0</v>
      </c>
      <c r="AI1094">
        <v>3</v>
      </c>
      <c r="AJ1094">
        <f t="shared" si="170"/>
        <v>0</v>
      </c>
      <c r="AK1094">
        <f t="shared" si="171"/>
        <v>0</v>
      </c>
      <c r="AL1094">
        <f t="shared" si="172"/>
        <v>1</v>
      </c>
      <c r="AM1094">
        <f t="shared" si="173"/>
        <v>3.75</v>
      </c>
      <c r="AN1094">
        <f t="shared" si="174"/>
        <v>4264</v>
      </c>
      <c r="AO1094">
        <f t="shared" si="175"/>
        <v>0.55555555555555558</v>
      </c>
      <c r="AP1094" t="str">
        <f t="shared" si="176"/>
        <v>40-49</v>
      </c>
      <c r="AQ1094" t="str">
        <f t="shared" si="177"/>
        <v>Low</v>
      </c>
      <c r="AR1094" t="str">
        <f t="shared" si="178"/>
        <v>Long</v>
      </c>
      <c r="AS1094">
        <f t="shared" si="179"/>
        <v>0</v>
      </c>
    </row>
    <row r="1095" spans="1:4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s="20">
        <v>10124</v>
      </c>
      <c r="T1095">
        <v>18611</v>
      </c>
      <c r="U1095">
        <v>2</v>
      </c>
      <c r="V1095" t="s">
        <v>42</v>
      </c>
      <c r="W1095" t="s">
        <v>35</v>
      </c>
      <c r="X1095" s="19">
        <v>14</v>
      </c>
      <c r="Y1095">
        <v>3</v>
      </c>
      <c r="Z1095">
        <v>3</v>
      </c>
      <c r="AA1095">
        <v>80</v>
      </c>
      <c r="AB1095">
        <v>1</v>
      </c>
      <c r="AC1095">
        <v>24</v>
      </c>
      <c r="AD1095">
        <v>3</v>
      </c>
      <c r="AE1095">
        <v>1</v>
      </c>
      <c r="AF1095">
        <v>20</v>
      </c>
      <c r="AG1095">
        <v>8</v>
      </c>
      <c r="AH1095">
        <v>13</v>
      </c>
      <c r="AI1095">
        <v>9</v>
      </c>
      <c r="AJ1095">
        <f t="shared" si="170"/>
        <v>0</v>
      </c>
      <c r="AK1095">
        <f t="shared" si="171"/>
        <v>1</v>
      </c>
      <c r="AL1095">
        <f t="shared" si="172"/>
        <v>1</v>
      </c>
      <c r="AM1095">
        <f t="shared" si="173"/>
        <v>3</v>
      </c>
      <c r="AN1095">
        <f t="shared" si="174"/>
        <v>5785.1428571428569</v>
      </c>
      <c r="AO1095">
        <f t="shared" si="175"/>
        <v>0.8</v>
      </c>
      <c r="AP1095" t="str">
        <f t="shared" si="176"/>
        <v>40-49</v>
      </c>
      <c r="AQ1095" t="str">
        <f t="shared" si="177"/>
        <v>Very High</v>
      </c>
      <c r="AR1095" t="str">
        <f t="shared" si="178"/>
        <v>Short</v>
      </c>
      <c r="AS1095">
        <f t="shared" si="179"/>
        <v>1</v>
      </c>
    </row>
    <row r="1096" spans="1:4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s="20">
        <v>5473</v>
      </c>
      <c r="T1096">
        <v>19345</v>
      </c>
      <c r="U1096">
        <v>0</v>
      </c>
      <c r="V1096" t="s">
        <v>42</v>
      </c>
      <c r="W1096" t="s">
        <v>43</v>
      </c>
      <c r="X1096" s="19">
        <v>12</v>
      </c>
      <c r="Y1096">
        <v>3</v>
      </c>
      <c r="Z1096">
        <v>4</v>
      </c>
      <c r="AA1096">
        <v>80</v>
      </c>
      <c r="AB1096">
        <v>0</v>
      </c>
      <c r="AC1096">
        <v>9</v>
      </c>
      <c r="AD1096">
        <v>5</v>
      </c>
      <c r="AE1096">
        <v>4</v>
      </c>
      <c r="AF1096">
        <v>8</v>
      </c>
      <c r="AG1096">
        <v>4</v>
      </c>
      <c r="AH1096">
        <v>7</v>
      </c>
      <c r="AI1096">
        <v>1</v>
      </c>
      <c r="AJ1096">
        <f t="shared" si="170"/>
        <v>0</v>
      </c>
      <c r="AK1096">
        <f t="shared" si="171"/>
        <v>0</v>
      </c>
      <c r="AL1096">
        <f t="shared" si="172"/>
        <v>1</v>
      </c>
      <c r="AM1096">
        <f t="shared" si="173"/>
        <v>2.5</v>
      </c>
      <c r="AN1096">
        <f t="shared" si="174"/>
        <v>7297.333333333333</v>
      </c>
      <c r="AO1096">
        <f t="shared" si="175"/>
        <v>0.8</v>
      </c>
      <c r="AP1096" t="str">
        <f t="shared" si="176"/>
        <v>40-49</v>
      </c>
      <c r="AQ1096" t="str">
        <f t="shared" si="177"/>
        <v>High</v>
      </c>
      <c r="AR1096" t="str">
        <f t="shared" si="178"/>
        <v>Medium</v>
      </c>
      <c r="AS1096">
        <f t="shared" si="179"/>
        <v>0</v>
      </c>
    </row>
    <row r="1097" spans="1:4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s="20">
        <v>5207</v>
      </c>
      <c r="T1097">
        <v>22949</v>
      </c>
      <c r="U1097">
        <v>1</v>
      </c>
      <c r="V1097" t="s">
        <v>42</v>
      </c>
      <c r="W1097" t="s">
        <v>35</v>
      </c>
      <c r="X1097" s="19">
        <v>12</v>
      </c>
      <c r="Y1097">
        <v>3</v>
      </c>
      <c r="Z1097">
        <v>2</v>
      </c>
      <c r="AA1097">
        <v>80</v>
      </c>
      <c r="AB1097">
        <v>1</v>
      </c>
      <c r="AC1097">
        <v>15</v>
      </c>
      <c r="AD1097">
        <v>3</v>
      </c>
      <c r="AE1097">
        <v>3</v>
      </c>
      <c r="AF1097">
        <v>15</v>
      </c>
      <c r="AG1097">
        <v>14</v>
      </c>
      <c r="AH1097">
        <v>5</v>
      </c>
      <c r="AI1097">
        <v>7</v>
      </c>
      <c r="AJ1097">
        <f t="shared" si="170"/>
        <v>0</v>
      </c>
      <c r="AK1097">
        <f t="shared" si="171"/>
        <v>1</v>
      </c>
      <c r="AL1097">
        <f t="shared" si="172"/>
        <v>1</v>
      </c>
      <c r="AM1097">
        <f t="shared" si="173"/>
        <v>2.5</v>
      </c>
      <c r="AN1097">
        <f t="shared" si="174"/>
        <v>3905.25</v>
      </c>
      <c r="AO1097">
        <f t="shared" si="175"/>
        <v>0.9375</v>
      </c>
      <c r="AP1097" t="str">
        <f t="shared" si="176"/>
        <v>30-39</v>
      </c>
      <c r="AQ1097" t="str">
        <f t="shared" si="177"/>
        <v>High</v>
      </c>
      <c r="AR1097" t="str">
        <f t="shared" si="178"/>
        <v>Long</v>
      </c>
      <c r="AS1097">
        <f t="shared" si="179"/>
        <v>0</v>
      </c>
    </row>
    <row r="1098" spans="1:4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s="20">
        <v>16437</v>
      </c>
      <c r="T1098">
        <v>17381</v>
      </c>
      <c r="U1098">
        <v>1</v>
      </c>
      <c r="V1098" t="s">
        <v>42</v>
      </c>
      <c r="W1098" t="s">
        <v>35</v>
      </c>
      <c r="X1098" s="19">
        <v>21</v>
      </c>
      <c r="Y1098">
        <v>4</v>
      </c>
      <c r="Z1098">
        <v>4</v>
      </c>
      <c r="AA1098">
        <v>80</v>
      </c>
      <c r="AB1098">
        <v>0</v>
      </c>
      <c r="AC1098">
        <v>21</v>
      </c>
      <c r="AD1098">
        <v>2</v>
      </c>
      <c r="AE1098">
        <v>3</v>
      </c>
      <c r="AF1098">
        <v>21</v>
      </c>
      <c r="AG1098">
        <v>7</v>
      </c>
      <c r="AH1098">
        <v>7</v>
      </c>
      <c r="AI1098">
        <v>7</v>
      </c>
      <c r="AJ1098">
        <f t="shared" si="170"/>
        <v>0</v>
      </c>
      <c r="AK1098">
        <f t="shared" si="171"/>
        <v>1</v>
      </c>
      <c r="AL1098">
        <f t="shared" si="172"/>
        <v>1</v>
      </c>
      <c r="AM1098">
        <f t="shared" si="173"/>
        <v>3.5</v>
      </c>
      <c r="AN1098">
        <f t="shared" si="174"/>
        <v>8965.636363636364</v>
      </c>
      <c r="AO1098">
        <f t="shared" si="175"/>
        <v>0.95454545454545459</v>
      </c>
      <c r="AP1098" t="str">
        <f t="shared" si="176"/>
        <v>40-49</v>
      </c>
      <c r="AQ1098" t="str">
        <f t="shared" si="177"/>
        <v>Very High</v>
      </c>
      <c r="AR1098" t="str">
        <f t="shared" si="178"/>
        <v>Medium</v>
      </c>
      <c r="AS1098">
        <f t="shared" si="179"/>
        <v>0</v>
      </c>
    </row>
    <row r="1099" spans="1:4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s="20">
        <v>2296</v>
      </c>
      <c r="T1099">
        <v>10036</v>
      </c>
      <c r="U1099">
        <v>0</v>
      </c>
      <c r="V1099" t="s">
        <v>42</v>
      </c>
      <c r="W1099" t="s">
        <v>43</v>
      </c>
      <c r="X1099" s="19">
        <v>14</v>
      </c>
      <c r="Y1099">
        <v>3</v>
      </c>
      <c r="Z1099">
        <v>2</v>
      </c>
      <c r="AA1099">
        <v>80</v>
      </c>
      <c r="AB1099">
        <v>3</v>
      </c>
      <c r="AC1099">
        <v>2</v>
      </c>
      <c r="AD1099">
        <v>3</v>
      </c>
      <c r="AE1099">
        <v>3</v>
      </c>
      <c r="AF1099">
        <v>1</v>
      </c>
      <c r="AG1099">
        <v>1</v>
      </c>
      <c r="AH1099">
        <v>0</v>
      </c>
      <c r="AI1099">
        <v>0</v>
      </c>
      <c r="AJ1099">
        <f t="shared" si="170"/>
        <v>0</v>
      </c>
      <c r="AK1099">
        <f t="shared" si="171"/>
        <v>0</v>
      </c>
      <c r="AL1099">
        <f t="shared" si="172"/>
        <v>1</v>
      </c>
      <c r="AM1099">
        <f t="shared" si="173"/>
        <v>2.25</v>
      </c>
      <c r="AN1099">
        <f t="shared" si="174"/>
        <v>13776</v>
      </c>
      <c r="AO1099">
        <f t="shared" si="175"/>
        <v>0.33333333333333331</v>
      </c>
      <c r="AP1099" t="str">
        <f t="shared" si="176"/>
        <v>Under 30</v>
      </c>
      <c r="AQ1099" t="str">
        <f t="shared" si="177"/>
        <v>Low</v>
      </c>
      <c r="AR1099" t="str">
        <f t="shared" si="178"/>
        <v>Long</v>
      </c>
      <c r="AS1099">
        <f t="shared" si="179"/>
        <v>0</v>
      </c>
    </row>
    <row r="1100" spans="1:4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s="20">
        <v>4069</v>
      </c>
      <c r="T1100">
        <v>8841</v>
      </c>
      <c r="U1100">
        <v>3</v>
      </c>
      <c r="V1100" t="s">
        <v>42</v>
      </c>
      <c r="W1100" t="s">
        <v>35</v>
      </c>
      <c r="X1100" s="19">
        <v>18</v>
      </c>
      <c r="Y1100">
        <v>3</v>
      </c>
      <c r="Z1100">
        <v>3</v>
      </c>
      <c r="AA1100">
        <v>80</v>
      </c>
      <c r="AB1100">
        <v>0</v>
      </c>
      <c r="AC1100">
        <v>8</v>
      </c>
      <c r="AD1100">
        <v>2</v>
      </c>
      <c r="AE1100">
        <v>3</v>
      </c>
      <c r="AF1100">
        <v>2</v>
      </c>
      <c r="AG1100">
        <v>2</v>
      </c>
      <c r="AH1100">
        <v>2</v>
      </c>
      <c r="AI1100">
        <v>2</v>
      </c>
      <c r="AJ1100">
        <f t="shared" si="170"/>
        <v>0</v>
      </c>
      <c r="AK1100">
        <f t="shared" si="171"/>
        <v>1</v>
      </c>
      <c r="AL1100">
        <f t="shared" si="172"/>
        <v>1</v>
      </c>
      <c r="AM1100">
        <f t="shared" si="173"/>
        <v>3.5</v>
      </c>
      <c r="AN1100">
        <f t="shared" si="174"/>
        <v>16276</v>
      </c>
      <c r="AO1100">
        <f t="shared" si="175"/>
        <v>0.22222222222222221</v>
      </c>
      <c r="AP1100" t="str">
        <f t="shared" si="176"/>
        <v>40-49</v>
      </c>
      <c r="AQ1100" t="str">
        <f t="shared" si="177"/>
        <v>Medium</v>
      </c>
      <c r="AR1100" t="str">
        <f t="shared" si="178"/>
        <v>Medium</v>
      </c>
      <c r="AS1100">
        <f t="shared" si="179"/>
        <v>0</v>
      </c>
    </row>
    <row r="1101" spans="1:4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s="20">
        <v>7441</v>
      </c>
      <c r="T1101">
        <v>20933</v>
      </c>
      <c r="U1101">
        <v>1</v>
      </c>
      <c r="V1101" t="s">
        <v>42</v>
      </c>
      <c r="W1101" t="s">
        <v>43</v>
      </c>
      <c r="X1101" s="19">
        <v>12</v>
      </c>
      <c r="Y1101">
        <v>3</v>
      </c>
      <c r="Z1101">
        <v>1</v>
      </c>
      <c r="AA1101">
        <v>80</v>
      </c>
      <c r="AB1101">
        <v>3</v>
      </c>
      <c r="AC1101">
        <v>10</v>
      </c>
      <c r="AD1101">
        <v>4</v>
      </c>
      <c r="AE1101">
        <v>3</v>
      </c>
      <c r="AF1101">
        <v>10</v>
      </c>
      <c r="AG1101">
        <v>8</v>
      </c>
      <c r="AH1101">
        <v>7</v>
      </c>
      <c r="AI1101">
        <v>7</v>
      </c>
      <c r="AJ1101">
        <f t="shared" si="170"/>
        <v>0</v>
      </c>
      <c r="AK1101">
        <f t="shared" si="171"/>
        <v>0</v>
      </c>
      <c r="AL1101">
        <f t="shared" si="172"/>
        <v>1</v>
      </c>
      <c r="AM1101">
        <f t="shared" si="173"/>
        <v>1.75</v>
      </c>
      <c r="AN1101">
        <f t="shared" si="174"/>
        <v>8117.454545454545</v>
      </c>
      <c r="AO1101">
        <f t="shared" si="175"/>
        <v>0.90909090909090906</v>
      </c>
      <c r="AP1101" t="str">
        <f t="shared" si="176"/>
        <v>40-49</v>
      </c>
      <c r="AQ1101" t="str">
        <f t="shared" si="177"/>
        <v>High</v>
      </c>
      <c r="AR1101" t="str">
        <f t="shared" si="178"/>
        <v>Short</v>
      </c>
      <c r="AS1101">
        <f t="shared" si="179"/>
        <v>0</v>
      </c>
    </row>
    <row r="1102" spans="1:4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s="20">
        <v>2430</v>
      </c>
      <c r="T1102">
        <v>26204</v>
      </c>
      <c r="U1102">
        <v>2</v>
      </c>
      <c r="V1102" t="s">
        <v>42</v>
      </c>
      <c r="W1102" t="s">
        <v>43</v>
      </c>
      <c r="X1102" s="19">
        <v>23</v>
      </c>
      <c r="Y1102">
        <v>4</v>
      </c>
      <c r="Z1102">
        <v>1</v>
      </c>
      <c r="AA1102">
        <v>80</v>
      </c>
      <c r="AB1102">
        <v>2</v>
      </c>
      <c r="AC1102">
        <v>6</v>
      </c>
      <c r="AD1102">
        <v>5</v>
      </c>
      <c r="AE1102">
        <v>3</v>
      </c>
      <c r="AF1102">
        <v>5</v>
      </c>
      <c r="AG1102">
        <v>3</v>
      </c>
      <c r="AH1102">
        <v>4</v>
      </c>
      <c r="AI1102">
        <v>2</v>
      </c>
      <c r="AJ1102">
        <f t="shared" si="170"/>
        <v>0</v>
      </c>
      <c r="AK1102">
        <f t="shared" si="171"/>
        <v>0</v>
      </c>
      <c r="AL1102">
        <f t="shared" si="172"/>
        <v>0</v>
      </c>
      <c r="AM1102">
        <f t="shared" si="173"/>
        <v>2.25</v>
      </c>
      <c r="AN1102">
        <f t="shared" si="174"/>
        <v>4860</v>
      </c>
      <c r="AO1102">
        <f t="shared" si="175"/>
        <v>0.7142857142857143</v>
      </c>
      <c r="AP1102" t="str">
        <f t="shared" si="176"/>
        <v>30-39</v>
      </c>
      <c r="AQ1102" t="str">
        <f t="shared" si="177"/>
        <v>Low</v>
      </c>
      <c r="AR1102" t="str">
        <f t="shared" si="178"/>
        <v>Long</v>
      </c>
      <c r="AS1102">
        <f t="shared" si="179"/>
        <v>0</v>
      </c>
    </row>
    <row r="1103" spans="1:4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s="20">
        <v>5878</v>
      </c>
      <c r="T1103">
        <v>15624</v>
      </c>
      <c r="U1103">
        <v>3</v>
      </c>
      <c r="V1103" t="s">
        <v>42</v>
      </c>
      <c r="W1103" t="s">
        <v>43</v>
      </c>
      <c r="X1103" s="19">
        <v>12</v>
      </c>
      <c r="Y1103">
        <v>3</v>
      </c>
      <c r="Z1103">
        <v>1</v>
      </c>
      <c r="AA1103">
        <v>80</v>
      </c>
      <c r="AB1103">
        <v>1</v>
      </c>
      <c r="AC1103">
        <v>12</v>
      </c>
      <c r="AD1103">
        <v>2</v>
      </c>
      <c r="AE1103">
        <v>3</v>
      </c>
      <c r="AF1103">
        <v>7</v>
      </c>
      <c r="AG1103">
        <v>1</v>
      </c>
      <c r="AH1103">
        <v>2</v>
      </c>
      <c r="AI1103">
        <v>5</v>
      </c>
      <c r="AJ1103">
        <f t="shared" si="170"/>
        <v>0</v>
      </c>
      <c r="AK1103">
        <f t="shared" si="171"/>
        <v>0</v>
      </c>
      <c r="AL1103">
        <f t="shared" si="172"/>
        <v>0</v>
      </c>
      <c r="AM1103">
        <f t="shared" si="173"/>
        <v>2.5</v>
      </c>
      <c r="AN1103">
        <f t="shared" si="174"/>
        <v>8817</v>
      </c>
      <c r="AO1103">
        <f t="shared" si="175"/>
        <v>0.53846153846153844</v>
      </c>
      <c r="AP1103" t="str">
        <f t="shared" si="176"/>
        <v>30-39</v>
      </c>
      <c r="AQ1103" t="str">
        <f t="shared" si="177"/>
        <v>High</v>
      </c>
      <c r="AR1103" t="str">
        <f t="shared" si="178"/>
        <v>Short</v>
      </c>
      <c r="AS1103">
        <f t="shared" si="179"/>
        <v>0</v>
      </c>
    </row>
    <row r="1104" spans="1:4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s="20">
        <v>2644</v>
      </c>
      <c r="T1104">
        <v>17001</v>
      </c>
      <c r="U1104">
        <v>3</v>
      </c>
      <c r="V1104" t="s">
        <v>42</v>
      </c>
      <c r="W1104" t="s">
        <v>35</v>
      </c>
      <c r="X1104" s="19">
        <v>21</v>
      </c>
      <c r="Y1104">
        <v>4</v>
      </c>
      <c r="Z1104">
        <v>4</v>
      </c>
      <c r="AA1104">
        <v>80</v>
      </c>
      <c r="AB1104">
        <v>0</v>
      </c>
      <c r="AC1104">
        <v>7</v>
      </c>
      <c r="AD1104">
        <v>3</v>
      </c>
      <c r="AE1104">
        <v>2</v>
      </c>
      <c r="AF1104">
        <v>3</v>
      </c>
      <c r="AG1104">
        <v>2</v>
      </c>
      <c r="AH1104">
        <v>1</v>
      </c>
      <c r="AI1104">
        <v>2</v>
      </c>
      <c r="AJ1104">
        <f t="shared" si="170"/>
        <v>0</v>
      </c>
      <c r="AK1104">
        <f t="shared" si="171"/>
        <v>1</v>
      </c>
      <c r="AL1104">
        <f t="shared" si="172"/>
        <v>1</v>
      </c>
      <c r="AM1104">
        <f t="shared" si="173"/>
        <v>3.25</v>
      </c>
      <c r="AN1104">
        <f t="shared" si="174"/>
        <v>7932</v>
      </c>
      <c r="AO1104">
        <f t="shared" si="175"/>
        <v>0.375</v>
      </c>
      <c r="AP1104" t="str">
        <f t="shared" si="176"/>
        <v>30-39</v>
      </c>
      <c r="AQ1104" t="str">
        <f t="shared" si="177"/>
        <v>Low</v>
      </c>
      <c r="AR1104" t="str">
        <f t="shared" si="178"/>
        <v>Short</v>
      </c>
      <c r="AS1104">
        <f t="shared" si="179"/>
        <v>0</v>
      </c>
    </row>
    <row r="1105" spans="1:4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s="20">
        <v>6439</v>
      </c>
      <c r="T1105">
        <v>13693</v>
      </c>
      <c r="U1105">
        <v>8</v>
      </c>
      <c r="V1105" t="s">
        <v>42</v>
      </c>
      <c r="W1105" t="s">
        <v>43</v>
      </c>
      <c r="X1105" s="19">
        <v>14</v>
      </c>
      <c r="Y1105">
        <v>3</v>
      </c>
      <c r="Z1105">
        <v>3</v>
      </c>
      <c r="AA1105">
        <v>80</v>
      </c>
      <c r="AB1105">
        <v>1</v>
      </c>
      <c r="AC1105">
        <v>18</v>
      </c>
      <c r="AD1105">
        <v>2</v>
      </c>
      <c r="AE1105">
        <v>3</v>
      </c>
      <c r="AF1105">
        <v>8</v>
      </c>
      <c r="AG1105">
        <v>7</v>
      </c>
      <c r="AH1105">
        <v>7</v>
      </c>
      <c r="AI1105">
        <v>7</v>
      </c>
      <c r="AJ1105">
        <f t="shared" si="170"/>
        <v>0</v>
      </c>
      <c r="AK1105">
        <f t="shared" si="171"/>
        <v>0</v>
      </c>
      <c r="AL1105">
        <f t="shared" si="172"/>
        <v>0</v>
      </c>
      <c r="AM1105">
        <f t="shared" si="173"/>
        <v>3</v>
      </c>
      <c r="AN1105">
        <f t="shared" si="174"/>
        <v>8585.3333333333339</v>
      </c>
      <c r="AO1105">
        <f t="shared" si="175"/>
        <v>0.42105263157894735</v>
      </c>
      <c r="AP1105" t="str">
        <f t="shared" si="176"/>
        <v>40-49</v>
      </c>
      <c r="AQ1105" t="str">
        <f t="shared" si="177"/>
        <v>High</v>
      </c>
      <c r="AR1105" t="str">
        <f t="shared" si="178"/>
        <v>Long</v>
      </c>
      <c r="AS1105">
        <f t="shared" si="179"/>
        <v>0</v>
      </c>
    </row>
    <row r="1106" spans="1:4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s="20">
        <v>2451</v>
      </c>
      <c r="T1106">
        <v>22376</v>
      </c>
      <c r="U1106">
        <v>6</v>
      </c>
      <c r="V1106" t="s">
        <v>42</v>
      </c>
      <c r="W1106" t="s">
        <v>43</v>
      </c>
      <c r="X1106" s="19">
        <v>18</v>
      </c>
      <c r="Y1106">
        <v>3</v>
      </c>
      <c r="Z1106">
        <v>1</v>
      </c>
      <c r="AA1106">
        <v>80</v>
      </c>
      <c r="AB1106">
        <v>2</v>
      </c>
      <c r="AC1106">
        <v>5</v>
      </c>
      <c r="AD1106">
        <v>2</v>
      </c>
      <c r="AE1106">
        <v>2</v>
      </c>
      <c r="AF1106">
        <v>1</v>
      </c>
      <c r="AG1106">
        <v>0</v>
      </c>
      <c r="AH1106">
        <v>0</v>
      </c>
      <c r="AI1106">
        <v>0</v>
      </c>
      <c r="AJ1106">
        <f t="shared" si="170"/>
        <v>0</v>
      </c>
      <c r="AK1106">
        <f t="shared" si="171"/>
        <v>0</v>
      </c>
      <c r="AL1106">
        <f t="shared" si="172"/>
        <v>1</v>
      </c>
      <c r="AM1106">
        <f t="shared" si="173"/>
        <v>2.25</v>
      </c>
      <c r="AN1106">
        <f t="shared" si="174"/>
        <v>14706</v>
      </c>
      <c r="AO1106">
        <f t="shared" si="175"/>
        <v>0.16666666666666666</v>
      </c>
      <c r="AP1106" t="str">
        <f t="shared" si="176"/>
        <v>Under 30</v>
      </c>
      <c r="AQ1106" t="str">
        <f t="shared" si="177"/>
        <v>Low</v>
      </c>
      <c r="AR1106" t="str">
        <f t="shared" si="178"/>
        <v>Medium</v>
      </c>
      <c r="AS1106">
        <f t="shared" si="179"/>
        <v>0</v>
      </c>
    </row>
    <row r="1107" spans="1:4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s="20">
        <v>6392</v>
      </c>
      <c r="T1107">
        <v>10589</v>
      </c>
      <c r="U1107">
        <v>2</v>
      </c>
      <c r="V1107" t="s">
        <v>42</v>
      </c>
      <c r="W1107" t="s">
        <v>43</v>
      </c>
      <c r="X1107" s="19">
        <v>13</v>
      </c>
      <c r="Y1107">
        <v>3</v>
      </c>
      <c r="Z1107">
        <v>4</v>
      </c>
      <c r="AA1107">
        <v>80</v>
      </c>
      <c r="AB1107">
        <v>1</v>
      </c>
      <c r="AC1107">
        <v>8</v>
      </c>
      <c r="AD1107">
        <v>6</v>
      </c>
      <c r="AE1107">
        <v>1</v>
      </c>
      <c r="AF1107">
        <v>2</v>
      </c>
      <c r="AG1107">
        <v>2</v>
      </c>
      <c r="AH1107">
        <v>2</v>
      </c>
      <c r="AI1107">
        <v>2</v>
      </c>
      <c r="AJ1107">
        <f t="shared" si="170"/>
        <v>0</v>
      </c>
      <c r="AK1107">
        <f t="shared" si="171"/>
        <v>0</v>
      </c>
      <c r="AL1107">
        <f t="shared" si="172"/>
        <v>1</v>
      </c>
      <c r="AM1107">
        <f t="shared" si="173"/>
        <v>1.75</v>
      </c>
      <c r="AN1107">
        <f t="shared" si="174"/>
        <v>25568</v>
      </c>
      <c r="AO1107">
        <f t="shared" si="175"/>
        <v>0.22222222222222221</v>
      </c>
      <c r="AP1107" t="str">
        <f t="shared" si="176"/>
        <v>30-39</v>
      </c>
      <c r="AQ1107" t="str">
        <f t="shared" si="177"/>
        <v>High</v>
      </c>
      <c r="AR1107" t="str">
        <f t="shared" si="178"/>
        <v>Medium</v>
      </c>
      <c r="AS1107">
        <f t="shared" si="179"/>
        <v>0</v>
      </c>
    </row>
    <row r="1108" spans="1:4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s="20">
        <v>9714</v>
      </c>
      <c r="T1108">
        <v>5323</v>
      </c>
      <c r="U1108">
        <v>1</v>
      </c>
      <c r="V1108" t="s">
        <v>42</v>
      </c>
      <c r="W1108" t="s">
        <v>43</v>
      </c>
      <c r="X1108" s="19">
        <v>11</v>
      </c>
      <c r="Y1108">
        <v>3</v>
      </c>
      <c r="Z1108">
        <v>4</v>
      </c>
      <c r="AA1108">
        <v>80</v>
      </c>
      <c r="AB1108">
        <v>1</v>
      </c>
      <c r="AC1108">
        <v>10</v>
      </c>
      <c r="AD1108">
        <v>4</v>
      </c>
      <c r="AE1108">
        <v>3</v>
      </c>
      <c r="AF1108">
        <v>10</v>
      </c>
      <c r="AG1108">
        <v>8</v>
      </c>
      <c r="AH1108">
        <v>6</v>
      </c>
      <c r="AI1108">
        <v>7</v>
      </c>
      <c r="AJ1108">
        <f t="shared" si="170"/>
        <v>1</v>
      </c>
      <c r="AK1108">
        <f t="shared" si="171"/>
        <v>0</v>
      </c>
      <c r="AL1108">
        <f t="shared" si="172"/>
        <v>1</v>
      </c>
      <c r="AM1108">
        <f t="shared" si="173"/>
        <v>2.5</v>
      </c>
      <c r="AN1108">
        <f t="shared" si="174"/>
        <v>10597.09090909091</v>
      </c>
      <c r="AO1108">
        <f t="shared" si="175"/>
        <v>0.90909090909090906</v>
      </c>
      <c r="AP1108" t="str">
        <f t="shared" si="176"/>
        <v>30-39</v>
      </c>
      <c r="AQ1108" t="str">
        <f t="shared" si="177"/>
        <v>Very High</v>
      </c>
      <c r="AR1108" t="str">
        <f t="shared" si="178"/>
        <v>Short</v>
      </c>
      <c r="AS1108">
        <f t="shared" si="179"/>
        <v>0</v>
      </c>
    </row>
    <row r="1109" spans="1:4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s="20">
        <v>6077</v>
      </c>
      <c r="T1109">
        <v>14814</v>
      </c>
      <c r="U1109">
        <v>3</v>
      </c>
      <c r="V1109" t="s">
        <v>42</v>
      </c>
      <c r="W1109" t="s">
        <v>43</v>
      </c>
      <c r="X1109" s="19">
        <v>11</v>
      </c>
      <c r="Y1109">
        <v>3</v>
      </c>
      <c r="Z1109">
        <v>3</v>
      </c>
      <c r="AA1109">
        <v>80</v>
      </c>
      <c r="AB1109">
        <v>0</v>
      </c>
      <c r="AC1109">
        <v>10</v>
      </c>
      <c r="AD1109">
        <v>2</v>
      </c>
      <c r="AE1109">
        <v>3</v>
      </c>
      <c r="AF1109">
        <v>6</v>
      </c>
      <c r="AG1109">
        <v>3</v>
      </c>
      <c r="AH1109">
        <v>1</v>
      </c>
      <c r="AI1109">
        <v>2</v>
      </c>
      <c r="AJ1109">
        <f t="shared" si="170"/>
        <v>0</v>
      </c>
      <c r="AK1109">
        <f t="shared" si="171"/>
        <v>0</v>
      </c>
      <c r="AL1109">
        <f t="shared" si="172"/>
        <v>1</v>
      </c>
      <c r="AM1109">
        <f t="shared" si="173"/>
        <v>3</v>
      </c>
      <c r="AN1109">
        <f t="shared" si="174"/>
        <v>10417.714285714286</v>
      </c>
      <c r="AO1109">
        <f t="shared" si="175"/>
        <v>0.54545454545454541</v>
      </c>
      <c r="AP1109" t="str">
        <f t="shared" si="176"/>
        <v>30-39</v>
      </c>
      <c r="AQ1109" t="str">
        <f t="shared" si="177"/>
        <v>High</v>
      </c>
      <c r="AR1109" t="str">
        <f t="shared" si="178"/>
        <v>Medium</v>
      </c>
      <c r="AS1109">
        <f t="shared" si="179"/>
        <v>1</v>
      </c>
    </row>
    <row r="1110" spans="1:4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s="20">
        <v>2450</v>
      </c>
      <c r="T1110">
        <v>21731</v>
      </c>
      <c r="U1110">
        <v>1</v>
      </c>
      <c r="V1110" t="s">
        <v>42</v>
      </c>
      <c r="W1110" t="s">
        <v>43</v>
      </c>
      <c r="X1110" s="19">
        <v>19</v>
      </c>
      <c r="Y1110">
        <v>3</v>
      </c>
      <c r="Z1110">
        <v>2</v>
      </c>
      <c r="AA1110">
        <v>80</v>
      </c>
      <c r="AB1110">
        <v>0</v>
      </c>
      <c r="AC1110">
        <v>3</v>
      </c>
      <c r="AD1110">
        <v>3</v>
      </c>
      <c r="AE1110">
        <v>3</v>
      </c>
      <c r="AF1110">
        <v>3</v>
      </c>
      <c r="AG1110">
        <v>0</v>
      </c>
      <c r="AH1110">
        <v>1</v>
      </c>
      <c r="AI1110">
        <v>2</v>
      </c>
      <c r="AJ1110">
        <f t="shared" si="170"/>
        <v>0</v>
      </c>
      <c r="AK1110">
        <f t="shared" si="171"/>
        <v>0</v>
      </c>
      <c r="AL1110">
        <f t="shared" si="172"/>
        <v>1</v>
      </c>
      <c r="AM1110">
        <f t="shared" si="173"/>
        <v>2.5</v>
      </c>
      <c r="AN1110">
        <f t="shared" si="174"/>
        <v>7350</v>
      </c>
      <c r="AO1110">
        <f t="shared" si="175"/>
        <v>0.75</v>
      </c>
      <c r="AP1110" t="str">
        <f t="shared" si="176"/>
        <v>30-39</v>
      </c>
      <c r="AQ1110" t="str">
        <f t="shared" si="177"/>
        <v>Low</v>
      </c>
      <c r="AR1110" t="str">
        <f t="shared" si="178"/>
        <v>Short</v>
      </c>
      <c r="AS1110">
        <f t="shared" si="179"/>
        <v>0</v>
      </c>
    </row>
    <row r="1111" spans="1:4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s="20">
        <v>9250</v>
      </c>
      <c r="T1111">
        <v>17799</v>
      </c>
      <c r="U1111">
        <v>3</v>
      </c>
      <c r="V1111" t="s">
        <v>42</v>
      </c>
      <c r="W1111" t="s">
        <v>43</v>
      </c>
      <c r="X1111" s="19">
        <v>12</v>
      </c>
      <c r="Y1111">
        <v>3</v>
      </c>
      <c r="Z1111">
        <v>2</v>
      </c>
      <c r="AA1111">
        <v>80</v>
      </c>
      <c r="AB1111">
        <v>1</v>
      </c>
      <c r="AC1111">
        <v>9</v>
      </c>
      <c r="AD1111">
        <v>3</v>
      </c>
      <c r="AE1111">
        <v>3</v>
      </c>
      <c r="AF1111">
        <v>4</v>
      </c>
      <c r="AG1111">
        <v>2</v>
      </c>
      <c r="AH1111">
        <v>1</v>
      </c>
      <c r="AI1111">
        <v>3</v>
      </c>
      <c r="AJ1111">
        <f t="shared" si="170"/>
        <v>0</v>
      </c>
      <c r="AK1111">
        <f t="shared" si="171"/>
        <v>0</v>
      </c>
      <c r="AL1111">
        <f t="shared" si="172"/>
        <v>1</v>
      </c>
      <c r="AM1111">
        <f t="shared" si="173"/>
        <v>2.5</v>
      </c>
      <c r="AN1111">
        <f t="shared" si="174"/>
        <v>22200</v>
      </c>
      <c r="AO1111">
        <f t="shared" si="175"/>
        <v>0.4</v>
      </c>
      <c r="AP1111" t="str">
        <f t="shared" si="176"/>
        <v>30-39</v>
      </c>
      <c r="AQ1111" t="str">
        <f t="shared" si="177"/>
        <v>Very High</v>
      </c>
      <c r="AR1111" t="str">
        <f t="shared" si="178"/>
        <v>Long</v>
      </c>
      <c r="AS1111">
        <f t="shared" si="179"/>
        <v>0</v>
      </c>
    </row>
    <row r="1112" spans="1:4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s="20">
        <v>2074</v>
      </c>
      <c r="T1112">
        <v>26619</v>
      </c>
      <c r="U1112">
        <v>1</v>
      </c>
      <c r="V1112" t="s">
        <v>42</v>
      </c>
      <c r="W1112" t="s">
        <v>35</v>
      </c>
      <c r="X1112" s="19">
        <v>12</v>
      </c>
      <c r="Y1112">
        <v>3</v>
      </c>
      <c r="Z1112">
        <v>4</v>
      </c>
      <c r="AA1112">
        <v>80</v>
      </c>
      <c r="AB1112">
        <v>1</v>
      </c>
      <c r="AC1112">
        <v>1</v>
      </c>
      <c r="AD1112">
        <v>2</v>
      </c>
      <c r="AE1112">
        <v>3</v>
      </c>
      <c r="AF1112">
        <v>1</v>
      </c>
      <c r="AG1112">
        <v>0</v>
      </c>
      <c r="AH1112">
        <v>0</v>
      </c>
      <c r="AI1112">
        <v>0</v>
      </c>
      <c r="AJ1112">
        <f t="shared" si="170"/>
        <v>1</v>
      </c>
      <c r="AK1112">
        <f t="shared" si="171"/>
        <v>1</v>
      </c>
      <c r="AL1112">
        <f t="shared" si="172"/>
        <v>0</v>
      </c>
      <c r="AM1112">
        <f t="shared" si="173"/>
        <v>2.25</v>
      </c>
      <c r="AN1112">
        <f t="shared" si="174"/>
        <v>12444</v>
      </c>
      <c r="AO1112">
        <f t="shared" si="175"/>
        <v>0.5</v>
      </c>
      <c r="AP1112" t="str">
        <f t="shared" si="176"/>
        <v>30-39</v>
      </c>
      <c r="AQ1112" t="str">
        <f t="shared" si="177"/>
        <v>Low</v>
      </c>
      <c r="AR1112" t="str">
        <f t="shared" si="178"/>
        <v>Short</v>
      </c>
      <c r="AS1112">
        <f t="shared" si="179"/>
        <v>0</v>
      </c>
    </row>
    <row r="1113" spans="1:4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s="20">
        <v>10169</v>
      </c>
      <c r="T1113">
        <v>14618</v>
      </c>
      <c r="U1113">
        <v>0</v>
      </c>
      <c r="V1113" t="s">
        <v>42</v>
      </c>
      <c r="W1113" t="s">
        <v>43</v>
      </c>
      <c r="X1113" s="19">
        <v>16</v>
      </c>
      <c r="Y1113">
        <v>3</v>
      </c>
      <c r="Z1113">
        <v>2</v>
      </c>
      <c r="AA1113">
        <v>80</v>
      </c>
      <c r="AB1113">
        <v>1</v>
      </c>
      <c r="AC1113">
        <v>34</v>
      </c>
      <c r="AD1113">
        <v>4</v>
      </c>
      <c r="AE1113">
        <v>3</v>
      </c>
      <c r="AF1113">
        <v>33</v>
      </c>
      <c r="AG1113">
        <v>7</v>
      </c>
      <c r="AH1113">
        <v>1</v>
      </c>
      <c r="AI1113">
        <v>9</v>
      </c>
      <c r="AJ1113">
        <f t="shared" si="170"/>
        <v>1</v>
      </c>
      <c r="AK1113">
        <f t="shared" si="171"/>
        <v>0</v>
      </c>
      <c r="AL1113">
        <f t="shared" si="172"/>
        <v>0</v>
      </c>
      <c r="AM1113">
        <f t="shared" si="173"/>
        <v>3</v>
      </c>
      <c r="AN1113">
        <f t="shared" si="174"/>
        <v>3589.0588235294117</v>
      </c>
      <c r="AO1113">
        <f t="shared" si="175"/>
        <v>0.94285714285714284</v>
      </c>
      <c r="AP1113" t="str">
        <f t="shared" si="176"/>
        <v>50+</v>
      </c>
      <c r="AQ1113" t="str">
        <f t="shared" si="177"/>
        <v>Very High</v>
      </c>
      <c r="AR1113" t="str">
        <f t="shared" si="178"/>
        <v>Short</v>
      </c>
      <c r="AS1113">
        <f t="shared" si="179"/>
        <v>0</v>
      </c>
    </row>
    <row r="1114" spans="1:4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s="20">
        <v>4855</v>
      </c>
      <c r="T1114">
        <v>7653</v>
      </c>
      <c r="U1114">
        <v>4</v>
      </c>
      <c r="V1114" t="s">
        <v>42</v>
      </c>
      <c r="W1114" t="s">
        <v>43</v>
      </c>
      <c r="X1114" s="19">
        <v>11</v>
      </c>
      <c r="Y1114">
        <v>3</v>
      </c>
      <c r="Z1114">
        <v>1</v>
      </c>
      <c r="AA1114">
        <v>80</v>
      </c>
      <c r="AB1114">
        <v>2</v>
      </c>
      <c r="AC1114">
        <v>7</v>
      </c>
      <c r="AD1114">
        <v>2</v>
      </c>
      <c r="AE1114">
        <v>3</v>
      </c>
      <c r="AF1114">
        <v>5</v>
      </c>
      <c r="AG1114">
        <v>2</v>
      </c>
      <c r="AH1114">
        <v>1</v>
      </c>
      <c r="AI1114">
        <v>4</v>
      </c>
      <c r="AJ1114">
        <f t="shared" si="170"/>
        <v>1</v>
      </c>
      <c r="AK1114">
        <f t="shared" si="171"/>
        <v>0</v>
      </c>
      <c r="AL1114">
        <f t="shared" si="172"/>
        <v>1</v>
      </c>
      <c r="AM1114">
        <f t="shared" si="173"/>
        <v>2.25</v>
      </c>
      <c r="AN1114">
        <f t="shared" si="174"/>
        <v>9710</v>
      </c>
      <c r="AO1114">
        <f t="shared" si="175"/>
        <v>0.625</v>
      </c>
      <c r="AP1114" t="str">
        <f t="shared" si="176"/>
        <v>30-39</v>
      </c>
      <c r="AQ1114" t="str">
        <f t="shared" si="177"/>
        <v>Medium</v>
      </c>
      <c r="AR1114" t="str">
        <f t="shared" si="178"/>
        <v>Short</v>
      </c>
      <c r="AS1114">
        <f t="shared" si="179"/>
        <v>0</v>
      </c>
    </row>
    <row r="1115" spans="1:4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s="20">
        <v>4087</v>
      </c>
      <c r="T1115">
        <v>25174</v>
      </c>
      <c r="U1115">
        <v>4</v>
      </c>
      <c r="V1115" t="s">
        <v>42</v>
      </c>
      <c r="W1115" t="s">
        <v>43</v>
      </c>
      <c r="X1115" s="19">
        <v>14</v>
      </c>
      <c r="Y1115">
        <v>3</v>
      </c>
      <c r="Z1115">
        <v>2</v>
      </c>
      <c r="AA1115">
        <v>80</v>
      </c>
      <c r="AB1115">
        <v>1</v>
      </c>
      <c r="AC1115">
        <v>9</v>
      </c>
      <c r="AD1115">
        <v>3</v>
      </c>
      <c r="AE1115">
        <v>2</v>
      </c>
      <c r="AF1115">
        <v>6</v>
      </c>
      <c r="AG1115">
        <v>5</v>
      </c>
      <c r="AH1115">
        <v>1</v>
      </c>
      <c r="AI1115">
        <v>2</v>
      </c>
      <c r="AJ1115">
        <f t="shared" si="170"/>
        <v>0</v>
      </c>
      <c r="AK1115">
        <f t="shared" si="171"/>
        <v>0</v>
      </c>
      <c r="AL1115">
        <f t="shared" si="172"/>
        <v>1</v>
      </c>
      <c r="AM1115">
        <f t="shared" si="173"/>
        <v>2.25</v>
      </c>
      <c r="AN1115">
        <f t="shared" si="174"/>
        <v>7006.2857142857147</v>
      </c>
      <c r="AO1115">
        <f t="shared" si="175"/>
        <v>0.6</v>
      </c>
      <c r="AP1115" t="str">
        <f t="shared" si="176"/>
        <v>30-39</v>
      </c>
      <c r="AQ1115" t="str">
        <f t="shared" si="177"/>
        <v>Medium</v>
      </c>
      <c r="AR1115" t="str">
        <f t="shared" si="178"/>
        <v>Short</v>
      </c>
      <c r="AS1115">
        <f t="shared" si="179"/>
        <v>0</v>
      </c>
    </row>
    <row r="1116" spans="1:4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s="20">
        <v>2367</v>
      </c>
      <c r="T1116">
        <v>16530</v>
      </c>
      <c r="U1116">
        <v>8</v>
      </c>
      <c r="V1116" t="s">
        <v>42</v>
      </c>
      <c r="W1116" t="s">
        <v>43</v>
      </c>
      <c r="X1116" s="19">
        <v>12</v>
      </c>
      <c r="Y1116">
        <v>3</v>
      </c>
      <c r="Z1116">
        <v>4</v>
      </c>
      <c r="AA1116">
        <v>80</v>
      </c>
      <c r="AB1116">
        <v>1</v>
      </c>
      <c r="AC1116">
        <v>10</v>
      </c>
      <c r="AD1116">
        <v>3</v>
      </c>
      <c r="AE1116">
        <v>2</v>
      </c>
      <c r="AF1116">
        <v>8</v>
      </c>
      <c r="AG1116">
        <v>2</v>
      </c>
      <c r="AH1116">
        <v>7</v>
      </c>
      <c r="AI1116">
        <v>6</v>
      </c>
      <c r="AJ1116">
        <f t="shared" si="170"/>
        <v>0</v>
      </c>
      <c r="AK1116">
        <f t="shared" si="171"/>
        <v>0</v>
      </c>
      <c r="AL1116">
        <f t="shared" si="172"/>
        <v>0</v>
      </c>
      <c r="AM1116">
        <f t="shared" si="173"/>
        <v>2.5</v>
      </c>
      <c r="AN1116">
        <f t="shared" si="174"/>
        <v>3156</v>
      </c>
      <c r="AO1116">
        <f t="shared" si="175"/>
        <v>0.72727272727272729</v>
      </c>
      <c r="AP1116" t="str">
        <f t="shared" si="176"/>
        <v>40-49</v>
      </c>
      <c r="AQ1116" t="str">
        <f t="shared" si="177"/>
        <v>Low</v>
      </c>
      <c r="AR1116" t="str">
        <f t="shared" si="178"/>
        <v>Medium</v>
      </c>
      <c r="AS1116">
        <f t="shared" si="179"/>
        <v>0</v>
      </c>
    </row>
    <row r="1117" spans="1:4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s="20">
        <v>2972</v>
      </c>
      <c r="T1117">
        <v>22061</v>
      </c>
      <c r="U1117">
        <v>1</v>
      </c>
      <c r="V1117" t="s">
        <v>42</v>
      </c>
      <c r="W1117" t="s">
        <v>43</v>
      </c>
      <c r="X1117" s="19">
        <v>13</v>
      </c>
      <c r="Y1117">
        <v>3</v>
      </c>
      <c r="Z1117">
        <v>3</v>
      </c>
      <c r="AA1117">
        <v>80</v>
      </c>
      <c r="AB1117">
        <v>0</v>
      </c>
      <c r="AC1117">
        <v>1</v>
      </c>
      <c r="AD1117">
        <v>4</v>
      </c>
      <c r="AE1117">
        <v>1</v>
      </c>
      <c r="AF1117">
        <v>1</v>
      </c>
      <c r="AG1117">
        <v>0</v>
      </c>
      <c r="AH1117">
        <v>0</v>
      </c>
      <c r="AI1117">
        <v>0</v>
      </c>
      <c r="AJ1117">
        <f t="shared" si="170"/>
        <v>0</v>
      </c>
      <c r="AK1117">
        <f t="shared" si="171"/>
        <v>0</v>
      </c>
      <c r="AL1117">
        <f t="shared" si="172"/>
        <v>1</v>
      </c>
      <c r="AM1117">
        <f t="shared" si="173"/>
        <v>2.25</v>
      </c>
      <c r="AN1117">
        <f t="shared" si="174"/>
        <v>17832</v>
      </c>
      <c r="AO1117">
        <f t="shared" si="175"/>
        <v>0.5</v>
      </c>
      <c r="AP1117" t="str">
        <f t="shared" si="176"/>
        <v>30-39</v>
      </c>
      <c r="AQ1117" t="str">
        <f t="shared" si="177"/>
        <v>Medium</v>
      </c>
      <c r="AR1117" t="str">
        <f t="shared" si="178"/>
        <v>Medium</v>
      </c>
      <c r="AS1117">
        <f t="shared" si="179"/>
        <v>0</v>
      </c>
    </row>
    <row r="1118" spans="1:4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s="20">
        <v>19586</v>
      </c>
      <c r="T1118">
        <v>23037</v>
      </c>
      <c r="U1118">
        <v>1</v>
      </c>
      <c r="V1118" t="s">
        <v>42</v>
      </c>
      <c r="W1118" t="s">
        <v>43</v>
      </c>
      <c r="X1118" s="19">
        <v>21</v>
      </c>
      <c r="Y1118">
        <v>4</v>
      </c>
      <c r="Z1118">
        <v>3</v>
      </c>
      <c r="AA1118">
        <v>80</v>
      </c>
      <c r="AB1118">
        <v>1</v>
      </c>
      <c r="AC1118">
        <v>36</v>
      </c>
      <c r="AD1118">
        <v>3</v>
      </c>
      <c r="AE1118">
        <v>3</v>
      </c>
      <c r="AF1118">
        <v>36</v>
      </c>
      <c r="AG1118">
        <v>6</v>
      </c>
      <c r="AH1118">
        <v>2</v>
      </c>
      <c r="AI1118">
        <v>13</v>
      </c>
      <c r="AJ1118">
        <f t="shared" si="170"/>
        <v>0</v>
      </c>
      <c r="AK1118">
        <f t="shared" si="171"/>
        <v>0</v>
      </c>
      <c r="AL1118">
        <f t="shared" si="172"/>
        <v>1</v>
      </c>
      <c r="AM1118">
        <f t="shared" si="173"/>
        <v>3.25</v>
      </c>
      <c r="AN1118">
        <f t="shared" si="174"/>
        <v>6352.2162162162158</v>
      </c>
      <c r="AO1118">
        <f t="shared" si="175"/>
        <v>0.97297297297297303</v>
      </c>
      <c r="AP1118" t="str">
        <f t="shared" si="176"/>
        <v>50+</v>
      </c>
      <c r="AQ1118" t="str">
        <f t="shared" si="177"/>
        <v>Very High</v>
      </c>
      <c r="AR1118" t="str">
        <f t="shared" si="178"/>
        <v>Long</v>
      </c>
      <c r="AS1118">
        <f t="shared" si="179"/>
        <v>0</v>
      </c>
    </row>
    <row r="1119" spans="1:4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s="20">
        <v>5484</v>
      </c>
      <c r="T1119">
        <v>13008</v>
      </c>
      <c r="U1119">
        <v>9</v>
      </c>
      <c r="V1119" t="s">
        <v>42</v>
      </c>
      <c r="W1119" t="s">
        <v>43</v>
      </c>
      <c r="X1119" s="19">
        <v>17</v>
      </c>
      <c r="Y1119">
        <v>3</v>
      </c>
      <c r="Z1119">
        <v>2</v>
      </c>
      <c r="AA1119">
        <v>80</v>
      </c>
      <c r="AB1119">
        <v>1</v>
      </c>
      <c r="AC1119">
        <v>9</v>
      </c>
      <c r="AD1119">
        <v>3</v>
      </c>
      <c r="AE1119">
        <v>2</v>
      </c>
      <c r="AF1119">
        <v>2</v>
      </c>
      <c r="AG1119">
        <v>2</v>
      </c>
      <c r="AH1119">
        <v>2</v>
      </c>
      <c r="AI1119">
        <v>1</v>
      </c>
      <c r="AJ1119">
        <f t="shared" si="170"/>
        <v>0</v>
      </c>
      <c r="AK1119">
        <f t="shared" si="171"/>
        <v>0</v>
      </c>
      <c r="AL1119">
        <f t="shared" si="172"/>
        <v>1</v>
      </c>
      <c r="AM1119">
        <f t="shared" si="173"/>
        <v>2.5</v>
      </c>
      <c r="AN1119">
        <f t="shared" si="174"/>
        <v>21936</v>
      </c>
      <c r="AO1119">
        <f t="shared" si="175"/>
        <v>0.2</v>
      </c>
      <c r="AP1119" t="str">
        <f t="shared" si="176"/>
        <v>30-39</v>
      </c>
      <c r="AQ1119" t="str">
        <f t="shared" si="177"/>
        <v>High</v>
      </c>
      <c r="AR1119" t="str">
        <f t="shared" si="178"/>
        <v>Short</v>
      </c>
      <c r="AS1119">
        <f t="shared" si="179"/>
        <v>0</v>
      </c>
    </row>
    <row r="1120" spans="1:4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s="20">
        <v>2061</v>
      </c>
      <c r="T1120">
        <v>11133</v>
      </c>
      <c r="U1120">
        <v>1</v>
      </c>
      <c r="V1120" t="s">
        <v>42</v>
      </c>
      <c r="W1120" t="s">
        <v>43</v>
      </c>
      <c r="X1120" s="19">
        <v>21</v>
      </c>
      <c r="Y1120">
        <v>4</v>
      </c>
      <c r="Z1120">
        <v>1</v>
      </c>
      <c r="AA1120">
        <v>80</v>
      </c>
      <c r="AB1120">
        <v>0</v>
      </c>
      <c r="AC1120">
        <v>1</v>
      </c>
      <c r="AD1120">
        <v>5</v>
      </c>
      <c r="AE1120">
        <v>3</v>
      </c>
      <c r="AF1120">
        <v>1</v>
      </c>
      <c r="AG1120">
        <v>0</v>
      </c>
      <c r="AH1120">
        <v>0</v>
      </c>
      <c r="AI1120">
        <v>0</v>
      </c>
      <c r="AJ1120">
        <f t="shared" si="170"/>
        <v>0</v>
      </c>
      <c r="AK1120">
        <f t="shared" si="171"/>
        <v>0</v>
      </c>
      <c r="AL1120">
        <f t="shared" si="172"/>
        <v>0</v>
      </c>
      <c r="AM1120">
        <f t="shared" si="173"/>
        <v>2.25</v>
      </c>
      <c r="AN1120">
        <f t="shared" si="174"/>
        <v>12366</v>
      </c>
      <c r="AO1120">
        <f t="shared" si="175"/>
        <v>0.5</v>
      </c>
      <c r="AP1120" t="str">
        <f t="shared" si="176"/>
        <v>Under 30</v>
      </c>
      <c r="AQ1120" t="str">
        <f t="shared" si="177"/>
        <v>Low</v>
      </c>
      <c r="AR1120" t="str">
        <f t="shared" si="178"/>
        <v>Short</v>
      </c>
      <c r="AS1120">
        <f t="shared" si="179"/>
        <v>0</v>
      </c>
    </row>
    <row r="1121" spans="1:4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s="20">
        <v>9924</v>
      </c>
      <c r="T1121">
        <v>12355</v>
      </c>
      <c r="U1121">
        <v>0</v>
      </c>
      <c r="V1121" t="s">
        <v>42</v>
      </c>
      <c r="W1121" t="s">
        <v>43</v>
      </c>
      <c r="X1121" s="19">
        <v>11</v>
      </c>
      <c r="Y1121">
        <v>3</v>
      </c>
      <c r="Z1121">
        <v>4</v>
      </c>
      <c r="AA1121">
        <v>80</v>
      </c>
      <c r="AB1121">
        <v>1</v>
      </c>
      <c r="AC1121">
        <v>10</v>
      </c>
      <c r="AD1121">
        <v>3</v>
      </c>
      <c r="AE1121">
        <v>3</v>
      </c>
      <c r="AF1121">
        <v>9</v>
      </c>
      <c r="AG1121">
        <v>8</v>
      </c>
      <c r="AH1121">
        <v>7</v>
      </c>
      <c r="AI1121">
        <v>7</v>
      </c>
      <c r="AJ1121">
        <f t="shared" si="170"/>
        <v>0</v>
      </c>
      <c r="AK1121">
        <f t="shared" si="171"/>
        <v>0</v>
      </c>
      <c r="AL1121">
        <f t="shared" si="172"/>
        <v>1</v>
      </c>
      <c r="AM1121">
        <f t="shared" si="173"/>
        <v>3</v>
      </c>
      <c r="AN1121">
        <f t="shared" si="174"/>
        <v>11908.8</v>
      </c>
      <c r="AO1121">
        <f t="shared" si="175"/>
        <v>0.81818181818181823</v>
      </c>
      <c r="AP1121" t="str">
        <f t="shared" si="176"/>
        <v>30-39</v>
      </c>
      <c r="AQ1121" t="str">
        <f t="shared" si="177"/>
        <v>Very High</v>
      </c>
      <c r="AR1121" t="str">
        <f t="shared" si="178"/>
        <v>Medium</v>
      </c>
      <c r="AS1121">
        <f t="shared" si="179"/>
        <v>0</v>
      </c>
    </row>
    <row r="1122" spans="1:4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s="20">
        <v>4198</v>
      </c>
      <c r="T1122">
        <v>16379</v>
      </c>
      <c r="U1122">
        <v>2</v>
      </c>
      <c r="V1122" t="s">
        <v>42</v>
      </c>
      <c r="W1122" t="s">
        <v>43</v>
      </c>
      <c r="X1122" s="19">
        <v>12</v>
      </c>
      <c r="Y1122">
        <v>3</v>
      </c>
      <c r="Z1122">
        <v>2</v>
      </c>
      <c r="AA1122">
        <v>80</v>
      </c>
      <c r="AB1122">
        <v>0</v>
      </c>
      <c r="AC1122">
        <v>8</v>
      </c>
      <c r="AD1122">
        <v>5</v>
      </c>
      <c r="AE1122">
        <v>4</v>
      </c>
      <c r="AF1122">
        <v>3</v>
      </c>
      <c r="AG1122">
        <v>2</v>
      </c>
      <c r="AH1122">
        <v>1</v>
      </c>
      <c r="AI1122">
        <v>2</v>
      </c>
      <c r="AJ1122">
        <f t="shared" si="170"/>
        <v>0</v>
      </c>
      <c r="AK1122">
        <f t="shared" si="171"/>
        <v>0</v>
      </c>
      <c r="AL1122">
        <f t="shared" si="172"/>
        <v>0</v>
      </c>
      <c r="AM1122">
        <f t="shared" si="173"/>
        <v>2.5</v>
      </c>
      <c r="AN1122">
        <f t="shared" si="174"/>
        <v>12594</v>
      </c>
      <c r="AO1122">
        <f t="shared" si="175"/>
        <v>0.33333333333333331</v>
      </c>
      <c r="AP1122" t="str">
        <f t="shared" si="176"/>
        <v>30-39</v>
      </c>
      <c r="AQ1122" t="str">
        <f t="shared" si="177"/>
        <v>Medium</v>
      </c>
      <c r="AR1122" t="str">
        <f t="shared" si="178"/>
        <v>Long</v>
      </c>
      <c r="AS1122">
        <f t="shared" si="179"/>
        <v>0</v>
      </c>
    </row>
    <row r="1123" spans="1:4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s="20">
        <v>6815</v>
      </c>
      <c r="T1123">
        <v>21447</v>
      </c>
      <c r="U1123">
        <v>6</v>
      </c>
      <c r="V1123" t="s">
        <v>42</v>
      </c>
      <c r="W1123" t="s">
        <v>43</v>
      </c>
      <c r="X1123" s="19">
        <v>13</v>
      </c>
      <c r="Y1123">
        <v>3</v>
      </c>
      <c r="Z1123">
        <v>1</v>
      </c>
      <c r="AA1123">
        <v>80</v>
      </c>
      <c r="AB1123">
        <v>0</v>
      </c>
      <c r="AC1123">
        <v>15</v>
      </c>
      <c r="AD1123">
        <v>5</v>
      </c>
      <c r="AE1123">
        <v>3</v>
      </c>
      <c r="AF1123">
        <v>1</v>
      </c>
      <c r="AG1123">
        <v>0</v>
      </c>
      <c r="AH1123">
        <v>0</v>
      </c>
      <c r="AI1123">
        <v>0</v>
      </c>
      <c r="AJ1123">
        <f t="shared" si="170"/>
        <v>0</v>
      </c>
      <c r="AK1123">
        <f t="shared" si="171"/>
        <v>0</v>
      </c>
      <c r="AL1123">
        <f t="shared" si="172"/>
        <v>0</v>
      </c>
      <c r="AM1123">
        <f t="shared" si="173"/>
        <v>2.25</v>
      </c>
      <c r="AN1123">
        <f t="shared" si="174"/>
        <v>40890</v>
      </c>
      <c r="AO1123">
        <f t="shared" si="175"/>
        <v>6.25E-2</v>
      </c>
      <c r="AP1123" t="str">
        <f t="shared" si="176"/>
        <v>30-39</v>
      </c>
      <c r="AQ1123" t="str">
        <f t="shared" si="177"/>
        <v>High</v>
      </c>
      <c r="AR1123" t="str">
        <f t="shared" si="178"/>
        <v>Short</v>
      </c>
      <c r="AS1123">
        <f t="shared" si="179"/>
        <v>0</v>
      </c>
    </row>
    <row r="1124" spans="1:4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s="20">
        <v>4723</v>
      </c>
      <c r="T1124">
        <v>16213</v>
      </c>
      <c r="U1124">
        <v>1</v>
      </c>
      <c r="V1124" t="s">
        <v>42</v>
      </c>
      <c r="W1124" t="s">
        <v>35</v>
      </c>
      <c r="X1124" s="19">
        <v>18</v>
      </c>
      <c r="Y1124">
        <v>3</v>
      </c>
      <c r="Z1124">
        <v>4</v>
      </c>
      <c r="AA1124">
        <v>80</v>
      </c>
      <c r="AB1124">
        <v>0</v>
      </c>
      <c r="AC1124">
        <v>10</v>
      </c>
      <c r="AD1124">
        <v>3</v>
      </c>
      <c r="AE1124">
        <v>3</v>
      </c>
      <c r="AF1124">
        <v>10</v>
      </c>
      <c r="AG1124">
        <v>9</v>
      </c>
      <c r="AH1124">
        <v>1</v>
      </c>
      <c r="AI1124">
        <v>5</v>
      </c>
      <c r="AJ1124">
        <f t="shared" si="170"/>
        <v>0</v>
      </c>
      <c r="AK1124">
        <f t="shared" si="171"/>
        <v>1</v>
      </c>
      <c r="AL1124">
        <f t="shared" si="172"/>
        <v>1</v>
      </c>
      <c r="AM1124">
        <f t="shared" si="173"/>
        <v>2.5</v>
      </c>
      <c r="AN1124">
        <f t="shared" si="174"/>
        <v>5152.363636363636</v>
      </c>
      <c r="AO1124">
        <f t="shared" si="175"/>
        <v>0.90909090909090906</v>
      </c>
      <c r="AP1124" t="str">
        <f t="shared" si="176"/>
        <v>Under 30</v>
      </c>
      <c r="AQ1124" t="str">
        <f t="shared" si="177"/>
        <v>Medium</v>
      </c>
      <c r="AR1124" t="str">
        <f t="shared" si="178"/>
        <v>Short</v>
      </c>
      <c r="AS1124">
        <f t="shared" si="179"/>
        <v>0</v>
      </c>
    </row>
    <row r="1125" spans="1:4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s="20">
        <v>6142</v>
      </c>
      <c r="T1125">
        <v>4223</v>
      </c>
      <c r="U1125">
        <v>3</v>
      </c>
      <c r="V1125" t="s">
        <v>42</v>
      </c>
      <c r="W1125" t="s">
        <v>35</v>
      </c>
      <c r="X1125" s="19">
        <v>16</v>
      </c>
      <c r="Y1125">
        <v>3</v>
      </c>
      <c r="Z1125">
        <v>3</v>
      </c>
      <c r="AA1125">
        <v>80</v>
      </c>
      <c r="AB1125">
        <v>0</v>
      </c>
      <c r="AC1125">
        <v>10</v>
      </c>
      <c r="AD1125">
        <v>4</v>
      </c>
      <c r="AE1125">
        <v>3</v>
      </c>
      <c r="AF1125">
        <v>5</v>
      </c>
      <c r="AG1125">
        <v>2</v>
      </c>
      <c r="AH1125">
        <v>0</v>
      </c>
      <c r="AI1125">
        <v>4</v>
      </c>
      <c r="AJ1125">
        <f t="shared" si="170"/>
        <v>0</v>
      </c>
      <c r="AK1125">
        <f t="shared" si="171"/>
        <v>1</v>
      </c>
      <c r="AL1125">
        <f t="shared" si="172"/>
        <v>0</v>
      </c>
      <c r="AM1125">
        <f t="shared" si="173"/>
        <v>2.5</v>
      </c>
      <c r="AN1125">
        <f t="shared" si="174"/>
        <v>12284</v>
      </c>
      <c r="AO1125">
        <f t="shared" si="175"/>
        <v>0.45454545454545453</v>
      </c>
      <c r="AP1125" t="str">
        <f t="shared" si="176"/>
        <v>30-39</v>
      </c>
      <c r="AQ1125" t="str">
        <f t="shared" si="177"/>
        <v>High</v>
      </c>
      <c r="AR1125" t="str">
        <f t="shared" si="178"/>
        <v>Medium</v>
      </c>
      <c r="AS1125">
        <f t="shared" si="179"/>
        <v>0</v>
      </c>
    </row>
    <row r="1126" spans="1:4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s="20">
        <v>8237</v>
      </c>
      <c r="T1126">
        <v>4658</v>
      </c>
      <c r="U1126">
        <v>2</v>
      </c>
      <c r="V1126" t="s">
        <v>42</v>
      </c>
      <c r="W1126" t="s">
        <v>43</v>
      </c>
      <c r="X1126" s="19">
        <v>11</v>
      </c>
      <c r="Y1126">
        <v>3</v>
      </c>
      <c r="Z1126">
        <v>1</v>
      </c>
      <c r="AA1126">
        <v>80</v>
      </c>
      <c r="AB1126">
        <v>1</v>
      </c>
      <c r="AC1126">
        <v>11</v>
      </c>
      <c r="AD1126">
        <v>3</v>
      </c>
      <c r="AE1126">
        <v>3</v>
      </c>
      <c r="AF1126">
        <v>7</v>
      </c>
      <c r="AG1126">
        <v>6</v>
      </c>
      <c r="AH1126">
        <v>7</v>
      </c>
      <c r="AI1126">
        <v>6</v>
      </c>
      <c r="AJ1126">
        <f t="shared" si="170"/>
        <v>0</v>
      </c>
      <c r="AK1126">
        <f t="shared" si="171"/>
        <v>0</v>
      </c>
      <c r="AL1126">
        <f t="shared" si="172"/>
        <v>1</v>
      </c>
      <c r="AM1126">
        <f t="shared" si="173"/>
        <v>2.75</v>
      </c>
      <c r="AN1126">
        <f t="shared" si="174"/>
        <v>12355.5</v>
      </c>
      <c r="AO1126">
        <f t="shared" si="175"/>
        <v>0.58333333333333337</v>
      </c>
      <c r="AP1126" t="str">
        <f t="shared" si="176"/>
        <v>30-39</v>
      </c>
      <c r="AQ1126" t="str">
        <f t="shared" si="177"/>
        <v>High</v>
      </c>
      <c r="AR1126" t="str">
        <f t="shared" si="178"/>
        <v>Medium</v>
      </c>
      <c r="AS1126">
        <f t="shared" si="179"/>
        <v>0</v>
      </c>
    </row>
    <row r="1127" spans="1:4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s="20">
        <v>8853</v>
      </c>
      <c r="T1127">
        <v>24483</v>
      </c>
      <c r="U1127">
        <v>1</v>
      </c>
      <c r="V1127" t="s">
        <v>42</v>
      </c>
      <c r="W1127" t="s">
        <v>43</v>
      </c>
      <c r="X1127" s="19">
        <v>19</v>
      </c>
      <c r="Y1127">
        <v>3</v>
      </c>
      <c r="Z1127">
        <v>4</v>
      </c>
      <c r="AA1127">
        <v>80</v>
      </c>
      <c r="AB1127">
        <v>1</v>
      </c>
      <c r="AC1127">
        <v>6</v>
      </c>
      <c r="AD1127">
        <v>0</v>
      </c>
      <c r="AE1127">
        <v>4</v>
      </c>
      <c r="AF1127">
        <v>6</v>
      </c>
      <c r="AG1127">
        <v>4</v>
      </c>
      <c r="AH1127">
        <v>1</v>
      </c>
      <c r="AI1127">
        <v>3</v>
      </c>
      <c r="AJ1127">
        <f t="shared" si="170"/>
        <v>0</v>
      </c>
      <c r="AK1127">
        <f t="shared" si="171"/>
        <v>0</v>
      </c>
      <c r="AL1127">
        <f t="shared" si="172"/>
        <v>1</v>
      </c>
      <c r="AM1127">
        <f t="shared" si="173"/>
        <v>3.25</v>
      </c>
      <c r="AN1127">
        <f t="shared" si="174"/>
        <v>15176.571428571429</v>
      </c>
      <c r="AO1127">
        <f t="shared" si="175"/>
        <v>0.8571428571428571</v>
      </c>
      <c r="AP1127" t="str">
        <f t="shared" si="176"/>
        <v>Under 30</v>
      </c>
      <c r="AQ1127" t="str">
        <f t="shared" si="177"/>
        <v>Very High</v>
      </c>
      <c r="AR1127" t="str">
        <f t="shared" si="178"/>
        <v>Short</v>
      </c>
      <c r="AS1127">
        <f t="shared" si="179"/>
        <v>1</v>
      </c>
    </row>
    <row r="1128" spans="1:4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s="20">
        <v>19331</v>
      </c>
      <c r="T1128">
        <v>19519</v>
      </c>
      <c r="U1128">
        <v>4</v>
      </c>
      <c r="V1128" t="s">
        <v>42</v>
      </c>
      <c r="W1128" t="s">
        <v>35</v>
      </c>
      <c r="X1128" s="19">
        <v>16</v>
      </c>
      <c r="Y1128">
        <v>3</v>
      </c>
      <c r="Z1128">
        <v>3</v>
      </c>
      <c r="AA1128">
        <v>80</v>
      </c>
      <c r="AB1128">
        <v>1</v>
      </c>
      <c r="AC1128">
        <v>27</v>
      </c>
      <c r="AD1128">
        <v>2</v>
      </c>
      <c r="AE1128">
        <v>3</v>
      </c>
      <c r="AF1128">
        <v>1</v>
      </c>
      <c r="AG1128">
        <v>0</v>
      </c>
      <c r="AH1128">
        <v>0</v>
      </c>
      <c r="AI1128">
        <v>0</v>
      </c>
      <c r="AJ1128">
        <f t="shared" si="170"/>
        <v>0</v>
      </c>
      <c r="AK1128">
        <f t="shared" si="171"/>
        <v>1</v>
      </c>
      <c r="AL1128">
        <f t="shared" si="172"/>
        <v>1</v>
      </c>
      <c r="AM1128">
        <f t="shared" si="173"/>
        <v>3</v>
      </c>
      <c r="AN1128">
        <f t="shared" si="174"/>
        <v>115986</v>
      </c>
      <c r="AO1128">
        <f t="shared" si="175"/>
        <v>3.5714285714285712E-2</v>
      </c>
      <c r="AP1128" t="str">
        <f t="shared" si="176"/>
        <v>50+</v>
      </c>
      <c r="AQ1128" t="str">
        <f t="shared" si="177"/>
        <v>Very High</v>
      </c>
      <c r="AR1128" t="str">
        <f t="shared" si="178"/>
        <v>Medium</v>
      </c>
      <c r="AS1128">
        <f t="shared" si="179"/>
        <v>0</v>
      </c>
    </row>
    <row r="1129" spans="1:4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s="20">
        <v>2073</v>
      </c>
      <c r="T1129">
        <v>12826</v>
      </c>
      <c r="U1129">
        <v>2</v>
      </c>
      <c r="V1129" t="s">
        <v>42</v>
      </c>
      <c r="W1129" t="s">
        <v>43</v>
      </c>
      <c r="X1129" s="19">
        <v>16</v>
      </c>
      <c r="Y1129">
        <v>3</v>
      </c>
      <c r="Z1129">
        <v>4</v>
      </c>
      <c r="AA1129">
        <v>80</v>
      </c>
      <c r="AB1129">
        <v>1</v>
      </c>
      <c r="AC1129">
        <v>4</v>
      </c>
      <c r="AD1129">
        <v>2</v>
      </c>
      <c r="AE1129">
        <v>3</v>
      </c>
      <c r="AF1129">
        <v>2</v>
      </c>
      <c r="AG1129">
        <v>2</v>
      </c>
      <c r="AH1129">
        <v>2</v>
      </c>
      <c r="AI1129">
        <v>2</v>
      </c>
      <c r="AJ1129">
        <f t="shared" si="170"/>
        <v>0</v>
      </c>
      <c r="AK1129">
        <f t="shared" si="171"/>
        <v>0</v>
      </c>
      <c r="AL1129">
        <f t="shared" si="172"/>
        <v>1</v>
      </c>
      <c r="AM1129">
        <f t="shared" si="173"/>
        <v>3.5</v>
      </c>
      <c r="AN1129">
        <f t="shared" si="174"/>
        <v>8292</v>
      </c>
      <c r="AO1129">
        <f t="shared" si="175"/>
        <v>0.4</v>
      </c>
      <c r="AP1129" t="str">
        <f t="shared" si="176"/>
        <v>Under 30</v>
      </c>
      <c r="AQ1129" t="str">
        <f t="shared" si="177"/>
        <v>Low</v>
      </c>
      <c r="AR1129" t="str">
        <f t="shared" si="178"/>
        <v>Medium</v>
      </c>
      <c r="AS1129">
        <f t="shared" si="179"/>
        <v>0</v>
      </c>
    </row>
    <row r="1130" spans="1:4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s="20">
        <v>5562</v>
      </c>
      <c r="T1130">
        <v>19711</v>
      </c>
      <c r="U1130">
        <v>3</v>
      </c>
      <c r="V1130" t="s">
        <v>42</v>
      </c>
      <c r="W1130" t="s">
        <v>35</v>
      </c>
      <c r="X1130" s="19">
        <v>13</v>
      </c>
      <c r="Y1130">
        <v>3</v>
      </c>
      <c r="Z1130">
        <v>4</v>
      </c>
      <c r="AA1130">
        <v>80</v>
      </c>
      <c r="AB1130">
        <v>1</v>
      </c>
      <c r="AC1130">
        <v>9</v>
      </c>
      <c r="AD1130">
        <v>3</v>
      </c>
      <c r="AE1130">
        <v>3</v>
      </c>
      <c r="AF1130">
        <v>3</v>
      </c>
      <c r="AG1130">
        <v>2</v>
      </c>
      <c r="AH1130">
        <v>0</v>
      </c>
      <c r="AI1130">
        <v>2</v>
      </c>
      <c r="AJ1130">
        <f t="shared" si="170"/>
        <v>0</v>
      </c>
      <c r="AK1130">
        <f t="shared" si="171"/>
        <v>1</v>
      </c>
      <c r="AL1130">
        <f t="shared" si="172"/>
        <v>1</v>
      </c>
      <c r="AM1130">
        <f t="shared" si="173"/>
        <v>2.25</v>
      </c>
      <c r="AN1130">
        <f t="shared" si="174"/>
        <v>16686</v>
      </c>
      <c r="AO1130">
        <f t="shared" si="175"/>
        <v>0.3</v>
      </c>
      <c r="AP1130" t="str">
        <f t="shared" si="176"/>
        <v>30-39</v>
      </c>
      <c r="AQ1130" t="str">
        <f t="shared" si="177"/>
        <v>High</v>
      </c>
      <c r="AR1130" t="str">
        <f t="shared" si="178"/>
        <v>Medium</v>
      </c>
      <c r="AS1130">
        <f t="shared" si="179"/>
        <v>1</v>
      </c>
    </row>
    <row r="1131" spans="1:4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s="20">
        <v>19613</v>
      </c>
      <c r="T1131">
        <v>26362</v>
      </c>
      <c r="U1131">
        <v>8</v>
      </c>
      <c r="V1131" t="s">
        <v>42</v>
      </c>
      <c r="W1131" t="s">
        <v>43</v>
      </c>
      <c r="X1131" s="19">
        <v>22</v>
      </c>
      <c r="Y1131">
        <v>4</v>
      </c>
      <c r="Z1131">
        <v>4</v>
      </c>
      <c r="AA1131">
        <v>80</v>
      </c>
      <c r="AB1131">
        <v>0</v>
      </c>
      <c r="AC1131">
        <v>24</v>
      </c>
      <c r="AD1131">
        <v>2</v>
      </c>
      <c r="AE1131">
        <v>3</v>
      </c>
      <c r="AF1131">
        <v>1</v>
      </c>
      <c r="AG1131">
        <v>0</v>
      </c>
      <c r="AH1131">
        <v>0</v>
      </c>
      <c r="AI1131">
        <v>1</v>
      </c>
      <c r="AJ1131">
        <f t="shared" si="170"/>
        <v>0</v>
      </c>
      <c r="AK1131">
        <f t="shared" si="171"/>
        <v>0</v>
      </c>
      <c r="AL1131">
        <f t="shared" si="172"/>
        <v>1</v>
      </c>
      <c r="AM1131">
        <f t="shared" si="173"/>
        <v>3.75</v>
      </c>
      <c r="AN1131">
        <f t="shared" si="174"/>
        <v>117678</v>
      </c>
      <c r="AO1131">
        <f t="shared" si="175"/>
        <v>0.04</v>
      </c>
      <c r="AP1131" t="str">
        <f t="shared" si="176"/>
        <v>40-49</v>
      </c>
      <c r="AQ1131" t="str">
        <f t="shared" si="177"/>
        <v>Very High</v>
      </c>
      <c r="AR1131" t="str">
        <f t="shared" si="178"/>
        <v>Medium</v>
      </c>
      <c r="AS1131">
        <f t="shared" si="179"/>
        <v>0</v>
      </c>
    </row>
    <row r="1132" spans="1:4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s="20">
        <v>3407</v>
      </c>
      <c r="T1132">
        <v>25348</v>
      </c>
      <c r="U1132">
        <v>1</v>
      </c>
      <c r="V1132" t="s">
        <v>42</v>
      </c>
      <c r="W1132" t="s">
        <v>43</v>
      </c>
      <c r="X1132" s="19">
        <v>17</v>
      </c>
      <c r="Y1132">
        <v>3</v>
      </c>
      <c r="Z1132">
        <v>4</v>
      </c>
      <c r="AA1132">
        <v>80</v>
      </c>
      <c r="AB1132">
        <v>2</v>
      </c>
      <c r="AC1132">
        <v>10</v>
      </c>
      <c r="AD1132">
        <v>3</v>
      </c>
      <c r="AE1132">
        <v>2</v>
      </c>
      <c r="AF1132">
        <v>10</v>
      </c>
      <c r="AG1132">
        <v>9</v>
      </c>
      <c r="AH1132">
        <v>6</v>
      </c>
      <c r="AI1132">
        <v>8</v>
      </c>
      <c r="AJ1132">
        <f t="shared" si="170"/>
        <v>0</v>
      </c>
      <c r="AK1132">
        <f t="shared" si="171"/>
        <v>0</v>
      </c>
      <c r="AL1132">
        <f t="shared" si="172"/>
        <v>1</v>
      </c>
      <c r="AM1132">
        <f t="shared" si="173"/>
        <v>2.75</v>
      </c>
      <c r="AN1132">
        <f t="shared" si="174"/>
        <v>3716.7272727272725</v>
      </c>
      <c r="AO1132">
        <f t="shared" si="175"/>
        <v>0.90909090909090906</v>
      </c>
      <c r="AP1132" t="str">
        <f t="shared" si="176"/>
        <v>30-39</v>
      </c>
      <c r="AQ1132" t="str">
        <f t="shared" si="177"/>
        <v>Medium</v>
      </c>
      <c r="AR1132" t="str">
        <f t="shared" si="178"/>
        <v>Long</v>
      </c>
      <c r="AS1132">
        <f t="shared" si="179"/>
        <v>0</v>
      </c>
    </row>
    <row r="1133" spans="1:4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s="20">
        <v>5063</v>
      </c>
      <c r="T1133">
        <v>15332</v>
      </c>
      <c r="U1133">
        <v>1</v>
      </c>
      <c r="V1133" t="s">
        <v>42</v>
      </c>
      <c r="W1133" t="s">
        <v>43</v>
      </c>
      <c r="X1133" s="19">
        <v>14</v>
      </c>
      <c r="Y1133">
        <v>3</v>
      </c>
      <c r="Z1133">
        <v>2</v>
      </c>
      <c r="AA1133">
        <v>80</v>
      </c>
      <c r="AB1133">
        <v>1</v>
      </c>
      <c r="AC1133">
        <v>8</v>
      </c>
      <c r="AD1133">
        <v>3</v>
      </c>
      <c r="AE1133">
        <v>2</v>
      </c>
      <c r="AF1133">
        <v>8</v>
      </c>
      <c r="AG1133">
        <v>2</v>
      </c>
      <c r="AH1133">
        <v>7</v>
      </c>
      <c r="AI1133">
        <v>7</v>
      </c>
      <c r="AJ1133">
        <f t="shared" si="170"/>
        <v>0</v>
      </c>
      <c r="AK1133">
        <f t="shared" si="171"/>
        <v>0</v>
      </c>
      <c r="AL1133">
        <f t="shared" si="172"/>
        <v>1</v>
      </c>
      <c r="AM1133">
        <f t="shared" si="173"/>
        <v>2.75</v>
      </c>
      <c r="AN1133">
        <f t="shared" si="174"/>
        <v>6750.666666666667</v>
      </c>
      <c r="AO1133">
        <f t="shared" si="175"/>
        <v>0.88888888888888884</v>
      </c>
      <c r="AP1133" t="str">
        <f t="shared" si="176"/>
        <v>30-39</v>
      </c>
      <c r="AQ1133" t="str">
        <f t="shared" si="177"/>
        <v>High</v>
      </c>
      <c r="AR1133" t="str">
        <f t="shared" si="178"/>
        <v>Medium</v>
      </c>
      <c r="AS1133">
        <f t="shared" si="179"/>
        <v>1</v>
      </c>
    </row>
    <row r="1134" spans="1:4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s="20">
        <v>4639</v>
      </c>
      <c r="T1134">
        <v>11262</v>
      </c>
      <c r="U1134">
        <v>1</v>
      </c>
      <c r="V1134" t="s">
        <v>42</v>
      </c>
      <c r="W1134" t="s">
        <v>43</v>
      </c>
      <c r="X1134" s="19">
        <v>15</v>
      </c>
      <c r="Y1134">
        <v>3</v>
      </c>
      <c r="Z1134">
        <v>3</v>
      </c>
      <c r="AA1134">
        <v>80</v>
      </c>
      <c r="AB1134">
        <v>1</v>
      </c>
      <c r="AC1134">
        <v>5</v>
      </c>
      <c r="AD1134">
        <v>2</v>
      </c>
      <c r="AE1134">
        <v>3</v>
      </c>
      <c r="AF1134">
        <v>5</v>
      </c>
      <c r="AG1134">
        <v>4</v>
      </c>
      <c r="AH1134">
        <v>1</v>
      </c>
      <c r="AI1134">
        <v>2</v>
      </c>
      <c r="AJ1134">
        <f t="shared" si="170"/>
        <v>0</v>
      </c>
      <c r="AK1134">
        <f t="shared" si="171"/>
        <v>0</v>
      </c>
      <c r="AL1134">
        <f t="shared" si="172"/>
        <v>0</v>
      </c>
      <c r="AM1134">
        <f t="shared" si="173"/>
        <v>2.75</v>
      </c>
      <c r="AN1134">
        <f t="shared" si="174"/>
        <v>9278</v>
      </c>
      <c r="AO1134">
        <f t="shared" si="175"/>
        <v>0.83333333333333337</v>
      </c>
      <c r="AP1134" t="str">
        <f t="shared" si="176"/>
        <v>40-49</v>
      </c>
      <c r="AQ1134" t="str">
        <f t="shared" si="177"/>
        <v>Medium</v>
      </c>
      <c r="AR1134" t="str">
        <f t="shared" si="178"/>
        <v>Medium</v>
      </c>
      <c r="AS1134">
        <f t="shared" si="179"/>
        <v>0</v>
      </c>
    </row>
    <row r="1135" spans="1:4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s="20">
        <v>4876</v>
      </c>
      <c r="T1135">
        <v>5855</v>
      </c>
      <c r="U1135">
        <v>5</v>
      </c>
      <c r="V1135" t="s">
        <v>42</v>
      </c>
      <c r="W1135" t="s">
        <v>43</v>
      </c>
      <c r="X1135" s="19">
        <v>12</v>
      </c>
      <c r="Y1135">
        <v>3</v>
      </c>
      <c r="Z1135">
        <v>3</v>
      </c>
      <c r="AA1135">
        <v>80</v>
      </c>
      <c r="AB1135">
        <v>1</v>
      </c>
      <c r="AC1135">
        <v>8</v>
      </c>
      <c r="AD1135">
        <v>0</v>
      </c>
      <c r="AE1135">
        <v>3</v>
      </c>
      <c r="AF1135">
        <v>6</v>
      </c>
      <c r="AG1135">
        <v>4</v>
      </c>
      <c r="AH1135">
        <v>0</v>
      </c>
      <c r="AI1135">
        <v>2</v>
      </c>
      <c r="AJ1135">
        <f t="shared" si="170"/>
        <v>0</v>
      </c>
      <c r="AK1135">
        <f t="shared" si="171"/>
        <v>0</v>
      </c>
      <c r="AL1135">
        <f t="shared" si="172"/>
        <v>1</v>
      </c>
      <c r="AM1135">
        <f t="shared" si="173"/>
        <v>3</v>
      </c>
      <c r="AN1135">
        <f t="shared" si="174"/>
        <v>8358.8571428571431</v>
      </c>
      <c r="AO1135">
        <f t="shared" si="175"/>
        <v>0.66666666666666663</v>
      </c>
      <c r="AP1135" t="str">
        <f t="shared" si="176"/>
        <v>40-49</v>
      </c>
      <c r="AQ1135" t="str">
        <f t="shared" si="177"/>
        <v>Medium</v>
      </c>
      <c r="AR1135" t="str">
        <f t="shared" si="178"/>
        <v>Long</v>
      </c>
      <c r="AS1135">
        <f t="shared" si="179"/>
        <v>0</v>
      </c>
    </row>
    <row r="1136" spans="1:4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s="20">
        <v>2690</v>
      </c>
      <c r="T1136">
        <v>7713</v>
      </c>
      <c r="U1136">
        <v>1</v>
      </c>
      <c r="V1136" t="s">
        <v>42</v>
      </c>
      <c r="W1136" t="s">
        <v>43</v>
      </c>
      <c r="X1136" s="19">
        <v>18</v>
      </c>
      <c r="Y1136">
        <v>3</v>
      </c>
      <c r="Z1136">
        <v>4</v>
      </c>
      <c r="AA1136">
        <v>80</v>
      </c>
      <c r="AB1136">
        <v>1</v>
      </c>
      <c r="AC1136">
        <v>1</v>
      </c>
      <c r="AD1136">
        <v>5</v>
      </c>
      <c r="AE1136">
        <v>2</v>
      </c>
      <c r="AF1136">
        <v>1</v>
      </c>
      <c r="AG1136">
        <v>0</v>
      </c>
      <c r="AH1136">
        <v>0</v>
      </c>
      <c r="AI1136">
        <v>1</v>
      </c>
      <c r="AJ1136">
        <f t="shared" si="170"/>
        <v>0</v>
      </c>
      <c r="AK1136">
        <f t="shared" si="171"/>
        <v>0</v>
      </c>
      <c r="AL1136">
        <f t="shared" si="172"/>
        <v>1</v>
      </c>
      <c r="AM1136">
        <f t="shared" si="173"/>
        <v>3.25</v>
      </c>
      <c r="AN1136">
        <f t="shared" si="174"/>
        <v>16140</v>
      </c>
      <c r="AO1136">
        <f t="shared" si="175"/>
        <v>0.5</v>
      </c>
      <c r="AP1136" t="str">
        <f t="shared" si="176"/>
        <v>30-39</v>
      </c>
      <c r="AQ1136" t="str">
        <f t="shared" si="177"/>
        <v>Low</v>
      </c>
      <c r="AR1136" t="str">
        <f t="shared" si="178"/>
        <v>Medium</v>
      </c>
      <c r="AS1136">
        <f t="shared" si="179"/>
        <v>0</v>
      </c>
    </row>
    <row r="1137" spans="1:4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s="20">
        <v>17567</v>
      </c>
      <c r="T1137">
        <v>3156</v>
      </c>
      <c r="U1137">
        <v>1</v>
      </c>
      <c r="V1137" t="s">
        <v>42</v>
      </c>
      <c r="W1137" t="s">
        <v>43</v>
      </c>
      <c r="X1137" s="19">
        <v>15</v>
      </c>
      <c r="Y1137">
        <v>3</v>
      </c>
      <c r="Z1137">
        <v>2</v>
      </c>
      <c r="AA1137">
        <v>80</v>
      </c>
      <c r="AB1137">
        <v>0</v>
      </c>
      <c r="AC1137">
        <v>27</v>
      </c>
      <c r="AD1137">
        <v>5</v>
      </c>
      <c r="AE1137">
        <v>1</v>
      </c>
      <c r="AF1137">
        <v>26</v>
      </c>
      <c r="AG1137">
        <v>0</v>
      </c>
      <c r="AH1137">
        <v>0</v>
      </c>
      <c r="AI1137">
        <v>12</v>
      </c>
      <c r="AJ1137">
        <f t="shared" si="170"/>
        <v>0</v>
      </c>
      <c r="AK1137">
        <f t="shared" si="171"/>
        <v>0</v>
      </c>
      <c r="AL1137">
        <f t="shared" si="172"/>
        <v>1</v>
      </c>
      <c r="AM1137">
        <f t="shared" si="173"/>
        <v>2</v>
      </c>
      <c r="AN1137">
        <f t="shared" si="174"/>
        <v>7807.5555555555557</v>
      </c>
      <c r="AO1137">
        <f t="shared" si="175"/>
        <v>0.9285714285714286</v>
      </c>
      <c r="AP1137" t="str">
        <f t="shared" si="176"/>
        <v>40-49</v>
      </c>
      <c r="AQ1137" t="str">
        <f t="shared" si="177"/>
        <v>Very High</v>
      </c>
      <c r="AR1137" t="str">
        <f t="shared" si="178"/>
        <v>Short</v>
      </c>
      <c r="AS1137">
        <f t="shared" si="179"/>
        <v>0</v>
      </c>
    </row>
    <row r="1138" spans="1:4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s="20">
        <v>2408</v>
      </c>
      <c r="T1138">
        <v>7324</v>
      </c>
      <c r="U1138">
        <v>1</v>
      </c>
      <c r="V1138" t="s">
        <v>42</v>
      </c>
      <c r="W1138" t="s">
        <v>35</v>
      </c>
      <c r="X1138" s="19">
        <v>17</v>
      </c>
      <c r="Y1138">
        <v>3</v>
      </c>
      <c r="Z1138">
        <v>3</v>
      </c>
      <c r="AA1138">
        <v>80</v>
      </c>
      <c r="AB1138">
        <v>3</v>
      </c>
      <c r="AC1138">
        <v>1</v>
      </c>
      <c r="AD1138">
        <v>3</v>
      </c>
      <c r="AE1138">
        <v>3</v>
      </c>
      <c r="AF1138">
        <v>1</v>
      </c>
      <c r="AG1138">
        <v>1</v>
      </c>
      <c r="AH1138">
        <v>0</v>
      </c>
      <c r="AI1138">
        <v>0</v>
      </c>
      <c r="AJ1138">
        <f t="shared" si="170"/>
        <v>1</v>
      </c>
      <c r="AK1138">
        <f t="shared" si="171"/>
        <v>1</v>
      </c>
      <c r="AL1138">
        <f t="shared" si="172"/>
        <v>1</v>
      </c>
      <c r="AM1138">
        <f t="shared" si="173"/>
        <v>2.75</v>
      </c>
      <c r="AN1138">
        <f t="shared" si="174"/>
        <v>14448</v>
      </c>
      <c r="AO1138">
        <f t="shared" si="175"/>
        <v>0.5</v>
      </c>
      <c r="AP1138" t="str">
        <f t="shared" si="176"/>
        <v>Under 30</v>
      </c>
      <c r="AQ1138" t="str">
        <f t="shared" si="177"/>
        <v>Low</v>
      </c>
      <c r="AR1138" t="str">
        <f t="shared" si="178"/>
        <v>Long</v>
      </c>
      <c r="AS1138">
        <f t="shared" si="179"/>
        <v>0</v>
      </c>
    </row>
    <row r="1139" spans="1:4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s="20">
        <v>2814</v>
      </c>
      <c r="T1139">
        <v>10293</v>
      </c>
      <c r="U1139">
        <v>1</v>
      </c>
      <c r="V1139" t="s">
        <v>42</v>
      </c>
      <c r="W1139" t="s">
        <v>35</v>
      </c>
      <c r="X1139" s="19">
        <v>14</v>
      </c>
      <c r="Y1139">
        <v>3</v>
      </c>
      <c r="Z1139">
        <v>2</v>
      </c>
      <c r="AA1139">
        <v>80</v>
      </c>
      <c r="AB1139">
        <v>0</v>
      </c>
      <c r="AC1139">
        <v>4</v>
      </c>
      <c r="AD1139">
        <v>2</v>
      </c>
      <c r="AE1139">
        <v>2</v>
      </c>
      <c r="AF1139">
        <v>4</v>
      </c>
      <c r="AG1139">
        <v>2</v>
      </c>
      <c r="AH1139">
        <v>1</v>
      </c>
      <c r="AI1139">
        <v>3</v>
      </c>
      <c r="AJ1139">
        <f t="shared" si="170"/>
        <v>0</v>
      </c>
      <c r="AK1139">
        <f t="shared" si="171"/>
        <v>1</v>
      </c>
      <c r="AL1139">
        <f t="shared" si="172"/>
        <v>0</v>
      </c>
      <c r="AM1139">
        <f t="shared" si="173"/>
        <v>2.25</v>
      </c>
      <c r="AN1139">
        <f t="shared" si="174"/>
        <v>6753.6</v>
      </c>
      <c r="AO1139">
        <f t="shared" si="175"/>
        <v>0.8</v>
      </c>
      <c r="AP1139" t="str">
        <f t="shared" si="176"/>
        <v>Under 30</v>
      </c>
      <c r="AQ1139" t="str">
        <f t="shared" si="177"/>
        <v>Low</v>
      </c>
      <c r="AR1139" t="str">
        <f t="shared" si="178"/>
        <v>Long</v>
      </c>
      <c r="AS1139">
        <f t="shared" si="179"/>
        <v>0</v>
      </c>
    </row>
    <row r="1140" spans="1:4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s="20">
        <v>11245</v>
      </c>
      <c r="T1140">
        <v>20689</v>
      </c>
      <c r="U1140">
        <v>2</v>
      </c>
      <c r="V1140" t="s">
        <v>42</v>
      </c>
      <c r="W1140" t="s">
        <v>35</v>
      </c>
      <c r="X1140" s="19">
        <v>15</v>
      </c>
      <c r="Y1140">
        <v>3</v>
      </c>
      <c r="Z1140">
        <v>3</v>
      </c>
      <c r="AA1140">
        <v>80</v>
      </c>
      <c r="AB1140">
        <v>1</v>
      </c>
      <c r="AC1140">
        <v>32</v>
      </c>
      <c r="AD1140">
        <v>3</v>
      </c>
      <c r="AE1140">
        <v>3</v>
      </c>
      <c r="AF1140">
        <v>30</v>
      </c>
      <c r="AG1140">
        <v>8</v>
      </c>
      <c r="AH1140">
        <v>12</v>
      </c>
      <c r="AI1140">
        <v>13</v>
      </c>
      <c r="AJ1140">
        <f t="shared" si="170"/>
        <v>0</v>
      </c>
      <c r="AK1140">
        <f t="shared" si="171"/>
        <v>1</v>
      </c>
      <c r="AL1140">
        <f t="shared" si="172"/>
        <v>1</v>
      </c>
      <c r="AM1140">
        <f t="shared" si="173"/>
        <v>2.75</v>
      </c>
      <c r="AN1140">
        <f t="shared" si="174"/>
        <v>4352.9032258064517</v>
      </c>
      <c r="AO1140">
        <f t="shared" si="175"/>
        <v>0.90909090909090906</v>
      </c>
      <c r="AP1140" t="str">
        <f t="shared" si="176"/>
        <v>50+</v>
      </c>
      <c r="AQ1140" t="str">
        <f t="shared" si="177"/>
        <v>Very High</v>
      </c>
      <c r="AR1140" t="str">
        <f t="shared" si="178"/>
        <v>Long</v>
      </c>
      <c r="AS1140">
        <f t="shared" si="179"/>
        <v>1</v>
      </c>
    </row>
    <row r="1141" spans="1:4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s="20">
        <v>3312</v>
      </c>
      <c r="T1141">
        <v>18783</v>
      </c>
      <c r="U1141">
        <v>3</v>
      </c>
      <c r="V1141" t="s">
        <v>42</v>
      </c>
      <c r="W1141" t="s">
        <v>43</v>
      </c>
      <c r="X1141" s="19">
        <v>17</v>
      </c>
      <c r="Y1141">
        <v>3</v>
      </c>
      <c r="Z1141">
        <v>4</v>
      </c>
      <c r="AA1141">
        <v>80</v>
      </c>
      <c r="AB1141">
        <v>2</v>
      </c>
      <c r="AC1141">
        <v>6</v>
      </c>
      <c r="AD1141">
        <v>3</v>
      </c>
      <c r="AE1141">
        <v>3</v>
      </c>
      <c r="AF1141">
        <v>3</v>
      </c>
      <c r="AG1141">
        <v>2</v>
      </c>
      <c r="AH1141">
        <v>0</v>
      </c>
      <c r="AI1141">
        <v>2</v>
      </c>
      <c r="AJ1141">
        <f t="shared" si="170"/>
        <v>0</v>
      </c>
      <c r="AK1141">
        <f t="shared" si="171"/>
        <v>0</v>
      </c>
      <c r="AL1141">
        <f t="shared" si="172"/>
        <v>0</v>
      </c>
      <c r="AM1141">
        <f t="shared" si="173"/>
        <v>3.25</v>
      </c>
      <c r="AN1141">
        <f t="shared" si="174"/>
        <v>9936</v>
      </c>
      <c r="AO1141">
        <f t="shared" si="175"/>
        <v>0.42857142857142855</v>
      </c>
      <c r="AP1141" t="str">
        <f t="shared" si="176"/>
        <v>30-39</v>
      </c>
      <c r="AQ1141" t="str">
        <f t="shared" si="177"/>
        <v>Medium</v>
      </c>
      <c r="AR1141" t="str">
        <f t="shared" si="178"/>
        <v>Short</v>
      </c>
      <c r="AS1141">
        <f t="shared" si="179"/>
        <v>0</v>
      </c>
    </row>
    <row r="1142" spans="1:4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s="20">
        <v>19049</v>
      </c>
      <c r="T1142">
        <v>3549</v>
      </c>
      <c r="U1142">
        <v>0</v>
      </c>
      <c r="V1142" t="s">
        <v>42</v>
      </c>
      <c r="W1142" t="s">
        <v>35</v>
      </c>
      <c r="X1142" s="19">
        <v>14</v>
      </c>
      <c r="Y1142">
        <v>3</v>
      </c>
      <c r="Z1142">
        <v>4</v>
      </c>
      <c r="AA1142">
        <v>80</v>
      </c>
      <c r="AB1142">
        <v>1</v>
      </c>
      <c r="AC1142">
        <v>23</v>
      </c>
      <c r="AD1142">
        <v>4</v>
      </c>
      <c r="AE1142">
        <v>2</v>
      </c>
      <c r="AF1142">
        <v>22</v>
      </c>
      <c r="AG1142">
        <v>7</v>
      </c>
      <c r="AH1142">
        <v>1</v>
      </c>
      <c r="AI1142">
        <v>10</v>
      </c>
      <c r="AJ1142">
        <f t="shared" si="170"/>
        <v>0</v>
      </c>
      <c r="AK1142">
        <f t="shared" si="171"/>
        <v>1</v>
      </c>
      <c r="AL1142">
        <f t="shared" si="172"/>
        <v>0</v>
      </c>
      <c r="AM1142">
        <f t="shared" si="173"/>
        <v>3</v>
      </c>
      <c r="AN1142">
        <f t="shared" si="174"/>
        <v>9938.608695652174</v>
      </c>
      <c r="AO1142">
        <f t="shared" si="175"/>
        <v>0.91666666666666663</v>
      </c>
      <c r="AP1142" t="str">
        <f t="shared" si="176"/>
        <v>40-49</v>
      </c>
      <c r="AQ1142" t="str">
        <f t="shared" si="177"/>
        <v>Very High</v>
      </c>
      <c r="AR1142" t="str">
        <f t="shared" si="178"/>
        <v>Medium</v>
      </c>
      <c r="AS1142">
        <f t="shared" si="179"/>
        <v>0</v>
      </c>
    </row>
    <row r="1143" spans="1:4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s="20">
        <v>2141</v>
      </c>
      <c r="T1143">
        <v>5348</v>
      </c>
      <c r="U1143">
        <v>1</v>
      </c>
      <c r="V1143" t="s">
        <v>42</v>
      </c>
      <c r="W1143" t="s">
        <v>43</v>
      </c>
      <c r="X1143" s="19">
        <v>12</v>
      </c>
      <c r="Y1143">
        <v>3</v>
      </c>
      <c r="Z1143">
        <v>2</v>
      </c>
      <c r="AA1143">
        <v>80</v>
      </c>
      <c r="AB1143">
        <v>1</v>
      </c>
      <c r="AC1143">
        <v>6</v>
      </c>
      <c r="AD1143">
        <v>3</v>
      </c>
      <c r="AE1143">
        <v>2</v>
      </c>
      <c r="AF1143">
        <v>6</v>
      </c>
      <c r="AG1143">
        <v>4</v>
      </c>
      <c r="AH1143">
        <v>1</v>
      </c>
      <c r="AI1143">
        <v>1</v>
      </c>
      <c r="AJ1143">
        <f t="shared" si="170"/>
        <v>0</v>
      </c>
      <c r="AK1143">
        <f t="shared" si="171"/>
        <v>0</v>
      </c>
      <c r="AL1143">
        <f t="shared" si="172"/>
        <v>1</v>
      </c>
      <c r="AM1143">
        <f t="shared" si="173"/>
        <v>2</v>
      </c>
      <c r="AN1143">
        <f t="shared" si="174"/>
        <v>3670.2857142857142</v>
      </c>
      <c r="AO1143">
        <f t="shared" si="175"/>
        <v>0.8571428571428571</v>
      </c>
      <c r="AP1143" t="str">
        <f t="shared" si="176"/>
        <v>30-39</v>
      </c>
      <c r="AQ1143" t="str">
        <f t="shared" si="177"/>
        <v>Low</v>
      </c>
      <c r="AR1143" t="str">
        <f t="shared" si="178"/>
        <v>Medium</v>
      </c>
      <c r="AS1143">
        <f t="shared" si="179"/>
        <v>0</v>
      </c>
    </row>
    <row r="1144" spans="1:4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s="20">
        <v>5769</v>
      </c>
      <c r="T1144">
        <v>23447</v>
      </c>
      <c r="U1144">
        <v>1</v>
      </c>
      <c r="V1144" t="s">
        <v>42</v>
      </c>
      <c r="W1144" t="s">
        <v>35</v>
      </c>
      <c r="X1144" s="19">
        <v>14</v>
      </c>
      <c r="Y1144">
        <v>3</v>
      </c>
      <c r="Z1144">
        <v>1</v>
      </c>
      <c r="AA1144">
        <v>80</v>
      </c>
      <c r="AB1144">
        <v>0</v>
      </c>
      <c r="AC1144">
        <v>10</v>
      </c>
      <c r="AD1144">
        <v>3</v>
      </c>
      <c r="AE1144">
        <v>3</v>
      </c>
      <c r="AF1144">
        <v>10</v>
      </c>
      <c r="AG1144">
        <v>7</v>
      </c>
      <c r="AH1144">
        <v>1</v>
      </c>
      <c r="AI1144">
        <v>4</v>
      </c>
      <c r="AJ1144">
        <f t="shared" si="170"/>
        <v>0</v>
      </c>
      <c r="AK1144">
        <f t="shared" si="171"/>
        <v>1</v>
      </c>
      <c r="AL1144">
        <f t="shared" si="172"/>
        <v>0</v>
      </c>
      <c r="AM1144">
        <f t="shared" si="173"/>
        <v>2</v>
      </c>
      <c r="AN1144">
        <f t="shared" si="174"/>
        <v>6293.454545454545</v>
      </c>
      <c r="AO1144">
        <f t="shared" si="175"/>
        <v>0.90909090909090906</v>
      </c>
      <c r="AP1144" t="str">
        <f t="shared" si="176"/>
        <v>40-49</v>
      </c>
      <c r="AQ1144" t="str">
        <f t="shared" si="177"/>
        <v>High</v>
      </c>
      <c r="AR1144" t="str">
        <f t="shared" si="178"/>
        <v>Short</v>
      </c>
      <c r="AS1144">
        <f t="shared" si="179"/>
        <v>0</v>
      </c>
    </row>
    <row r="1145" spans="1:4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s="20">
        <v>4385</v>
      </c>
      <c r="T1145">
        <v>24162</v>
      </c>
      <c r="U1145">
        <v>1</v>
      </c>
      <c r="V1145" t="s">
        <v>42</v>
      </c>
      <c r="W1145" t="s">
        <v>43</v>
      </c>
      <c r="X1145" s="19">
        <v>15</v>
      </c>
      <c r="Y1145">
        <v>3</v>
      </c>
      <c r="Z1145">
        <v>1</v>
      </c>
      <c r="AA1145">
        <v>80</v>
      </c>
      <c r="AB1145">
        <v>1</v>
      </c>
      <c r="AC1145">
        <v>10</v>
      </c>
      <c r="AD1145">
        <v>2</v>
      </c>
      <c r="AE1145">
        <v>3</v>
      </c>
      <c r="AF1145">
        <v>10</v>
      </c>
      <c r="AG1145">
        <v>7</v>
      </c>
      <c r="AH1145">
        <v>4</v>
      </c>
      <c r="AI1145">
        <v>5</v>
      </c>
      <c r="AJ1145">
        <f t="shared" si="170"/>
        <v>0</v>
      </c>
      <c r="AK1145">
        <f t="shared" si="171"/>
        <v>0</v>
      </c>
      <c r="AL1145">
        <f t="shared" si="172"/>
        <v>1</v>
      </c>
      <c r="AM1145">
        <f t="shared" si="173"/>
        <v>1.5</v>
      </c>
      <c r="AN1145">
        <f t="shared" si="174"/>
        <v>4783.636363636364</v>
      </c>
      <c r="AO1145">
        <f t="shared" si="175"/>
        <v>0.90909090909090906</v>
      </c>
      <c r="AP1145" t="str">
        <f t="shared" si="176"/>
        <v>40-49</v>
      </c>
      <c r="AQ1145" t="str">
        <f t="shared" si="177"/>
        <v>Medium</v>
      </c>
      <c r="AR1145" t="str">
        <f t="shared" si="178"/>
        <v>Long</v>
      </c>
      <c r="AS1145">
        <f t="shared" si="179"/>
        <v>0</v>
      </c>
    </row>
    <row r="1146" spans="1:4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s="20">
        <v>5332</v>
      </c>
      <c r="T1146">
        <v>21602</v>
      </c>
      <c r="U1146">
        <v>7</v>
      </c>
      <c r="V1146" t="s">
        <v>42</v>
      </c>
      <c r="W1146" t="s">
        <v>43</v>
      </c>
      <c r="X1146" s="19">
        <v>13</v>
      </c>
      <c r="Y1146">
        <v>3</v>
      </c>
      <c r="Z1146">
        <v>4</v>
      </c>
      <c r="AA1146">
        <v>80</v>
      </c>
      <c r="AB1146">
        <v>0</v>
      </c>
      <c r="AC1146">
        <v>10</v>
      </c>
      <c r="AD1146">
        <v>3</v>
      </c>
      <c r="AE1146">
        <v>3</v>
      </c>
      <c r="AF1146">
        <v>5</v>
      </c>
      <c r="AG1146">
        <v>2</v>
      </c>
      <c r="AH1146">
        <v>0</v>
      </c>
      <c r="AI1146">
        <v>3</v>
      </c>
      <c r="AJ1146">
        <f t="shared" si="170"/>
        <v>0</v>
      </c>
      <c r="AK1146">
        <f t="shared" si="171"/>
        <v>0</v>
      </c>
      <c r="AL1146">
        <f t="shared" si="172"/>
        <v>1</v>
      </c>
      <c r="AM1146">
        <f t="shared" si="173"/>
        <v>3</v>
      </c>
      <c r="AN1146">
        <f t="shared" si="174"/>
        <v>10664</v>
      </c>
      <c r="AO1146">
        <f t="shared" si="175"/>
        <v>0.45454545454545453</v>
      </c>
      <c r="AP1146" t="str">
        <f t="shared" si="176"/>
        <v>30-39</v>
      </c>
      <c r="AQ1146" t="str">
        <f t="shared" si="177"/>
        <v>High</v>
      </c>
      <c r="AR1146" t="str">
        <f t="shared" si="178"/>
        <v>Short</v>
      </c>
      <c r="AS1146">
        <f t="shared" si="179"/>
        <v>1</v>
      </c>
    </row>
    <row r="1147" spans="1:4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s="20">
        <v>4663</v>
      </c>
      <c r="T1147">
        <v>12421</v>
      </c>
      <c r="U1147">
        <v>9</v>
      </c>
      <c r="V1147" t="s">
        <v>42</v>
      </c>
      <c r="W1147" t="s">
        <v>35</v>
      </c>
      <c r="X1147" s="19">
        <v>12</v>
      </c>
      <c r="Y1147">
        <v>3</v>
      </c>
      <c r="Z1147">
        <v>2</v>
      </c>
      <c r="AA1147">
        <v>80</v>
      </c>
      <c r="AB1147">
        <v>2</v>
      </c>
      <c r="AC1147">
        <v>7</v>
      </c>
      <c r="AD1147">
        <v>2</v>
      </c>
      <c r="AE1147">
        <v>3</v>
      </c>
      <c r="AF1147">
        <v>3</v>
      </c>
      <c r="AG1147">
        <v>2</v>
      </c>
      <c r="AH1147">
        <v>1</v>
      </c>
      <c r="AI1147">
        <v>1</v>
      </c>
      <c r="AJ1147">
        <f t="shared" si="170"/>
        <v>0</v>
      </c>
      <c r="AK1147">
        <f t="shared" si="171"/>
        <v>1</v>
      </c>
      <c r="AL1147">
        <f t="shared" si="172"/>
        <v>0</v>
      </c>
      <c r="AM1147">
        <f t="shared" si="173"/>
        <v>2.75</v>
      </c>
      <c r="AN1147">
        <f t="shared" si="174"/>
        <v>13989</v>
      </c>
      <c r="AO1147">
        <f t="shared" si="175"/>
        <v>0.375</v>
      </c>
      <c r="AP1147" t="str">
        <f t="shared" si="176"/>
        <v>30-39</v>
      </c>
      <c r="AQ1147" t="str">
        <f t="shared" si="177"/>
        <v>Medium</v>
      </c>
      <c r="AR1147" t="str">
        <f t="shared" si="178"/>
        <v>Medium</v>
      </c>
      <c r="AS1147">
        <f t="shared" si="179"/>
        <v>0</v>
      </c>
    </row>
    <row r="1148" spans="1:4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s="20">
        <v>4724</v>
      </c>
      <c r="T1148">
        <v>17000</v>
      </c>
      <c r="U1148">
        <v>1</v>
      </c>
      <c r="V1148" t="s">
        <v>42</v>
      </c>
      <c r="W1148" t="s">
        <v>43</v>
      </c>
      <c r="X1148" s="19">
        <v>13</v>
      </c>
      <c r="Y1148">
        <v>3</v>
      </c>
      <c r="Z1148">
        <v>1</v>
      </c>
      <c r="AA1148">
        <v>80</v>
      </c>
      <c r="AB1148">
        <v>1</v>
      </c>
      <c r="AC1148">
        <v>9</v>
      </c>
      <c r="AD1148">
        <v>3</v>
      </c>
      <c r="AE1148">
        <v>3</v>
      </c>
      <c r="AF1148">
        <v>9</v>
      </c>
      <c r="AG1148">
        <v>7</v>
      </c>
      <c r="AH1148">
        <v>7</v>
      </c>
      <c r="AI1148">
        <v>2</v>
      </c>
      <c r="AJ1148">
        <f t="shared" si="170"/>
        <v>0</v>
      </c>
      <c r="AK1148">
        <f t="shared" si="171"/>
        <v>0</v>
      </c>
      <c r="AL1148">
        <f t="shared" si="172"/>
        <v>1</v>
      </c>
      <c r="AM1148">
        <f t="shared" si="173"/>
        <v>2.75</v>
      </c>
      <c r="AN1148">
        <f t="shared" si="174"/>
        <v>5668.8</v>
      </c>
      <c r="AO1148">
        <f t="shared" si="175"/>
        <v>0.9</v>
      </c>
      <c r="AP1148" t="str">
        <f t="shared" si="176"/>
        <v>30-39</v>
      </c>
      <c r="AQ1148" t="str">
        <f t="shared" si="177"/>
        <v>Medium</v>
      </c>
      <c r="AR1148" t="str">
        <f t="shared" si="178"/>
        <v>Medium</v>
      </c>
      <c r="AS1148">
        <f t="shared" si="179"/>
        <v>1</v>
      </c>
    </row>
    <row r="1149" spans="1:4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s="20">
        <v>3211</v>
      </c>
      <c r="T1149">
        <v>22102</v>
      </c>
      <c r="U1149">
        <v>1</v>
      </c>
      <c r="V1149" t="s">
        <v>42</v>
      </c>
      <c r="W1149" t="s">
        <v>43</v>
      </c>
      <c r="X1149" s="19">
        <v>14</v>
      </c>
      <c r="Y1149">
        <v>3</v>
      </c>
      <c r="Z1149">
        <v>4</v>
      </c>
      <c r="AA1149">
        <v>80</v>
      </c>
      <c r="AB1149">
        <v>1</v>
      </c>
      <c r="AC1149">
        <v>10</v>
      </c>
      <c r="AD1149">
        <v>3</v>
      </c>
      <c r="AE1149">
        <v>2</v>
      </c>
      <c r="AF1149">
        <v>9</v>
      </c>
      <c r="AG1149">
        <v>6</v>
      </c>
      <c r="AH1149">
        <v>1</v>
      </c>
      <c r="AI1149">
        <v>4</v>
      </c>
      <c r="AJ1149">
        <f t="shared" si="170"/>
        <v>0</v>
      </c>
      <c r="AK1149">
        <f t="shared" si="171"/>
        <v>0</v>
      </c>
      <c r="AL1149">
        <f t="shared" si="172"/>
        <v>0</v>
      </c>
      <c r="AM1149">
        <f t="shared" si="173"/>
        <v>2.5</v>
      </c>
      <c r="AN1149">
        <f t="shared" si="174"/>
        <v>3853.2</v>
      </c>
      <c r="AO1149">
        <f t="shared" si="175"/>
        <v>0.81818181818181823</v>
      </c>
      <c r="AP1149" t="str">
        <f t="shared" si="176"/>
        <v>40-49</v>
      </c>
      <c r="AQ1149" t="str">
        <f t="shared" si="177"/>
        <v>Medium</v>
      </c>
      <c r="AR1149" t="str">
        <f t="shared" si="178"/>
        <v>Long</v>
      </c>
      <c r="AS1149">
        <f t="shared" si="179"/>
        <v>0</v>
      </c>
    </row>
    <row r="1150" spans="1:4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s="20">
        <v>5377</v>
      </c>
      <c r="T1150">
        <v>3835</v>
      </c>
      <c r="U1150">
        <v>2</v>
      </c>
      <c r="V1150" t="s">
        <v>42</v>
      </c>
      <c r="W1150" t="s">
        <v>43</v>
      </c>
      <c r="X1150" s="19">
        <v>13</v>
      </c>
      <c r="Y1150">
        <v>3</v>
      </c>
      <c r="Z1150">
        <v>4</v>
      </c>
      <c r="AA1150">
        <v>80</v>
      </c>
      <c r="AB1150">
        <v>3</v>
      </c>
      <c r="AC1150">
        <v>10</v>
      </c>
      <c r="AD1150">
        <v>3</v>
      </c>
      <c r="AE1150">
        <v>3</v>
      </c>
      <c r="AF1150">
        <v>7</v>
      </c>
      <c r="AG1150">
        <v>7</v>
      </c>
      <c r="AH1150">
        <v>7</v>
      </c>
      <c r="AI1150">
        <v>7</v>
      </c>
      <c r="AJ1150">
        <f t="shared" si="170"/>
        <v>0</v>
      </c>
      <c r="AK1150">
        <f t="shared" si="171"/>
        <v>0</v>
      </c>
      <c r="AL1150">
        <f t="shared" si="172"/>
        <v>1</v>
      </c>
      <c r="AM1150">
        <f t="shared" si="173"/>
        <v>2.5</v>
      </c>
      <c r="AN1150">
        <f t="shared" si="174"/>
        <v>8065.5</v>
      </c>
      <c r="AO1150">
        <f t="shared" si="175"/>
        <v>0.63636363636363635</v>
      </c>
      <c r="AP1150" t="str">
        <f t="shared" si="176"/>
        <v>30-39</v>
      </c>
      <c r="AQ1150" t="str">
        <f t="shared" si="177"/>
        <v>High</v>
      </c>
      <c r="AR1150" t="str">
        <f t="shared" si="178"/>
        <v>Medium</v>
      </c>
      <c r="AS1150">
        <f t="shared" si="179"/>
        <v>0</v>
      </c>
    </row>
    <row r="1151" spans="1:4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s="20">
        <v>4066</v>
      </c>
      <c r="T1151">
        <v>16290</v>
      </c>
      <c r="U1151">
        <v>1</v>
      </c>
      <c r="V1151" t="s">
        <v>42</v>
      </c>
      <c r="W1151" t="s">
        <v>43</v>
      </c>
      <c r="X1151" s="19">
        <v>11</v>
      </c>
      <c r="Y1151">
        <v>3</v>
      </c>
      <c r="Z1151">
        <v>1</v>
      </c>
      <c r="AA1151">
        <v>80</v>
      </c>
      <c r="AB1151">
        <v>2</v>
      </c>
      <c r="AC1151">
        <v>7</v>
      </c>
      <c r="AD1151">
        <v>3</v>
      </c>
      <c r="AE1151">
        <v>3</v>
      </c>
      <c r="AF1151">
        <v>7</v>
      </c>
      <c r="AG1151">
        <v>7</v>
      </c>
      <c r="AH1151">
        <v>0</v>
      </c>
      <c r="AI1151">
        <v>7</v>
      </c>
      <c r="AJ1151">
        <f t="shared" si="170"/>
        <v>0</v>
      </c>
      <c r="AK1151">
        <f t="shared" si="171"/>
        <v>0</v>
      </c>
      <c r="AL1151">
        <f t="shared" si="172"/>
        <v>1</v>
      </c>
      <c r="AM1151">
        <f t="shared" si="173"/>
        <v>2.25</v>
      </c>
      <c r="AN1151">
        <f t="shared" si="174"/>
        <v>6099</v>
      </c>
      <c r="AO1151">
        <f t="shared" si="175"/>
        <v>0.875</v>
      </c>
      <c r="AP1151" t="str">
        <f t="shared" si="176"/>
        <v>Under 30</v>
      </c>
      <c r="AQ1151" t="str">
        <f t="shared" si="177"/>
        <v>Medium</v>
      </c>
      <c r="AR1151" t="str">
        <f t="shared" si="178"/>
        <v>Long</v>
      </c>
      <c r="AS1151">
        <f t="shared" si="179"/>
        <v>0</v>
      </c>
    </row>
    <row r="1152" spans="1:4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s="20">
        <v>5208</v>
      </c>
      <c r="T1152">
        <v>26312</v>
      </c>
      <c r="U1152">
        <v>1</v>
      </c>
      <c r="V1152" t="s">
        <v>42</v>
      </c>
      <c r="W1152" t="s">
        <v>43</v>
      </c>
      <c r="X1152" s="19">
        <v>11</v>
      </c>
      <c r="Y1152">
        <v>3</v>
      </c>
      <c r="Z1152">
        <v>4</v>
      </c>
      <c r="AA1152">
        <v>80</v>
      </c>
      <c r="AB1152">
        <v>0</v>
      </c>
      <c r="AC1152">
        <v>16</v>
      </c>
      <c r="AD1152">
        <v>2</v>
      </c>
      <c r="AE1152">
        <v>3</v>
      </c>
      <c r="AF1152">
        <v>16</v>
      </c>
      <c r="AG1152">
        <v>15</v>
      </c>
      <c r="AH1152">
        <v>1</v>
      </c>
      <c r="AI1152">
        <v>10</v>
      </c>
      <c r="AJ1152">
        <f t="shared" si="170"/>
        <v>0</v>
      </c>
      <c r="AK1152">
        <f t="shared" si="171"/>
        <v>0</v>
      </c>
      <c r="AL1152">
        <f t="shared" si="172"/>
        <v>1</v>
      </c>
      <c r="AM1152">
        <f t="shared" si="173"/>
        <v>2.5</v>
      </c>
      <c r="AN1152">
        <f t="shared" si="174"/>
        <v>3676.2352941176468</v>
      </c>
      <c r="AO1152">
        <f t="shared" si="175"/>
        <v>0.94117647058823528</v>
      </c>
      <c r="AP1152" t="str">
        <f t="shared" si="176"/>
        <v>30-39</v>
      </c>
      <c r="AQ1152" t="str">
        <f t="shared" si="177"/>
        <v>High</v>
      </c>
      <c r="AR1152" t="str">
        <f t="shared" si="178"/>
        <v>Long</v>
      </c>
      <c r="AS1152">
        <f t="shared" si="179"/>
        <v>0</v>
      </c>
    </row>
    <row r="1153" spans="1:4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s="20">
        <v>4877</v>
      </c>
      <c r="T1153">
        <v>20460</v>
      </c>
      <c r="U1153">
        <v>0</v>
      </c>
      <c r="V1153" t="s">
        <v>42</v>
      </c>
      <c r="W1153" t="s">
        <v>43</v>
      </c>
      <c r="X1153" s="19">
        <v>21</v>
      </c>
      <c r="Y1153">
        <v>4</v>
      </c>
      <c r="Z1153">
        <v>2</v>
      </c>
      <c r="AA1153">
        <v>80</v>
      </c>
      <c r="AB1153">
        <v>1</v>
      </c>
      <c r="AC1153">
        <v>6</v>
      </c>
      <c r="AD1153">
        <v>5</v>
      </c>
      <c r="AE1153">
        <v>2</v>
      </c>
      <c r="AF1153">
        <v>5</v>
      </c>
      <c r="AG1153">
        <v>3</v>
      </c>
      <c r="AH1153">
        <v>0</v>
      </c>
      <c r="AI1153">
        <v>0</v>
      </c>
      <c r="AJ1153">
        <f t="shared" si="170"/>
        <v>0</v>
      </c>
      <c r="AK1153">
        <f t="shared" si="171"/>
        <v>0</v>
      </c>
      <c r="AL1153">
        <f t="shared" si="172"/>
        <v>0</v>
      </c>
      <c r="AM1153">
        <f t="shared" si="173"/>
        <v>1.75</v>
      </c>
      <c r="AN1153">
        <f t="shared" si="174"/>
        <v>9754</v>
      </c>
      <c r="AO1153">
        <f t="shared" si="175"/>
        <v>0.7142857142857143</v>
      </c>
      <c r="AP1153" t="str">
        <f t="shared" si="176"/>
        <v>Under 30</v>
      </c>
      <c r="AQ1153" t="str">
        <f t="shared" si="177"/>
        <v>Medium</v>
      </c>
      <c r="AR1153" t="str">
        <f t="shared" si="178"/>
        <v>Long</v>
      </c>
      <c r="AS1153">
        <f t="shared" si="179"/>
        <v>0</v>
      </c>
    </row>
    <row r="1154" spans="1:4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s="20">
        <v>3117</v>
      </c>
      <c r="T1154">
        <v>26009</v>
      </c>
      <c r="U1154">
        <v>1</v>
      </c>
      <c r="V1154" t="s">
        <v>42</v>
      </c>
      <c r="W1154" t="s">
        <v>43</v>
      </c>
      <c r="X1154" s="19">
        <v>18</v>
      </c>
      <c r="Y1154">
        <v>3</v>
      </c>
      <c r="Z1154">
        <v>3</v>
      </c>
      <c r="AA1154">
        <v>80</v>
      </c>
      <c r="AB1154">
        <v>0</v>
      </c>
      <c r="AC1154">
        <v>3</v>
      </c>
      <c r="AD1154">
        <v>2</v>
      </c>
      <c r="AE1154">
        <v>3</v>
      </c>
      <c r="AF1154">
        <v>2</v>
      </c>
      <c r="AG1154">
        <v>2</v>
      </c>
      <c r="AH1154">
        <v>2</v>
      </c>
      <c r="AI1154">
        <v>2</v>
      </c>
      <c r="AJ1154">
        <f t="shared" si="170"/>
        <v>0</v>
      </c>
      <c r="AK1154">
        <f t="shared" si="171"/>
        <v>0</v>
      </c>
      <c r="AL1154">
        <f t="shared" si="172"/>
        <v>1</v>
      </c>
      <c r="AM1154">
        <f t="shared" si="173"/>
        <v>3.25</v>
      </c>
      <c r="AN1154">
        <f t="shared" si="174"/>
        <v>12468</v>
      </c>
      <c r="AO1154">
        <f t="shared" si="175"/>
        <v>0.5</v>
      </c>
      <c r="AP1154" t="str">
        <f t="shared" si="176"/>
        <v>Under 30</v>
      </c>
      <c r="AQ1154" t="str">
        <f t="shared" si="177"/>
        <v>Medium</v>
      </c>
      <c r="AR1154" t="str">
        <f t="shared" si="178"/>
        <v>Short</v>
      </c>
      <c r="AS1154">
        <f t="shared" si="179"/>
        <v>0</v>
      </c>
    </row>
    <row r="1155" spans="1:4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s="20">
        <v>1569</v>
      </c>
      <c r="T1155">
        <v>18420</v>
      </c>
      <c r="U1155">
        <v>1</v>
      </c>
      <c r="V1155" t="s">
        <v>42</v>
      </c>
      <c r="W1155" t="s">
        <v>35</v>
      </c>
      <c r="X1155" s="19">
        <v>12</v>
      </c>
      <c r="Y1155">
        <v>3</v>
      </c>
      <c r="Z1155">
        <v>3</v>
      </c>
      <c r="AA1155">
        <v>80</v>
      </c>
      <c r="AB1155">
        <v>0</v>
      </c>
      <c r="AC1155">
        <v>0</v>
      </c>
      <c r="AD1155">
        <v>2</v>
      </c>
      <c r="AE1155">
        <v>4</v>
      </c>
      <c r="AF1155">
        <v>0</v>
      </c>
      <c r="AG1155">
        <v>0</v>
      </c>
      <c r="AH1155">
        <v>0</v>
      </c>
      <c r="AI1155">
        <v>0</v>
      </c>
      <c r="AJ1155">
        <f t="shared" ref="AJ1155:AJ1218" si="180">IF(B1155="Yes",1,0)</f>
        <v>1</v>
      </c>
      <c r="AK1155">
        <f t="shared" ref="AK1155:AK1218" si="181">IF(W1155="Yes",1,0)</f>
        <v>1</v>
      </c>
      <c r="AL1155">
        <f t="shared" ref="AL1155:AL1218" si="182">IF(L1155="Male",1,0)</f>
        <v>0</v>
      </c>
      <c r="AM1155">
        <f t="shared" ref="AM1155:AM1218" si="183">AVERAGE(K1155,Q1155,Z1155,AE1155)</f>
        <v>3.25</v>
      </c>
      <c r="AN1155">
        <f t="shared" ref="AN1155:AN1218" si="184">(S1155*12)/(AF1155+1)</f>
        <v>18828</v>
      </c>
      <c r="AO1155">
        <f t="shared" ref="AO1155:AO1218" si="185">AF1155/(AC1155+1)</f>
        <v>0</v>
      </c>
      <c r="AP1155" t="str">
        <f t="shared" ref="AP1155:AP1218" si="186">IF(A1155&lt;30,"Under 30",IF(A1155&lt;40,"30-39",IF(A1155&lt;50,"40-49","50+")))</f>
        <v>Under 30</v>
      </c>
      <c r="AQ1155" t="str">
        <f t="shared" ref="AQ1155:AQ1218" si="187">IF(S1155&lt;=$AV$1,"Low",IF(S1155&lt;=$AV$2,"Medium",IF(S1155&lt;=$AV$3,"High","Very High")))</f>
        <v>Low</v>
      </c>
      <c r="AR1155" t="str">
        <f t="shared" ref="AR1155:AR1218" si="188">IF(F1155&lt;=5,"Short",IF(F1155&lt;=15,"Medium","Long"))</f>
        <v>Short</v>
      </c>
      <c r="AS1155">
        <f t="shared" ref="AS1155:AS1218" si="189">IF(C1155="Travel_Frequently",1,0)</f>
        <v>1</v>
      </c>
    </row>
    <row r="1156" spans="1:4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s="20">
        <v>19658</v>
      </c>
      <c r="T1156">
        <v>5220</v>
      </c>
      <c r="U1156">
        <v>3</v>
      </c>
      <c r="V1156" t="s">
        <v>42</v>
      </c>
      <c r="W1156" t="s">
        <v>43</v>
      </c>
      <c r="X1156" s="19">
        <v>11</v>
      </c>
      <c r="Y1156">
        <v>3</v>
      </c>
      <c r="Z1156">
        <v>3</v>
      </c>
      <c r="AA1156">
        <v>80</v>
      </c>
      <c r="AB1156">
        <v>1</v>
      </c>
      <c r="AC1156">
        <v>27</v>
      </c>
      <c r="AD1156">
        <v>2</v>
      </c>
      <c r="AE1156">
        <v>3</v>
      </c>
      <c r="AF1156">
        <v>5</v>
      </c>
      <c r="AG1156">
        <v>2</v>
      </c>
      <c r="AH1156">
        <v>1</v>
      </c>
      <c r="AI1156">
        <v>0</v>
      </c>
      <c r="AJ1156">
        <f t="shared" si="180"/>
        <v>0</v>
      </c>
      <c r="AK1156">
        <f t="shared" si="181"/>
        <v>0</v>
      </c>
      <c r="AL1156">
        <f t="shared" si="182"/>
        <v>0</v>
      </c>
      <c r="AM1156">
        <f t="shared" si="183"/>
        <v>3.25</v>
      </c>
      <c r="AN1156">
        <f t="shared" si="184"/>
        <v>39316</v>
      </c>
      <c r="AO1156">
        <f t="shared" si="185"/>
        <v>0.17857142857142858</v>
      </c>
      <c r="AP1156" t="str">
        <f t="shared" si="186"/>
        <v>40-49</v>
      </c>
      <c r="AQ1156" t="str">
        <f t="shared" si="187"/>
        <v>Very High</v>
      </c>
      <c r="AR1156" t="str">
        <f t="shared" si="188"/>
        <v>Long</v>
      </c>
      <c r="AS1156">
        <f t="shared" si="189"/>
        <v>0</v>
      </c>
    </row>
    <row r="1157" spans="1:4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s="20">
        <v>3069</v>
      </c>
      <c r="T1157">
        <v>10302</v>
      </c>
      <c r="U1157">
        <v>0</v>
      </c>
      <c r="V1157" t="s">
        <v>42</v>
      </c>
      <c r="W1157" t="s">
        <v>43</v>
      </c>
      <c r="X1157" s="19">
        <v>15</v>
      </c>
      <c r="Y1157">
        <v>3</v>
      </c>
      <c r="Z1157">
        <v>4</v>
      </c>
      <c r="AA1157">
        <v>80</v>
      </c>
      <c r="AB1157">
        <v>1</v>
      </c>
      <c r="AC1157">
        <v>11</v>
      </c>
      <c r="AD1157">
        <v>3</v>
      </c>
      <c r="AE1157">
        <v>3</v>
      </c>
      <c r="AF1157">
        <v>10</v>
      </c>
      <c r="AG1157">
        <v>8</v>
      </c>
      <c r="AH1157">
        <v>0</v>
      </c>
      <c r="AI1157">
        <v>7</v>
      </c>
      <c r="AJ1157">
        <f t="shared" si="180"/>
        <v>0</v>
      </c>
      <c r="AK1157">
        <f t="shared" si="181"/>
        <v>0</v>
      </c>
      <c r="AL1157">
        <f t="shared" si="182"/>
        <v>1</v>
      </c>
      <c r="AM1157">
        <f t="shared" si="183"/>
        <v>3.25</v>
      </c>
      <c r="AN1157">
        <f t="shared" si="184"/>
        <v>3348</v>
      </c>
      <c r="AO1157">
        <f t="shared" si="185"/>
        <v>0.83333333333333337</v>
      </c>
      <c r="AP1157" t="str">
        <f t="shared" si="186"/>
        <v>30-39</v>
      </c>
      <c r="AQ1157" t="str">
        <f t="shared" si="187"/>
        <v>Medium</v>
      </c>
      <c r="AR1157" t="str">
        <f t="shared" si="188"/>
        <v>Short</v>
      </c>
      <c r="AS1157">
        <f t="shared" si="189"/>
        <v>0</v>
      </c>
    </row>
    <row r="1158" spans="1:4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s="20">
        <v>10435</v>
      </c>
      <c r="T1158">
        <v>25800</v>
      </c>
      <c r="U1158">
        <v>1</v>
      </c>
      <c r="V1158" t="s">
        <v>42</v>
      </c>
      <c r="W1158" t="s">
        <v>43</v>
      </c>
      <c r="X1158" s="19">
        <v>13</v>
      </c>
      <c r="Y1158">
        <v>3</v>
      </c>
      <c r="Z1158">
        <v>4</v>
      </c>
      <c r="AA1158">
        <v>80</v>
      </c>
      <c r="AB1158">
        <v>2</v>
      </c>
      <c r="AC1158">
        <v>18</v>
      </c>
      <c r="AD1158">
        <v>2</v>
      </c>
      <c r="AE1158">
        <v>3</v>
      </c>
      <c r="AF1158">
        <v>18</v>
      </c>
      <c r="AG1158">
        <v>15</v>
      </c>
      <c r="AH1158">
        <v>14</v>
      </c>
      <c r="AI1158">
        <v>12</v>
      </c>
      <c r="AJ1158">
        <f t="shared" si="180"/>
        <v>0</v>
      </c>
      <c r="AK1158">
        <f t="shared" si="181"/>
        <v>0</v>
      </c>
      <c r="AL1158">
        <f t="shared" si="182"/>
        <v>0</v>
      </c>
      <c r="AM1158">
        <f t="shared" si="183"/>
        <v>2.75</v>
      </c>
      <c r="AN1158">
        <f t="shared" si="184"/>
        <v>6590.5263157894733</v>
      </c>
      <c r="AO1158">
        <f t="shared" si="185"/>
        <v>0.94736842105263153</v>
      </c>
      <c r="AP1158" t="str">
        <f t="shared" si="186"/>
        <v>40-49</v>
      </c>
      <c r="AQ1158" t="str">
        <f t="shared" si="187"/>
        <v>Very High</v>
      </c>
      <c r="AR1158" t="str">
        <f t="shared" si="188"/>
        <v>Medium</v>
      </c>
      <c r="AS1158">
        <f t="shared" si="189"/>
        <v>0</v>
      </c>
    </row>
    <row r="1159" spans="1:4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s="20">
        <v>4148</v>
      </c>
      <c r="T1159">
        <v>12250</v>
      </c>
      <c r="U1159">
        <v>1</v>
      </c>
      <c r="V1159" t="s">
        <v>42</v>
      </c>
      <c r="W1159" t="s">
        <v>43</v>
      </c>
      <c r="X1159" s="19">
        <v>12</v>
      </c>
      <c r="Y1159">
        <v>3</v>
      </c>
      <c r="Z1159">
        <v>4</v>
      </c>
      <c r="AA1159">
        <v>80</v>
      </c>
      <c r="AB1159">
        <v>1</v>
      </c>
      <c r="AC1159">
        <v>15</v>
      </c>
      <c r="AD1159">
        <v>5</v>
      </c>
      <c r="AE1159">
        <v>3</v>
      </c>
      <c r="AF1159">
        <v>14</v>
      </c>
      <c r="AG1159">
        <v>11</v>
      </c>
      <c r="AH1159">
        <v>2</v>
      </c>
      <c r="AI1159">
        <v>9</v>
      </c>
      <c r="AJ1159">
        <f t="shared" si="180"/>
        <v>0</v>
      </c>
      <c r="AK1159">
        <f t="shared" si="181"/>
        <v>0</v>
      </c>
      <c r="AL1159">
        <f t="shared" si="182"/>
        <v>0</v>
      </c>
      <c r="AM1159">
        <f t="shared" si="183"/>
        <v>3.25</v>
      </c>
      <c r="AN1159">
        <f t="shared" si="184"/>
        <v>3318.4</v>
      </c>
      <c r="AO1159">
        <f t="shared" si="185"/>
        <v>0.875</v>
      </c>
      <c r="AP1159" t="str">
        <f t="shared" si="186"/>
        <v>30-39</v>
      </c>
      <c r="AQ1159" t="str">
        <f t="shared" si="187"/>
        <v>Medium</v>
      </c>
      <c r="AR1159" t="str">
        <f t="shared" si="188"/>
        <v>Medium</v>
      </c>
      <c r="AS1159">
        <f t="shared" si="189"/>
        <v>0</v>
      </c>
    </row>
    <row r="1160" spans="1:4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s="20">
        <v>5768</v>
      </c>
      <c r="T1160">
        <v>26493</v>
      </c>
      <c r="U1160">
        <v>3</v>
      </c>
      <c r="V1160" t="s">
        <v>42</v>
      </c>
      <c r="W1160" t="s">
        <v>43</v>
      </c>
      <c r="X1160" s="19">
        <v>17</v>
      </c>
      <c r="Y1160">
        <v>3</v>
      </c>
      <c r="Z1160">
        <v>1</v>
      </c>
      <c r="AA1160">
        <v>80</v>
      </c>
      <c r="AB1160">
        <v>3</v>
      </c>
      <c r="AC1160">
        <v>9</v>
      </c>
      <c r="AD1160">
        <v>2</v>
      </c>
      <c r="AE1160">
        <v>2</v>
      </c>
      <c r="AF1160">
        <v>4</v>
      </c>
      <c r="AG1160">
        <v>3</v>
      </c>
      <c r="AH1160">
        <v>0</v>
      </c>
      <c r="AI1160">
        <v>2</v>
      </c>
      <c r="AJ1160">
        <f t="shared" si="180"/>
        <v>0</v>
      </c>
      <c r="AK1160">
        <f t="shared" si="181"/>
        <v>0</v>
      </c>
      <c r="AL1160">
        <f t="shared" si="182"/>
        <v>1</v>
      </c>
      <c r="AM1160">
        <f t="shared" si="183"/>
        <v>2.25</v>
      </c>
      <c r="AN1160">
        <f t="shared" si="184"/>
        <v>13843.2</v>
      </c>
      <c r="AO1160">
        <f t="shared" si="185"/>
        <v>0.4</v>
      </c>
      <c r="AP1160" t="str">
        <f t="shared" si="186"/>
        <v>30-39</v>
      </c>
      <c r="AQ1160" t="str">
        <f t="shared" si="187"/>
        <v>High</v>
      </c>
      <c r="AR1160" t="str">
        <f t="shared" si="188"/>
        <v>Long</v>
      </c>
      <c r="AS1160">
        <f t="shared" si="189"/>
        <v>0</v>
      </c>
    </row>
    <row r="1161" spans="1:4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s="20">
        <v>5042</v>
      </c>
      <c r="T1161">
        <v>3140</v>
      </c>
      <c r="U1161">
        <v>0</v>
      </c>
      <c r="V1161" t="s">
        <v>42</v>
      </c>
      <c r="W1161" t="s">
        <v>43</v>
      </c>
      <c r="X1161" s="19">
        <v>13</v>
      </c>
      <c r="Y1161">
        <v>3</v>
      </c>
      <c r="Z1161">
        <v>4</v>
      </c>
      <c r="AA1161">
        <v>80</v>
      </c>
      <c r="AB1161">
        <v>0</v>
      </c>
      <c r="AC1161">
        <v>10</v>
      </c>
      <c r="AD1161">
        <v>2</v>
      </c>
      <c r="AE1161">
        <v>1</v>
      </c>
      <c r="AF1161">
        <v>9</v>
      </c>
      <c r="AG1161">
        <v>2</v>
      </c>
      <c r="AH1161">
        <v>3</v>
      </c>
      <c r="AI1161">
        <v>8</v>
      </c>
      <c r="AJ1161">
        <f t="shared" si="180"/>
        <v>0</v>
      </c>
      <c r="AK1161">
        <f t="shared" si="181"/>
        <v>0</v>
      </c>
      <c r="AL1161">
        <f t="shared" si="182"/>
        <v>0</v>
      </c>
      <c r="AM1161">
        <f t="shared" si="183"/>
        <v>2.25</v>
      </c>
      <c r="AN1161">
        <f t="shared" si="184"/>
        <v>6050.4</v>
      </c>
      <c r="AO1161">
        <f t="shared" si="185"/>
        <v>0.81818181818181823</v>
      </c>
      <c r="AP1161" t="str">
        <f t="shared" si="186"/>
        <v>30-39</v>
      </c>
      <c r="AQ1161" t="str">
        <f t="shared" si="187"/>
        <v>High</v>
      </c>
      <c r="AR1161" t="str">
        <f t="shared" si="188"/>
        <v>Short</v>
      </c>
      <c r="AS1161">
        <f t="shared" si="189"/>
        <v>1</v>
      </c>
    </row>
    <row r="1162" spans="1:4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s="20">
        <v>5770</v>
      </c>
      <c r="T1162">
        <v>5388</v>
      </c>
      <c r="U1162">
        <v>1</v>
      </c>
      <c r="V1162" t="s">
        <v>42</v>
      </c>
      <c r="W1162" t="s">
        <v>43</v>
      </c>
      <c r="X1162" s="19">
        <v>19</v>
      </c>
      <c r="Y1162">
        <v>3</v>
      </c>
      <c r="Z1162">
        <v>1</v>
      </c>
      <c r="AA1162">
        <v>80</v>
      </c>
      <c r="AB1162">
        <v>2</v>
      </c>
      <c r="AC1162">
        <v>10</v>
      </c>
      <c r="AD1162">
        <v>3</v>
      </c>
      <c r="AE1162">
        <v>3</v>
      </c>
      <c r="AF1162">
        <v>10</v>
      </c>
      <c r="AG1162">
        <v>7</v>
      </c>
      <c r="AH1162">
        <v>3</v>
      </c>
      <c r="AI1162">
        <v>9</v>
      </c>
      <c r="AJ1162">
        <f t="shared" si="180"/>
        <v>0</v>
      </c>
      <c r="AK1162">
        <f t="shared" si="181"/>
        <v>0</v>
      </c>
      <c r="AL1162">
        <f t="shared" si="182"/>
        <v>0</v>
      </c>
      <c r="AM1162">
        <f t="shared" si="183"/>
        <v>3</v>
      </c>
      <c r="AN1162">
        <f t="shared" si="184"/>
        <v>6294.545454545455</v>
      </c>
      <c r="AO1162">
        <f t="shared" si="185"/>
        <v>0.90909090909090906</v>
      </c>
      <c r="AP1162" t="str">
        <f t="shared" si="186"/>
        <v>40-49</v>
      </c>
      <c r="AQ1162" t="str">
        <f t="shared" si="187"/>
        <v>High</v>
      </c>
      <c r="AR1162" t="str">
        <f t="shared" si="188"/>
        <v>Short</v>
      </c>
      <c r="AS1162">
        <f t="shared" si="189"/>
        <v>0</v>
      </c>
    </row>
    <row r="1163" spans="1:4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s="20">
        <v>7756</v>
      </c>
      <c r="T1163">
        <v>14199</v>
      </c>
      <c r="U1163">
        <v>3</v>
      </c>
      <c r="V1163" t="s">
        <v>42</v>
      </c>
      <c r="W1163" t="s">
        <v>35</v>
      </c>
      <c r="X1163" s="19">
        <v>19</v>
      </c>
      <c r="Y1163">
        <v>3</v>
      </c>
      <c r="Z1163">
        <v>4</v>
      </c>
      <c r="AA1163">
        <v>80</v>
      </c>
      <c r="AB1163">
        <v>1</v>
      </c>
      <c r="AC1163">
        <v>10</v>
      </c>
      <c r="AD1163">
        <v>6</v>
      </c>
      <c r="AE1163">
        <v>4</v>
      </c>
      <c r="AF1163">
        <v>5</v>
      </c>
      <c r="AG1163">
        <v>4</v>
      </c>
      <c r="AH1163">
        <v>0</v>
      </c>
      <c r="AI1163">
        <v>2</v>
      </c>
      <c r="AJ1163">
        <f t="shared" si="180"/>
        <v>0</v>
      </c>
      <c r="AK1163">
        <f t="shared" si="181"/>
        <v>1</v>
      </c>
      <c r="AL1163">
        <f t="shared" si="182"/>
        <v>0</v>
      </c>
      <c r="AM1163">
        <f t="shared" si="183"/>
        <v>3.75</v>
      </c>
      <c r="AN1163">
        <f t="shared" si="184"/>
        <v>15512</v>
      </c>
      <c r="AO1163">
        <f t="shared" si="185"/>
        <v>0.45454545454545453</v>
      </c>
      <c r="AP1163" t="str">
        <f t="shared" si="186"/>
        <v>30-39</v>
      </c>
      <c r="AQ1163" t="str">
        <f t="shared" si="187"/>
        <v>High</v>
      </c>
      <c r="AR1163" t="str">
        <f t="shared" si="188"/>
        <v>Short</v>
      </c>
      <c r="AS1163">
        <f t="shared" si="189"/>
        <v>0</v>
      </c>
    </row>
    <row r="1164" spans="1:4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s="20">
        <v>10306</v>
      </c>
      <c r="T1164">
        <v>21530</v>
      </c>
      <c r="U1164">
        <v>9</v>
      </c>
      <c r="V1164" t="s">
        <v>42</v>
      </c>
      <c r="W1164" t="s">
        <v>43</v>
      </c>
      <c r="X1164" s="19">
        <v>17</v>
      </c>
      <c r="Y1164">
        <v>3</v>
      </c>
      <c r="Z1164">
        <v>3</v>
      </c>
      <c r="AA1164">
        <v>80</v>
      </c>
      <c r="AB1164">
        <v>0</v>
      </c>
      <c r="AC1164">
        <v>15</v>
      </c>
      <c r="AD1164">
        <v>3</v>
      </c>
      <c r="AE1164">
        <v>3</v>
      </c>
      <c r="AF1164">
        <v>13</v>
      </c>
      <c r="AG1164">
        <v>12</v>
      </c>
      <c r="AH1164">
        <v>6</v>
      </c>
      <c r="AI1164">
        <v>0</v>
      </c>
      <c r="AJ1164">
        <f t="shared" si="180"/>
        <v>1</v>
      </c>
      <c r="AK1164">
        <f t="shared" si="181"/>
        <v>0</v>
      </c>
      <c r="AL1164">
        <f t="shared" si="182"/>
        <v>1</v>
      </c>
      <c r="AM1164">
        <f t="shared" si="183"/>
        <v>2.75</v>
      </c>
      <c r="AN1164">
        <f t="shared" si="184"/>
        <v>8833.7142857142862</v>
      </c>
      <c r="AO1164">
        <f t="shared" si="185"/>
        <v>0.8125</v>
      </c>
      <c r="AP1164" t="str">
        <f t="shared" si="186"/>
        <v>30-39</v>
      </c>
      <c r="AQ1164" t="str">
        <f t="shared" si="187"/>
        <v>Very High</v>
      </c>
      <c r="AR1164" t="str">
        <f t="shared" si="188"/>
        <v>Medium</v>
      </c>
      <c r="AS1164">
        <f t="shared" si="189"/>
        <v>0</v>
      </c>
    </row>
    <row r="1165" spans="1:4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s="20">
        <v>3936</v>
      </c>
      <c r="T1165">
        <v>9953</v>
      </c>
      <c r="U1165">
        <v>1</v>
      </c>
      <c r="V1165" t="s">
        <v>42</v>
      </c>
      <c r="W1165" t="s">
        <v>43</v>
      </c>
      <c r="X1165" s="19">
        <v>11</v>
      </c>
      <c r="Y1165">
        <v>3</v>
      </c>
      <c r="Z1165">
        <v>1</v>
      </c>
      <c r="AA1165">
        <v>80</v>
      </c>
      <c r="AB1165">
        <v>1</v>
      </c>
      <c r="AC1165">
        <v>8</v>
      </c>
      <c r="AD1165">
        <v>2</v>
      </c>
      <c r="AE1165">
        <v>1</v>
      </c>
      <c r="AF1165">
        <v>8</v>
      </c>
      <c r="AG1165">
        <v>4</v>
      </c>
      <c r="AH1165">
        <v>7</v>
      </c>
      <c r="AI1165">
        <v>7</v>
      </c>
      <c r="AJ1165">
        <f t="shared" si="180"/>
        <v>0</v>
      </c>
      <c r="AK1165">
        <f t="shared" si="181"/>
        <v>0</v>
      </c>
      <c r="AL1165">
        <f t="shared" si="182"/>
        <v>0</v>
      </c>
      <c r="AM1165">
        <f t="shared" si="183"/>
        <v>1.5</v>
      </c>
      <c r="AN1165">
        <f t="shared" si="184"/>
        <v>5248</v>
      </c>
      <c r="AO1165">
        <f t="shared" si="185"/>
        <v>0.88888888888888884</v>
      </c>
      <c r="AP1165" t="str">
        <f t="shared" si="186"/>
        <v>30-39</v>
      </c>
      <c r="AQ1165" t="str">
        <f t="shared" si="187"/>
        <v>Medium</v>
      </c>
      <c r="AR1165" t="str">
        <f t="shared" si="188"/>
        <v>Medium</v>
      </c>
      <c r="AS1165">
        <f t="shared" si="189"/>
        <v>0</v>
      </c>
    </row>
    <row r="1166" spans="1:4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s="20">
        <v>7945</v>
      </c>
      <c r="T1166">
        <v>19948</v>
      </c>
      <c r="U1166">
        <v>6</v>
      </c>
      <c r="V1166" t="s">
        <v>42</v>
      </c>
      <c r="W1166" t="s">
        <v>35</v>
      </c>
      <c r="X1166" s="19">
        <v>15</v>
      </c>
      <c r="Y1166">
        <v>3</v>
      </c>
      <c r="Z1166">
        <v>4</v>
      </c>
      <c r="AA1166">
        <v>80</v>
      </c>
      <c r="AB1166">
        <v>0</v>
      </c>
      <c r="AC1166">
        <v>18</v>
      </c>
      <c r="AD1166">
        <v>2</v>
      </c>
      <c r="AE1166">
        <v>2</v>
      </c>
      <c r="AF1166">
        <v>4</v>
      </c>
      <c r="AG1166">
        <v>2</v>
      </c>
      <c r="AH1166">
        <v>3</v>
      </c>
      <c r="AI1166">
        <v>3</v>
      </c>
      <c r="AJ1166">
        <f t="shared" si="180"/>
        <v>0</v>
      </c>
      <c r="AK1166">
        <f t="shared" si="181"/>
        <v>1</v>
      </c>
      <c r="AL1166">
        <f t="shared" si="182"/>
        <v>0</v>
      </c>
      <c r="AM1166">
        <f t="shared" si="183"/>
        <v>3.25</v>
      </c>
      <c r="AN1166">
        <f t="shared" si="184"/>
        <v>19068</v>
      </c>
      <c r="AO1166">
        <f t="shared" si="185"/>
        <v>0.21052631578947367</v>
      </c>
      <c r="AP1166" t="str">
        <f t="shared" si="186"/>
        <v>40-49</v>
      </c>
      <c r="AQ1166" t="str">
        <f t="shared" si="187"/>
        <v>High</v>
      </c>
      <c r="AR1166" t="str">
        <f t="shared" si="188"/>
        <v>Long</v>
      </c>
      <c r="AS1166">
        <f t="shared" si="189"/>
        <v>0</v>
      </c>
    </row>
    <row r="1167" spans="1:4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s="20">
        <v>5743</v>
      </c>
      <c r="T1167">
        <v>10503</v>
      </c>
      <c r="U1167">
        <v>4</v>
      </c>
      <c r="V1167" t="s">
        <v>42</v>
      </c>
      <c r="W1167" t="s">
        <v>35</v>
      </c>
      <c r="X1167" s="19">
        <v>11</v>
      </c>
      <c r="Y1167">
        <v>3</v>
      </c>
      <c r="Z1167">
        <v>3</v>
      </c>
      <c r="AA1167">
        <v>80</v>
      </c>
      <c r="AB1167">
        <v>0</v>
      </c>
      <c r="AC1167">
        <v>14</v>
      </c>
      <c r="AD1167">
        <v>3</v>
      </c>
      <c r="AE1167">
        <v>3</v>
      </c>
      <c r="AF1167">
        <v>10</v>
      </c>
      <c r="AG1167">
        <v>7</v>
      </c>
      <c r="AH1167">
        <v>0</v>
      </c>
      <c r="AI1167">
        <v>2</v>
      </c>
      <c r="AJ1167">
        <f t="shared" si="180"/>
        <v>0</v>
      </c>
      <c r="AK1167">
        <f t="shared" si="181"/>
        <v>1</v>
      </c>
      <c r="AL1167">
        <f t="shared" si="182"/>
        <v>1</v>
      </c>
      <c r="AM1167">
        <f t="shared" si="183"/>
        <v>2.75</v>
      </c>
      <c r="AN1167">
        <f t="shared" si="184"/>
        <v>6265.090909090909</v>
      </c>
      <c r="AO1167">
        <f t="shared" si="185"/>
        <v>0.66666666666666663</v>
      </c>
      <c r="AP1167" t="str">
        <f t="shared" si="186"/>
        <v>40-49</v>
      </c>
      <c r="AQ1167" t="str">
        <f t="shared" si="187"/>
        <v>High</v>
      </c>
      <c r="AR1167" t="str">
        <f t="shared" si="188"/>
        <v>Short</v>
      </c>
      <c r="AS1167">
        <f t="shared" si="189"/>
        <v>1</v>
      </c>
    </row>
    <row r="1168" spans="1:4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s="20">
        <v>15202</v>
      </c>
      <c r="T1168">
        <v>5602</v>
      </c>
      <c r="U1168">
        <v>2</v>
      </c>
      <c r="V1168" t="s">
        <v>42</v>
      </c>
      <c r="W1168" t="s">
        <v>43</v>
      </c>
      <c r="X1168" s="19">
        <v>25</v>
      </c>
      <c r="Y1168">
        <v>4</v>
      </c>
      <c r="Z1168">
        <v>2</v>
      </c>
      <c r="AA1168">
        <v>80</v>
      </c>
      <c r="AB1168">
        <v>1</v>
      </c>
      <c r="AC1168">
        <v>23</v>
      </c>
      <c r="AD1168">
        <v>3</v>
      </c>
      <c r="AE1168">
        <v>3</v>
      </c>
      <c r="AF1168">
        <v>2</v>
      </c>
      <c r="AG1168">
        <v>2</v>
      </c>
      <c r="AH1168">
        <v>2</v>
      </c>
      <c r="AI1168">
        <v>2</v>
      </c>
      <c r="AJ1168">
        <f t="shared" si="180"/>
        <v>0</v>
      </c>
      <c r="AK1168">
        <f t="shared" si="181"/>
        <v>0</v>
      </c>
      <c r="AL1168">
        <f t="shared" si="182"/>
        <v>1</v>
      </c>
      <c r="AM1168">
        <f t="shared" si="183"/>
        <v>3</v>
      </c>
      <c r="AN1168">
        <f t="shared" si="184"/>
        <v>60808</v>
      </c>
      <c r="AO1168">
        <f t="shared" si="185"/>
        <v>8.3333333333333329E-2</v>
      </c>
      <c r="AP1168" t="str">
        <f t="shared" si="186"/>
        <v>40-49</v>
      </c>
      <c r="AQ1168" t="str">
        <f t="shared" si="187"/>
        <v>Very High</v>
      </c>
      <c r="AR1168" t="str">
        <f t="shared" si="188"/>
        <v>Short</v>
      </c>
      <c r="AS1168">
        <f t="shared" si="189"/>
        <v>1</v>
      </c>
    </row>
    <row r="1169" spans="1:4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s="20">
        <v>5440</v>
      </c>
      <c r="T1169">
        <v>22098</v>
      </c>
      <c r="U1169">
        <v>6</v>
      </c>
      <c r="V1169" t="s">
        <v>42</v>
      </c>
      <c r="W1169" t="s">
        <v>35</v>
      </c>
      <c r="X1169" s="19">
        <v>14</v>
      </c>
      <c r="Y1169">
        <v>3</v>
      </c>
      <c r="Z1169">
        <v>4</v>
      </c>
      <c r="AA1169">
        <v>80</v>
      </c>
      <c r="AB1169">
        <v>2</v>
      </c>
      <c r="AC1169">
        <v>7</v>
      </c>
      <c r="AD1169">
        <v>2</v>
      </c>
      <c r="AE1169">
        <v>2</v>
      </c>
      <c r="AF1169">
        <v>2</v>
      </c>
      <c r="AG1169">
        <v>2</v>
      </c>
      <c r="AH1169">
        <v>2</v>
      </c>
      <c r="AI1169">
        <v>2</v>
      </c>
      <c r="AJ1169">
        <f t="shared" si="180"/>
        <v>1</v>
      </c>
      <c r="AK1169">
        <f t="shared" si="181"/>
        <v>1</v>
      </c>
      <c r="AL1169">
        <f t="shared" si="182"/>
        <v>1</v>
      </c>
      <c r="AM1169">
        <f t="shared" si="183"/>
        <v>2.75</v>
      </c>
      <c r="AN1169">
        <f t="shared" si="184"/>
        <v>21760</v>
      </c>
      <c r="AO1169">
        <f t="shared" si="185"/>
        <v>0.25</v>
      </c>
      <c r="AP1169" t="str">
        <f t="shared" si="186"/>
        <v>30-39</v>
      </c>
      <c r="AQ1169" t="str">
        <f t="shared" si="187"/>
        <v>High</v>
      </c>
      <c r="AR1169" t="str">
        <f t="shared" si="188"/>
        <v>Medium</v>
      </c>
      <c r="AS1169">
        <f t="shared" si="189"/>
        <v>0</v>
      </c>
    </row>
    <row r="1170" spans="1:4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s="20">
        <v>3760</v>
      </c>
      <c r="T1170">
        <v>17218</v>
      </c>
      <c r="U1170">
        <v>1</v>
      </c>
      <c r="V1170" t="s">
        <v>42</v>
      </c>
      <c r="W1170" t="s">
        <v>35</v>
      </c>
      <c r="X1170" s="19">
        <v>13</v>
      </c>
      <c r="Y1170">
        <v>3</v>
      </c>
      <c r="Z1170">
        <v>3</v>
      </c>
      <c r="AA1170">
        <v>80</v>
      </c>
      <c r="AB1170">
        <v>0</v>
      </c>
      <c r="AC1170">
        <v>6</v>
      </c>
      <c r="AD1170">
        <v>2</v>
      </c>
      <c r="AE1170">
        <v>3</v>
      </c>
      <c r="AF1170">
        <v>6</v>
      </c>
      <c r="AG1170">
        <v>3</v>
      </c>
      <c r="AH1170">
        <v>1</v>
      </c>
      <c r="AI1170">
        <v>3</v>
      </c>
      <c r="AJ1170">
        <f t="shared" si="180"/>
        <v>0</v>
      </c>
      <c r="AK1170">
        <f t="shared" si="181"/>
        <v>1</v>
      </c>
      <c r="AL1170">
        <f t="shared" si="182"/>
        <v>0</v>
      </c>
      <c r="AM1170">
        <f t="shared" si="183"/>
        <v>2.75</v>
      </c>
      <c r="AN1170">
        <f t="shared" si="184"/>
        <v>6445.7142857142853</v>
      </c>
      <c r="AO1170">
        <f t="shared" si="185"/>
        <v>0.8571428571428571</v>
      </c>
      <c r="AP1170" t="str">
        <f t="shared" si="186"/>
        <v>Under 30</v>
      </c>
      <c r="AQ1170" t="str">
        <f t="shared" si="187"/>
        <v>Medium</v>
      </c>
      <c r="AR1170" t="str">
        <f t="shared" si="188"/>
        <v>Short</v>
      </c>
      <c r="AS1170">
        <f t="shared" si="189"/>
        <v>1</v>
      </c>
    </row>
    <row r="1171" spans="1:4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s="20">
        <v>3517</v>
      </c>
      <c r="T1171">
        <v>22490</v>
      </c>
      <c r="U1171">
        <v>7</v>
      </c>
      <c r="V1171" t="s">
        <v>42</v>
      </c>
      <c r="W1171" t="s">
        <v>43</v>
      </c>
      <c r="X1171" s="19">
        <v>17</v>
      </c>
      <c r="Y1171">
        <v>3</v>
      </c>
      <c r="Z1171">
        <v>1</v>
      </c>
      <c r="AA1171">
        <v>80</v>
      </c>
      <c r="AB1171">
        <v>0</v>
      </c>
      <c r="AC1171">
        <v>5</v>
      </c>
      <c r="AD1171">
        <v>0</v>
      </c>
      <c r="AE1171">
        <v>3</v>
      </c>
      <c r="AF1171">
        <v>3</v>
      </c>
      <c r="AG1171">
        <v>2</v>
      </c>
      <c r="AH1171">
        <v>0</v>
      </c>
      <c r="AI1171">
        <v>2</v>
      </c>
      <c r="AJ1171">
        <f t="shared" si="180"/>
        <v>0</v>
      </c>
      <c r="AK1171">
        <f t="shared" si="181"/>
        <v>0</v>
      </c>
      <c r="AL1171">
        <f t="shared" si="182"/>
        <v>0</v>
      </c>
      <c r="AM1171">
        <f t="shared" si="183"/>
        <v>2.25</v>
      </c>
      <c r="AN1171">
        <f t="shared" si="184"/>
        <v>10551</v>
      </c>
      <c r="AO1171">
        <f t="shared" si="185"/>
        <v>0.5</v>
      </c>
      <c r="AP1171" t="str">
        <f t="shared" si="186"/>
        <v>Under 30</v>
      </c>
      <c r="AQ1171" t="str">
        <f t="shared" si="187"/>
        <v>Medium</v>
      </c>
      <c r="AR1171" t="str">
        <f t="shared" si="188"/>
        <v>Medium</v>
      </c>
      <c r="AS1171">
        <f t="shared" si="189"/>
        <v>0</v>
      </c>
    </row>
    <row r="1172" spans="1:4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s="20">
        <v>2580</v>
      </c>
      <c r="T1172">
        <v>6297</v>
      </c>
      <c r="U1172">
        <v>2</v>
      </c>
      <c r="V1172" t="s">
        <v>42</v>
      </c>
      <c r="W1172" t="s">
        <v>43</v>
      </c>
      <c r="X1172" s="19">
        <v>13</v>
      </c>
      <c r="Y1172">
        <v>3</v>
      </c>
      <c r="Z1172">
        <v>3</v>
      </c>
      <c r="AA1172">
        <v>80</v>
      </c>
      <c r="AB1172">
        <v>0</v>
      </c>
      <c r="AC1172">
        <v>6</v>
      </c>
      <c r="AD1172">
        <v>0</v>
      </c>
      <c r="AE1172">
        <v>2</v>
      </c>
      <c r="AF1172">
        <v>4</v>
      </c>
      <c r="AG1172">
        <v>2</v>
      </c>
      <c r="AH1172">
        <v>1</v>
      </c>
      <c r="AI1172">
        <v>2</v>
      </c>
      <c r="AJ1172">
        <f t="shared" si="180"/>
        <v>0</v>
      </c>
      <c r="AK1172">
        <f t="shared" si="181"/>
        <v>0</v>
      </c>
      <c r="AL1172">
        <f t="shared" si="182"/>
        <v>1</v>
      </c>
      <c r="AM1172">
        <f t="shared" si="183"/>
        <v>3.25</v>
      </c>
      <c r="AN1172">
        <f t="shared" si="184"/>
        <v>6192</v>
      </c>
      <c r="AO1172">
        <f t="shared" si="185"/>
        <v>0.5714285714285714</v>
      </c>
      <c r="AP1172" t="str">
        <f t="shared" si="186"/>
        <v>Under 30</v>
      </c>
      <c r="AQ1172" t="str">
        <f t="shared" si="187"/>
        <v>Low</v>
      </c>
      <c r="AR1172" t="str">
        <f t="shared" si="188"/>
        <v>Short</v>
      </c>
      <c r="AS1172">
        <f t="shared" si="189"/>
        <v>1</v>
      </c>
    </row>
    <row r="1173" spans="1:4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s="20">
        <v>2166</v>
      </c>
      <c r="T1173">
        <v>3339</v>
      </c>
      <c r="U1173">
        <v>3</v>
      </c>
      <c r="V1173" t="s">
        <v>42</v>
      </c>
      <c r="W1173" t="s">
        <v>35</v>
      </c>
      <c r="X1173" s="19">
        <v>14</v>
      </c>
      <c r="Y1173">
        <v>3</v>
      </c>
      <c r="Z1173">
        <v>2</v>
      </c>
      <c r="AA1173">
        <v>80</v>
      </c>
      <c r="AB1173">
        <v>0</v>
      </c>
      <c r="AC1173">
        <v>10</v>
      </c>
      <c r="AD1173">
        <v>3</v>
      </c>
      <c r="AE1173">
        <v>1</v>
      </c>
      <c r="AF1173">
        <v>4</v>
      </c>
      <c r="AG1173">
        <v>2</v>
      </c>
      <c r="AH1173">
        <v>0</v>
      </c>
      <c r="AI1173">
        <v>3</v>
      </c>
      <c r="AJ1173">
        <f t="shared" si="180"/>
        <v>1</v>
      </c>
      <c r="AK1173">
        <f t="shared" si="181"/>
        <v>1</v>
      </c>
      <c r="AL1173">
        <f t="shared" si="182"/>
        <v>1</v>
      </c>
      <c r="AM1173">
        <f t="shared" si="183"/>
        <v>1.25</v>
      </c>
      <c r="AN1173">
        <f t="shared" si="184"/>
        <v>5198.3999999999996</v>
      </c>
      <c r="AO1173">
        <f t="shared" si="185"/>
        <v>0.36363636363636365</v>
      </c>
      <c r="AP1173" t="str">
        <f t="shared" si="186"/>
        <v>40-49</v>
      </c>
      <c r="AQ1173" t="str">
        <f t="shared" si="187"/>
        <v>Low</v>
      </c>
      <c r="AR1173" t="str">
        <f t="shared" si="188"/>
        <v>Medium</v>
      </c>
      <c r="AS1173">
        <f t="shared" si="189"/>
        <v>0</v>
      </c>
    </row>
    <row r="1174" spans="1:4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s="20">
        <v>5869</v>
      </c>
      <c r="T1174">
        <v>23413</v>
      </c>
      <c r="U1174">
        <v>9</v>
      </c>
      <c r="V1174" t="s">
        <v>42</v>
      </c>
      <c r="W1174" t="s">
        <v>43</v>
      </c>
      <c r="X1174" s="19">
        <v>11</v>
      </c>
      <c r="Y1174">
        <v>3</v>
      </c>
      <c r="Z1174">
        <v>3</v>
      </c>
      <c r="AA1174">
        <v>80</v>
      </c>
      <c r="AB1174">
        <v>0</v>
      </c>
      <c r="AC1174">
        <v>8</v>
      </c>
      <c r="AD1174">
        <v>2</v>
      </c>
      <c r="AE1174">
        <v>3</v>
      </c>
      <c r="AF1174">
        <v>5</v>
      </c>
      <c r="AG1174">
        <v>2</v>
      </c>
      <c r="AH1174">
        <v>1</v>
      </c>
      <c r="AI1174">
        <v>4</v>
      </c>
      <c r="AJ1174">
        <f t="shared" si="180"/>
        <v>0</v>
      </c>
      <c r="AK1174">
        <f t="shared" si="181"/>
        <v>0</v>
      </c>
      <c r="AL1174">
        <f t="shared" si="182"/>
        <v>1</v>
      </c>
      <c r="AM1174">
        <f t="shared" si="183"/>
        <v>3</v>
      </c>
      <c r="AN1174">
        <f t="shared" si="184"/>
        <v>11738</v>
      </c>
      <c r="AO1174">
        <f t="shared" si="185"/>
        <v>0.55555555555555558</v>
      </c>
      <c r="AP1174" t="str">
        <f t="shared" si="186"/>
        <v>Under 30</v>
      </c>
      <c r="AQ1174" t="str">
        <f t="shared" si="187"/>
        <v>High</v>
      </c>
      <c r="AR1174" t="str">
        <f t="shared" si="188"/>
        <v>Medium</v>
      </c>
      <c r="AS1174">
        <f t="shared" si="189"/>
        <v>0</v>
      </c>
    </row>
    <row r="1175" spans="1:4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s="20">
        <v>8008</v>
      </c>
      <c r="T1175">
        <v>22792</v>
      </c>
      <c r="U1175">
        <v>4</v>
      </c>
      <c r="V1175" t="s">
        <v>42</v>
      </c>
      <c r="W1175" t="s">
        <v>43</v>
      </c>
      <c r="X1175" s="19">
        <v>12</v>
      </c>
      <c r="Y1175">
        <v>3</v>
      </c>
      <c r="Z1175">
        <v>3</v>
      </c>
      <c r="AA1175">
        <v>80</v>
      </c>
      <c r="AB1175">
        <v>2</v>
      </c>
      <c r="AC1175">
        <v>9</v>
      </c>
      <c r="AD1175">
        <v>6</v>
      </c>
      <c r="AE1175">
        <v>3</v>
      </c>
      <c r="AF1175">
        <v>3</v>
      </c>
      <c r="AG1175">
        <v>2</v>
      </c>
      <c r="AH1175">
        <v>0</v>
      </c>
      <c r="AI1175">
        <v>2</v>
      </c>
      <c r="AJ1175">
        <f t="shared" si="180"/>
        <v>0</v>
      </c>
      <c r="AK1175">
        <f t="shared" si="181"/>
        <v>0</v>
      </c>
      <c r="AL1175">
        <f t="shared" si="182"/>
        <v>0</v>
      </c>
      <c r="AM1175">
        <f t="shared" si="183"/>
        <v>2.25</v>
      </c>
      <c r="AN1175">
        <f t="shared" si="184"/>
        <v>24024</v>
      </c>
      <c r="AO1175">
        <f t="shared" si="185"/>
        <v>0.3</v>
      </c>
      <c r="AP1175" t="str">
        <f t="shared" si="186"/>
        <v>30-39</v>
      </c>
      <c r="AQ1175" t="str">
        <f t="shared" si="187"/>
        <v>High</v>
      </c>
      <c r="AR1175" t="str">
        <f t="shared" si="188"/>
        <v>Short</v>
      </c>
      <c r="AS1175">
        <f t="shared" si="189"/>
        <v>0</v>
      </c>
    </row>
    <row r="1176" spans="1:4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s="20">
        <v>5206</v>
      </c>
      <c r="T1176">
        <v>4973</v>
      </c>
      <c r="U1176">
        <v>1</v>
      </c>
      <c r="V1176" t="s">
        <v>42</v>
      </c>
      <c r="W1176" t="s">
        <v>43</v>
      </c>
      <c r="X1176" s="19">
        <v>17</v>
      </c>
      <c r="Y1176">
        <v>3</v>
      </c>
      <c r="Z1176">
        <v>3</v>
      </c>
      <c r="AA1176">
        <v>80</v>
      </c>
      <c r="AB1176">
        <v>2</v>
      </c>
      <c r="AC1176">
        <v>7</v>
      </c>
      <c r="AD1176">
        <v>6</v>
      </c>
      <c r="AE1176">
        <v>3</v>
      </c>
      <c r="AF1176">
        <v>7</v>
      </c>
      <c r="AG1176">
        <v>7</v>
      </c>
      <c r="AH1176">
        <v>0</v>
      </c>
      <c r="AI1176">
        <v>7</v>
      </c>
      <c r="AJ1176">
        <f t="shared" si="180"/>
        <v>0</v>
      </c>
      <c r="AK1176">
        <f t="shared" si="181"/>
        <v>0</v>
      </c>
      <c r="AL1176">
        <f t="shared" si="182"/>
        <v>1</v>
      </c>
      <c r="AM1176">
        <f t="shared" si="183"/>
        <v>3.25</v>
      </c>
      <c r="AN1176">
        <f t="shared" si="184"/>
        <v>7809</v>
      </c>
      <c r="AO1176">
        <f t="shared" si="185"/>
        <v>0.875</v>
      </c>
      <c r="AP1176" t="str">
        <f t="shared" si="186"/>
        <v>Under 30</v>
      </c>
      <c r="AQ1176" t="str">
        <f t="shared" si="187"/>
        <v>High</v>
      </c>
      <c r="AR1176" t="str">
        <f t="shared" si="188"/>
        <v>Short</v>
      </c>
      <c r="AS1176">
        <f t="shared" si="189"/>
        <v>1</v>
      </c>
    </row>
    <row r="1177" spans="1:4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s="20">
        <v>5295</v>
      </c>
      <c r="T1177">
        <v>7693</v>
      </c>
      <c r="U1177">
        <v>4</v>
      </c>
      <c r="V1177" t="s">
        <v>42</v>
      </c>
      <c r="W1177" t="s">
        <v>43</v>
      </c>
      <c r="X1177" s="19">
        <v>21</v>
      </c>
      <c r="Y1177">
        <v>4</v>
      </c>
      <c r="Z1177">
        <v>3</v>
      </c>
      <c r="AA1177">
        <v>80</v>
      </c>
      <c r="AB1177">
        <v>0</v>
      </c>
      <c r="AC1177">
        <v>7</v>
      </c>
      <c r="AD1177">
        <v>3</v>
      </c>
      <c r="AE1177">
        <v>3</v>
      </c>
      <c r="AF1177">
        <v>5</v>
      </c>
      <c r="AG1177">
        <v>4</v>
      </c>
      <c r="AH1177">
        <v>1</v>
      </c>
      <c r="AI1177">
        <v>0</v>
      </c>
      <c r="AJ1177">
        <f t="shared" si="180"/>
        <v>0</v>
      </c>
      <c r="AK1177">
        <f t="shared" si="181"/>
        <v>0</v>
      </c>
      <c r="AL1177">
        <f t="shared" si="182"/>
        <v>1</v>
      </c>
      <c r="AM1177">
        <f t="shared" si="183"/>
        <v>3</v>
      </c>
      <c r="AN1177">
        <f t="shared" si="184"/>
        <v>10590</v>
      </c>
      <c r="AO1177">
        <f t="shared" si="185"/>
        <v>0.625</v>
      </c>
      <c r="AP1177" t="str">
        <f t="shared" si="186"/>
        <v>30-39</v>
      </c>
      <c r="AQ1177" t="str">
        <f t="shared" si="187"/>
        <v>High</v>
      </c>
      <c r="AR1177" t="str">
        <f t="shared" si="188"/>
        <v>Medium</v>
      </c>
      <c r="AS1177">
        <f t="shared" si="189"/>
        <v>0</v>
      </c>
    </row>
    <row r="1178" spans="1:4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s="20">
        <v>16413</v>
      </c>
      <c r="T1178">
        <v>3498</v>
      </c>
      <c r="U1178">
        <v>3</v>
      </c>
      <c r="V1178" t="s">
        <v>42</v>
      </c>
      <c r="W1178" t="s">
        <v>43</v>
      </c>
      <c r="X1178" s="19">
        <v>16</v>
      </c>
      <c r="Y1178">
        <v>3</v>
      </c>
      <c r="Z1178">
        <v>2</v>
      </c>
      <c r="AA1178">
        <v>80</v>
      </c>
      <c r="AB1178">
        <v>2</v>
      </c>
      <c r="AC1178">
        <v>27</v>
      </c>
      <c r="AD1178">
        <v>2</v>
      </c>
      <c r="AE1178">
        <v>3</v>
      </c>
      <c r="AF1178">
        <v>4</v>
      </c>
      <c r="AG1178">
        <v>2</v>
      </c>
      <c r="AH1178">
        <v>1</v>
      </c>
      <c r="AI1178">
        <v>2</v>
      </c>
      <c r="AJ1178">
        <f t="shared" si="180"/>
        <v>0</v>
      </c>
      <c r="AK1178">
        <f t="shared" si="181"/>
        <v>0</v>
      </c>
      <c r="AL1178">
        <f t="shared" si="182"/>
        <v>0</v>
      </c>
      <c r="AM1178">
        <f t="shared" si="183"/>
        <v>2</v>
      </c>
      <c r="AN1178">
        <f t="shared" si="184"/>
        <v>39391.199999999997</v>
      </c>
      <c r="AO1178">
        <f t="shared" si="185"/>
        <v>0.14285714285714285</v>
      </c>
      <c r="AP1178" t="str">
        <f t="shared" si="186"/>
        <v>40-49</v>
      </c>
      <c r="AQ1178" t="str">
        <f t="shared" si="187"/>
        <v>Very High</v>
      </c>
      <c r="AR1178" t="str">
        <f t="shared" si="188"/>
        <v>Long</v>
      </c>
      <c r="AS1178">
        <f t="shared" si="189"/>
        <v>0</v>
      </c>
    </row>
    <row r="1179" spans="1:4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s="20">
        <v>13269</v>
      </c>
      <c r="T1179">
        <v>21981</v>
      </c>
      <c r="U1179">
        <v>5</v>
      </c>
      <c r="V1179" t="s">
        <v>42</v>
      </c>
      <c r="W1179" t="s">
        <v>43</v>
      </c>
      <c r="X1179" s="19">
        <v>15</v>
      </c>
      <c r="Y1179">
        <v>3</v>
      </c>
      <c r="Z1179">
        <v>3</v>
      </c>
      <c r="AA1179">
        <v>80</v>
      </c>
      <c r="AB1179">
        <v>3</v>
      </c>
      <c r="AC1179">
        <v>19</v>
      </c>
      <c r="AD1179">
        <v>3</v>
      </c>
      <c r="AE1179">
        <v>3</v>
      </c>
      <c r="AF1179">
        <v>14</v>
      </c>
      <c r="AG1179">
        <v>11</v>
      </c>
      <c r="AH1179">
        <v>1</v>
      </c>
      <c r="AI1179">
        <v>11</v>
      </c>
      <c r="AJ1179">
        <f t="shared" si="180"/>
        <v>0</v>
      </c>
      <c r="AK1179">
        <f t="shared" si="181"/>
        <v>0</v>
      </c>
      <c r="AL1179">
        <f t="shared" si="182"/>
        <v>0</v>
      </c>
      <c r="AM1179">
        <f t="shared" si="183"/>
        <v>2.75</v>
      </c>
      <c r="AN1179">
        <f t="shared" si="184"/>
        <v>10615.2</v>
      </c>
      <c r="AO1179">
        <f t="shared" si="185"/>
        <v>0.7</v>
      </c>
      <c r="AP1179" t="str">
        <f t="shared" si="186"/>
        <v>50+</v>
      </c>
      <c r="AQ1179" t="str">
        <f t="shared" si="187"/>
        <v>Very High</v>
      </c>
      <c r="AR1179" t="str">
        <f t="shared" si="188"/>
        <v>Long</v>
      </c>
      <c r="AS1179">
        <f t="shared" si="189"/>
        <v>0</v>
      </c>
    </row>
    <row r="1180" spans="1:4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s="20">
        <v>2783</v>
      </c>
      <c r="T1180">
        <v>13251</v>
      </c>
      <c r="U1180">
        <v>1</v>
      </c>
      <c r="V1180" t="s">
        <v>42</v>
      </c>
      <c r="W1180" t="s">
        <v>43</v>
      </c>
      <c r="X1180" s="19">
        <v>19</v>
      </c>
      <c r="Y1180">
        <v>3</v>
      </c>
      <c r="Z1180">
        <v>1</v>
      </c>
      <c r="AA1180">
        <v>80</v>
      </c>
      <c r="AB1180">
        <v>0</v>
      </c>
      <c r="AC1180">
        <v>2</v>
      </c>
      <c r="AD1180">
        <v>3</v>
      </c>
      <c r="AE1180">
        <v>3</v>
      </c>
      <c r="AF1180">
        <v>2</v>
      </c>
      <c r="AG1180">
        <v>2</v>
      </c>
      <c r="AH1180">
        <v>2</v>
      </c>
      <c r="AI1180">
        <v>2</v>
      </c>
      <c r="AJ1180">
        <f t="shared" si="180"/>
        <v>0</v>
      </c>
      <c r="AK1180">
        <f t="shared" si="181"/>
        <v>0</v>
      </c>
      <c r="AL1180">
        <f t="shared" si="182"/>
        <v>0</v>
      </c>
      <c r="AM1180">
        <f t="shared" si="183"/>
        <v>2.5</v>
      </c>
      <c r="AN1180">
        <f t="shared" si="184"/>
        <v>11132</v>
      </c>
      <c r="AO1180">
        <f t="shared" si="185"/>
        <v>0.66666666666666663</v>
      </c>
      <c r="AP1180" t="str">
        <f t="shared" si="186"/>
        <v>Under 30</v>
      </c>
      <c r="AQ1180" t="str">
        <f t="shared" si="187"/>
        <v>Low</v>
      </c>
      <c r="AR1180" t="str">
        <f t="shared" si="188"/>
        <v>Short</v>
      </c>
      <c r="AS1180">
        <f t="shared" si="189"/>
        <v>0</v>
      </c>
    </row>
    <row r="1181" spans="1:4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s="20">
        <v>5433</v>
      </c>
      <c r="T1181">
        <v>19332</v>
      </c>
      <c r="U1181">
        <v>1</v>
      </c>
      <c r="V1181" t="s">
        <v>42</v>
      </c>
      <c r="W1181" t="s">
        <v>43</v>
      </c>
      <c r="X1181" s="19">
        <v>12</v>
      </c>
      <c r="Y1181">
        <v>3</v>
      </c>
      <c r="Z1181">
        <v>3</v>
      </c>
      <c r="AA1181">
        <v>80</v>
      </c>
      <c r="AB1181">
        <v>1</v>
      </c>
      <c r="AC1181">
        <v>11</v>
      </c>
      <c r="AD1181">
        <v>2</v>
      </c>
      <c r="AE1181">
        <v>3</v>
      </c>
      <c r="AF1181">
        <v>11</v>
      </c>
      <c r="AG1181">
        <v>8</v>
      </c>
      <c r="AH1181">
        <v>7</v>
      </c>
      <c r="AI1181">
        <v>9</v>
      </c>
      <c r="AJ1181">
        <f t="shared" si="180"/>
        <v>0</v>
      </c>
      <c r="AK1181">
        <f t="shared" si="181"/>
        <v>0</v>
      </c>
      <c r="AL1181">
        <f t="shared" si="182"/>
        <v>0</v>
      </c>
      <c r="AM1181">
        <f t="shared" si="183"/>
        <v>3</v>
      </c>
      <c r="AN1181">
        <f t="shared" si="184"/>
        <v>5433</v>
      </c>
      <c r="AO1181">
        <f t="shared" si="185"/>
        <v>0.91666666666666663</v>
      </c>
      <c r="AP1181" t="str">
        <f t="shared" si="186"/>
        <v>30-39</v>
      </c>
      <c r="AQ1181" t="str">
        <f t="shared" si="187"/>
        <v>High</v>
      </c>
      <c r="AR1181" t="str">
        <f t="shared" si="188"/>
        <v>Short</v>
      </c>
      <c r="AS1181">
        <f t="shared" si="189"/>
        <v>0</v>
      </c>
    </row>
    <row r="1182" spans="1:4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s="20">
        <v>2013</v>
      </c>
      <c r="T1182">
        <v>10950</v>
      </c>
      <c r="U1182">
        <v>2</v>
      </c>
      <c r="V1182" t="s">
        <v>42</v>
      </c>
      <c r="W1182" t="s">
        <v>43</v>
      </c>
      <c r="X1182" s="19">
        <v>11</v>
      </c>
      <c r="Y1182">
        <v>3</v>
      </c>
      <c r="Z1182">
        <v>3</v>
      </c>
      <c r="AA1182">
        <v>80</v>
      </c>
      <c r="AB1182">
        <v>0</v>
      </c>
      <c r="AC1182">
        <v>15</v>
      </c>
      <c r="AD1182">
        <v>4</v>
      </c>
      <c r="AE1182">
        <v>3</v>
      </c>
      <c r="AF1182">
        <v>4</v>
      </c>
      <c r="AG1182">
        <v>3</v>
      </c>
      <c r="AH1182">
        <v>1</v>
      </c>
      <c r="AI1182">
        <v>3</v>
      </c>
      <c r="AJ1182">
        <f t="shared" si="180"/>
        <v>0</v>
      </c>
      <c r="AK1182">
        <f t="shared" si="181"/>
        <v>0</v>
      </c>
      <c r="AL1182">
        <f t="shared" si="182"/>
        <v>1</v>
      </c>
      <c r="AM1182">
        <f t="shared" si="183"/>
        <v>2.25</v>
      </c>
      <c r="AN1182">
        <f t="shared" si="184"/>
        <v>4831.2</v>
      </c>
      <c r="AO1182">
        <f t="shared" si="185"/>
        <v>0.25</v>
      </c>
      <c r="AP1182" t="str">
        <f t="shared" si="186"/>
        <v>30-39</v>
      </c>
      <c r="AQ1182" t="str">
        <f t="shared" si="187"/>
        <v>Low</v>
      </c>
      <c r="AR1182" t="str">
        <f t="shared" si="188"/>
        <v>Medium</v>
      </c>
      <c r="AS1182">
        <f t="shared" si="189"/>
        <v>0</v>
      </c>
    </row>
    <row r="1183" spans="1:4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s="20">
        <v>13966</v>
      </c>
      <c r="T1183">
        <v>11652</v>
      </c>
      <c r="U1183">
        <v>2</v>
      </c>
      <c r="V1183" t="s">
        <v>42</v>
      </c>
      <c r="W1183" t="s">
        <v>35</v>
      </c>
      <c r="X1183" s="19">
        <v>19</v>
      </c>
      <c r="Y1183">
        <v>3</v>
      </c>
      <c r="Z1183">
        <v>2</v>
      </c>
      <c r="AA1183">
        <v>80</v>
      </c>
      <c r="AB1183">
        <v>1</v>
      </c>
      <c r="AC1183">
        <v>30</v>
      </c>
      <c r="AD1183">
        <v>3</v>
      </c>
      <c r="AE1183">
        <v>3</v>
      </c>
      <c r="AF1183">
        <v>15</v>
      </c>
      <c r="AG1183">
        <v>11</v>
      </c>
      <c r="AH1183">
        <v>2</v>
      </c>
      <c r="AI1183">
        <v>12</v>
      </c>
      <c r="AJ1183">
        <f t="shared" si="180"/>
        <v>0</v>
      </c>
      <c r="AK1183">
        <f t="shared" si="181"/>
        <v>1</v>
      </c>
      <c r="AL1183">
        <f t="shared" si="182"/>
        <v>0</v>
      </c>
      <c r="AM1183">
        <f t="shared" si="183"/>
        <v>2.75</v>
      </c>
      <c r="AN1183">
        <f t="shared" si="184"/>
        <v>10474.5</v>
      </c>
      <c r="AO1183">
        <f t="shared" si="185"/>
        <v>0.4838709677419355</v>
      </c>
      <c r="AP1183" t="str">
        <f t="shared" si="186"/>
        <v>40-49</v>
      </c>
      <c r="AQ1183" t="str">
        <f t="shared" si="187"/>
        <v>Very High</v>
      </c>
      <c r="AR1183" t="str">
        <f t="shared" si="188"/>
        <v>Medium</v>
      </c>
      <c r="AS1183">
        <f t="shared" si="189"/>
        <v>0</v>
      </c>
    </row>
    <row r="1184" spans="1:4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s="20">
        <v>4374</v>
      </c>
      <c r="T1184">
        <v>15411</v>
      </c>
      <c r="U1184">
        <v>0</v>
      </c>
      <c r="V1184" t="s">
        <v>42</v>
      </c>
      <c r="W1184" t="s">
        <v>43</v>
      </c>
      <c r="X1184" s="19">
        <v>15</v>
      </c>
      <c r="Y1184">
        <v>3</v>
      </c>
      <c r="Z1184">
        <v>3</v>
      </c>
      <c r="AA1184">
        <v>80</v>
      </c>
      <c r="AB1184">
        <v>0</v>
      </c>
      <c r="AC1184">
        <v>4</v>
      </c>
      <c r="AD1184">
        <v>6</v>
      </c>
      <c r="AE1184">
        <v>3</v>
      </c>
      <c r="AF1184">
        <v>3</v>
      </c>
      <c r="AG1184">
        <v>2</v>
      </c>
      <c r="AH1184">
        <v>1</v>
      </c>
      <c r="AI1184">
        <v>2</v>
      </c>
      <c r="AJ1184">
        <f t="shared" si="180"/>
        <v>0</v>
      </c>
      <c r="AK1184">
        <f t="shared" si="181"/>
        <v>0</v>
      </c>
      <c r="AL1184">
        <f t="shared" si="182"/>
        <v>0</v>
      </c>
      <c r="AM1184">
        <f t="shared" si="183"/>
        <v>3.25</v>
      </c>
      <c r="AN1184">
        <f t="shared" si="184"/>
        <v>13122</v>
      </c>
      <c r="AO1184">
        <f t="shared" si="185"/>
        <v>0.6</v>
      </c>
      <c r="AP1184" t="str">
        <f t="shared" si="186"/>
        <v>30-39</v>
      </c>
      <c r="AQ1184" t="str">
        <f t="shared" si="187"/>
        <v>Medium</v>
      </c>
      <c r="AR1184" t="str">
        <f t="shared" si="188"/>
        <v>Short</v>
      </c>
      <c r="AS1184">
        <f t="shared" si="189"/>
        <v>0</v>
      </c>
    </row>
    <row r="1185" spans="1:4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s="20">
        <v>6842</v>
      </c>
      <c r="T1185">
        <v>26308</v>
      </c>
      <c r="U1185">
        <v>6</v>
      </c>
      <c r="V1185" t="s">
        <v>42</v>
      </c>
      <c r="W1185" t="s">
        <v>43</v>
      </c>
      <c r="X1185" s="19">
        <v>20</v>
      </c>
      <c r="Y1185">
        <v>4</v>
      </c>
      <c r="Z1185">
        <v>1</v>
      </c>
      <c r="AA1185">
        <v>80</v>
      </c>
      <c r="AB1185">
        <v>1</v>
      </c>
      <c r="AC1185">
        <v>13</v>
      </c>
      <c r="AD1185">
        <v>3</v>
      </c>
      <c r="AE1185">
        <v>3</v>
      </c>
      <c r="AF1185">
        <v>5</v>
      </c>
      <c r="AG1185">
        <v>4</v>
      </c>
      <c r="AH1185">
        <v>0</v>
      </c>
      <c r="AI1185">
        <v>4</v>
      </c>
      <c r="AJ1185">
        <f t="shared" si="180"/>
        <v>0</v>
      </c>
      <c r="AK1185">
        <f t="shared" si="181"/>
        <v>0</v>
      </c>
      <c r="AL1185">
        <f t="shared" si="182"/>
        <v>1</v>
      </c>
      <c r="AM1185">
        <f t="shared" si="183"/>
        <v>2.25</v>
      </c>
      <c r="AN1185">
        <f t="shared" si="184"/>
        <v>13684</v>
      </c>
      <c r="AO1185">
        <f t="shared" si="185"/>
        <v>0.35714285714285715</v>
      </c>
      <c r="AP1185" t="str">
        <f t="shared" si="186"/>
        <v>30-39</v>
      </c>
      <c r="AQ1185" t="str">
        <f t="shared" si="187"/>
        <v>High</v>
      </c>
      <c r="AR1185" t="str">
        <f t="shared" si="188"/>
        <v>Short</v>
      </c>
      <c r="AS1185">
        <f t="shared" si="189"/>
        <v>0</v>
      </c>
    </row>
    <row r="1186" spans="1:4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s="20">
        <v>17426</v>
      </c>
      <c r="T1186">
        <v>18685</v>
      </c>
      <c r="U1186">
        <v>3</v>
      </c>
      <c r="V1186" t="s">
        <v>42</v>
      </c>
      <c r="W1186" t="s">
        <v>43</v>
      </c>
      <c r="X1186" s="19">
        <v>25</v>
      </c>
      <c r="Y1186">
        <v>4</v>
      </c>
      <c r="Z1186">
        <v>3</v>
      </c>
      <c r="AA1186">
        <v>80</v>
      </c>
      <c r="AB1186">
        <v>1</v>
      </c>
      <c r="AC1186">
        <v>36</v>
      </c>
      <c r="AD1186">
        <v>6</v>
      </c>
      <c r="AE1186">
        <v>3</v>
      </c>
      <c r="AF1186">
        <v>10</v>
      </c>
      <c r="AG1186">
        <v>8</v>
      </c>
      <c r="AH1186">
        <v>4</v>
      </c>
      <c r="AI1186">
        <v>7</v>
      </c>
      <c r="AJ1186">
        <f t="shared" si="180"/>
        <v>0</v>
      </c>
      <c r="AK1186">
        <f t="shared" si="181"/>
        <v>0</v>
      </c>
      <c r="AL1186">
        <f t="shared" si="182"/>
        <v>0</v>
      </c>
      <c r="AM1186">
        <f t="shared" si="183"/>
        <v>2.75</v>
      </c>
      <c r="AN1186">
        <f t="shared" si="184"/>
        <v>19010.18181818182</v>
      </c>
      <c r="AO1186">
        <f t="shared" si="185"/>
        <v>0.27027027027027029</v>
      </c>
      <c r="AP1186" t="str">
        <f t="shared" si="186"/>
        <v>50+</v>
      </c>
      <c r="AQ1186" t="str">
        <f t="shared" si="187"/>
        <v>Very High</v>
      </c>
      <c r="AR1186" t="str">
        <f t="shared" si="188"/>
        <v>Long</v>
      </c>
      <c r="AS1186">
        <f t="shared" si="189"/>
        <v>0</v>
      </c>
    </row>
    <row r="1187" spans="1:4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s="20">
        <v>17603</v>
      </c>
      <c r="T1187">
        <v>3525</v>
      </c>
      <c r="U1187">
        <v>1</v>
      </c>
      <c r="V1187" t="s">
        <v>42</v>
      </c>
      <c r="W1187" t="s">
        <v>43</v>
      </c>
      <c r="X1187" s="19">
        <v>24</v>
      </c>
      <c r="Y1187">
        <v>4</v>
      </c>
      <c r="Z1187">
        <v>1</v>
      </c>
      <c r="AA1187">
        <v>80</v>
      </c>
      <c r="AB1187">
        <v>1</v>
      </c>
      <c r="AC1187">
        <v>14</v>
      </c>
      <c r="AD1187">
        <v>3</v>
      </c>
      <c r="AE1187">
        <v>3</v>
      </c>
      <c r="AF1187">
        <v>14</v>
      </c>
      <c r="AG1187">
        <v>10</v>
      </c>
      <c r="AH1187">
        <v>6</v>
      </c>
      <c r="AI1187">
        <v>11</v>
      </c>
      <c r="AJ1187">
        <f t="shared" si="180"/>
        <v>0</v>
      </c>
      <c r="AK1187">
        <f t="shared" si="181"/>
        <v>0</v>
      </c>
      <c r="AL1187">
        <f t="shared" si="182"/>
        <v>1</v>
      </c>
      <c r="AM1187">
        <f t="shared" si="183"/>
        <v>2.5</v>
      </c>
      <c r="AN1187">
        <f t="shared" si="184"/>
        <v>14082.4</v>
      </c>
      <c r="AO1187">
        <f t="shared" si="185"/>
        <v>0.93333333333333335</v>
      </c>
      <c r="AP1187" t="str">
        <f t="shared" si="186"/>
        <v>40-49</v>
      </c>
      <c r="AQ1187" t="str">
        <f t="shared" si="187"/>
        <v>Very High</v>
      </c>
      <c r="AR1187" t="str">
        <f t="shared" si="188"/>
        <v>Medium</v>
      </c>
      <c r="AS1187">
        <f t="shared" si="189"/>
        <v>0</v>
      </c>
    </row>
    <row r="1188" spans="1:4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s="20">
        <v>4581</v>
      </c>
      <c r="T1188">
        <v>10414</v>
      </c>
      <c r="U1188">
        <v>3</v>
      </c>
      <c r="V1188" t="s">
        <v>42</v>
      </c>
      <c r="W1188" t="s">
        <v>35</v>
      </c>
      <c r="X1188" s="19">
        <v>24</v>
      </c>
      <c r="Y1188">
        <v>4</v>
      </c>
      <c r="Z1188">
        <v>1</v>
      </c>
      <c r="AA1188">
        <v>80</v>
      </c>
      <c r="AB1188">
        <v>0</v>
      </c>
      <c r="AC1188">
        <v>13</v>
      </c>
      <c r="AD1188">
        <v>2</v>
      </c>
      <c r="AE1188">
        <v>4</v>
      </c>
      <c r="AF1188">
        <v>11</v>
      </c>
      <c r="AG1188">
        <v>9</v>
      </c>
      <c r="AH1188">
        <v>6</v>
      </c>
      <c r="AI1188">
        <v>7</v>
      </c>
      <c r="AJ1188">
        <f t="shared" si="180"/>
        <v>1</v>
      </c>
      <c r="AK1188">
        <f t="shared" si="181"/>
        <v>1</v>
      </c>
      <c r="AL1188">
        <f t="shared" si="182"/>
        <v>1</v>
      </c>
      <c r="AM1188">
        <f t="shared" si="183"/>
        <v>3.25</v>
      </c>
      <c r="AN1188">
        <f t="shared" si="184"/>
        <v>4581</v>
      </c>
      <c r="AO1188">
        <f t="shared" si="185"/>
        <v>0.7857142857142857</v>
      </c>
      <c r="AP1188" t="str">
        <f t="shared" si="186"/>
        <v>30-39</v>
      </c>
      <c r="AQ1188" t="str">
        <f t="shared" si="187"/>
        <v>Medium</v>
      </c>
      <c r="AR1188" t="str">
        <f t="shared" si="188"/>
        <v>Medium</v>
      </c>
      <c r="AS1188">
        <f t="shared" si="189"/>
        <v>1</v>
      </c>
    </row>
    <row r="1189" spans="1:4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s="20">
        <v>4735</v>
      </c>
      <c r="T1189">
        <v>9867</v>
      </c>
      <c r="U1189">
        <v>7</v>
      </c>
      <c r="V1189" t="s">
        <v>42</v>
      </c>
      <c r="W1189" t="s">
        <v>43</v>
      </c>
      <c r="X1189" s="19">
        <v>15</v>
      </c>
      <c r="Y1189">
        <v>3</v>
      </c>
      <c r="Z1189">
        <v>4</v>
      </c>
      <c r="AA1189">
        <v>80</v>
      </c>
      <c r="AB1189">
        <v>2</v>
      </c>
      <c r="AC1189">
        <v>19</v>
      </c>
      <c r="AD1189">
        <v>4</v>
      </c>
      <c r="AE1189">
        <v>4</v>
      </c>
      <c r="AF1189">
        <v>13</v>
      </c>
      <c r="AG1189">
        <v>11</v>
      </c>
      <c r="AH1189">
        <v>2</v>
      </c>
      <c r="AI1189">
        <v>9</v>
      </c>
      <c r="AJ1189">
        <f t="shared" si="180"/>
        <v>0</v>
      </c>
      <c r="AK1189">
        <f t="shared" si="181"/>
        <v>0</v>
      </c>
      <c r="AL1189">
        <f t="shared" si="182"/>
        <v>1</v>
      </c>
      <c r="AM1189">
        <f t="shared" si="183"/>
        <v>4</v>
      </c>
      <c r="AN1189">
        <f t="shared" si="184"/>
        <v>4058.5714285714284</v>
      </c>
      <c r="AO1189">
        <f t="shared" si="185"/>
        <v>0.65</v>
      </c>
      <c r="AP1189" t="str">
        <f t="shared" si="186"/>
        <v>30-39</v>
      </c>
      <c r="AQ1189" t="str">
        <f t="shared" si="187"/>
        <v>Medium</v>
      </c>
      <c r="AR1189" t="str">
        <f t="shared" si="188"/>
        <v>Short</v>
      </c>
      <c r="AS1189">
        <f t="shared" si="189"/>
        <v>1</v>
      </c>
    </row>
    <row r="1190" spans="1:4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s="20">
        <v>4187</v>
      </c>
      <c r="T1190">
        <v>3356</v>
      </c>
      <c r="U1190">
        <v>1</v>
      </c>
      <c r="V1190" t="s">
        <v>42</v>
      </c>
      <c r="W1190" t="s">
        <v>35</v>
      </c>
      <c r="X1190" s="19">
        <v>13</v>
      </c>
      <c r="Y1190">
        <v>3</v>
      </c>
      <c r="Z1190">
        <v>2</v>
      </c>
      <c r="AA1190">
        <v>80</v>
      </c>
      <c r="AB1190">
        <v>1</v>
      </c>
      <c r="AC1190">
        <v>10</v>
      </c>
      <c r="AD1190">
        <v>3</v>
      </c>
      <c r="AE1190">
        <v>2</v>
      </c>
      <c r="AF1190">
        <v>10</v>
      </c>
      <c r="AG1190">
        <v>0</v>
      </c>
      <c r="AH1190">
        <v>0</v>
      </c>
      <c r="AI1190">
        <v>9</v>
      </c>
      <c r="AJ1190">
        <f t="shared" si="180"/>
        <v>0</v>
      </c>
      <c r="AK1190">
        <f t="shared" si="181"/>
        <v>1</v>
      </c>
      <c r="AL1190">
        <f t="shared" si="182"/>
        <v>1</v>
      </c>
      <c r="AM1190">
        <f t="shared" si="183"/>
        <v>1.75</v>
      </c>
      <c r="AN1190">
        <f t="shared" si="184"/>
        <v>4567.636363636364</v>
      </c>
      <c r="AO1190">
        <f t="shared" si="185"/>
        <v>0.90909090909090906</v>
      </c>
      <c r="AP1190" t="str">
        <f t="shared" si="186"/>
        <v>Under 30</v>
      </c>
      <c r="AQ1190" t="str">
        <f t="shared" si="187"/>
        <v>Medium</v>
      </c>
      <c r="AR1190" t="str">
        <f t="shared" si="188"/>
        <v>Short</v>
      </c>
      <c r="AS1190">
        <f t="shared" si="189"/>
        <v>0</v>
      </c>
    </row>
    <row r="1191" spans="1:4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s="20">
        <v>5505</v>
      </c>
      <c r="T1191">
        <v>3921</v>
      </c>
      <c r="U1191">
        <v>1</v>
      </c>
      <c r="V1191" t="s">
        <v>42</v>
      </c>
      <c r="W1191" t="s">
        <v>43</v>
      </c>
      <c r="X1191" s="19">
        <v>14</v>
      </c>
      <c r="Y1191">
        <v>3</v>
      </c>
      <c r="Z1191">
        <v>3</v>
      </c>
      <c r="AA1191">
        <v>80</v>
      </c>
      <c r="AB1191">
        <v>2</v>
      </c>
      <c r="AC1191">
        <v>6</v>
      </c>
      <c r="AD1191">
        <v>5</v>
      </c>
      <c r="AE1191">
        <v>3</v>
      </c>
      <c r="AF1191">
        <v>6</v>
      </c>
      <c r="AG1191">
        <v>2</v>
      </c>
      <c r="AH1191">
        <v>0</v>
      </c>
      <c r="AI1191">
        <v>4</v>
      </c>
      <c r="AJ1191">
        <f t="shared" si="180"/>
        <v>0</v>
      </c>
      <c r="AK1191">
        <f t="shared" si="181"/>
        <v>0</v>
      </c>
      <c r="AL1191">
        <f t="shared" si="182"/>
        <v>1</v>
      </c>
      <c r="AM1191">
        <f t="shared" si="183"/>
        <v>3.5</v>
      </c>
      <c r="AN1191">
        <f t="shared" si="184"/>
        <v>9437.1428571428569</v>
      </c>
      <c r="AO1191">
        <f t="shared" si="185"/>
        <v>0.8571428571428571</v>
      </c>
      <c r="AP1191" t="str">
        <f t="shared" si="186"/>
        <v>30-39</v>
      </c>
      <c r="AQ1191" t="str">
        <f t="shared" si="187"/>
        <v>High</v>
      </c>
      <c r="AR1191" t="str">
        <f t="shared" si="188"/>
        <v>Short</v>
      </c>
      <c r="AS1191">
        <f t="shared" si="189"/>
        <v>0</v>
      </c>
    </row>
    <row r="1192" spans="1:4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s="20">
        <v>5470</v>
      </c>
      <c r="T1192">
        <v>25518</v>
      </c>
      <c r="U1192">
        <v>0</v>
      </c>
      <c r="V1192" t="s">
        <v>42</v>
      </c>
      <c r="W1192" t="s">
        <v>43</v>
      </c>
      <c r="X1192" s="19">
        <v>13</v>
      </c>
      <c r="Y1192">
        <v>3</v>
      </c>
      <c r="Z1192">
        <v>3</v>
      </c>
      <c r="AA1192">
        <v>80</v>
      </c>
      <c r="AB1192">
        <v>2</v>
      </c>
      <c r="AC1192">
        <v>10</v>
      </c>
      <c r="AD1192">
        <v>4</v>
      </c>
      <c r="AE1192">
        <v>2</v>
      </c>
      <c r="AF1192">
        <v>9</v>
      </c>
      <c r="AG1192">
        <v>5</v>
      </c>
      <c r="AH1192">
        <v>1</v>
      </c>
      <c r="AI1192">
        <v>6</v>
      </c>
      <c r="AJ1192">
        <f t="shared" si="180"/>
        <v>0</v>
      </c>
      <c r="AK1192">
        <f t="shared" si="181"/>
        <v>0</v>
      </c>
      <c r="AL1192">
        <f t="shared" si="182"/>
        <v>1</v>
      </c>
      <c r="AM1192">
        <f t="shared" si="183"/>
        <v>2.75</v>
      </c>
      <c r="AN1192">
        <f t="shared" si="184"/>
        <v>6564</v>
      </c>
      <c r="AO1192">
        <f t="shared" si="185"/>
        <v>0.81818181818181823</v>
      </c>
      <c r="AP1192" t="str">
        <f t="shared" si="186"/>
        <v>30-39</v>
      </c>
      <c r="AQ1192" t="str">
        <f t="shared" si="187"/>
        <v>High</v>
      </c>
      <c r="AR1192" t="str">
        <f t="shared" si="188"/>
        <v>Short</v>
      </c>
      <c r="AS1192">
        <f t="shared" si="189"/>
        <v>0</v>
      </c>
    </row>
    <row r="1193" spans="1:4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s="20">
        <v>5476</v>
      </c>
      <c r="T1193">
        <v>22589</v>
      </c>
      <c r="U1193">
        <v>1</v>
      </c>
      <c r="V1193" t="s">
        <v>42</v>
      </c>
      <c r="W1193" t="s">
        <v>43</v>
      </c>
      <c r="X1193" s="19">
        <v>11</v>
      </c>
      <c r="Y1193">
        <v>3</v>
      </c>
      <c r="Z1193">
        <v>1</v>
      </c>
      <c r="AA1193">
        <v>80</v>
      </c>
      <c r="AB1193">
        <v>2</v>
      </c>
      <c r="AC1193">
        <v>10</v>
      </c>
      <c r="AD1193">
        <v>2</v>
      </c>
      <c r="AE1193">
        <v>3</v>
      </c>
      <c r="AF1193">
        <v>10</v>
      </c>
      <c r="AG1193">
        <v>0</v>
      </c>
      <c r="AH1193">
        <v>0</v>
      </c>
      <c r="AI1193">
        <v>2</v>
      </c>
      <c r="AJ1193">
        <f t="shared" si="180"/>
        <v>0</v>
      </c>
      <c r="AK1193">
        <f t="shared" si="181"/>
        <v>0</v>
      </c>
      <c r="AL1193">
        <f t="shared" si="182"/>
        <v>0</v>
      </c>
      <c r="AM1193">
        <f t="shared" si="183"/>
        <v>2.25</v>
      </c>
      <c r="AN1193">
        <f t="shared" si="184"/>
        <v>5973.818181818182</v>
      </c>
      <c r="AO1193">
        <f t="shared" si="185"/>
        <v>0.90909090909090906</v>
      </c>
      <c r="AP1193" t="str">
        <f t="shared" si="186"/>
        <v>30-39</v>
      </c>
      <c r="AQ1193" t="str">
        <f t="shared" si="187"/>
        <v>High</v>
      </c>
      <c r="AR1193" t="str">
        <f t="shared" si="188"/>
        <v>Short</v>
      </c>
      <c r="AS1193">
        <f t="shared" si="189"/>
        <v>0</v>
      </c>
    </row>
    <row r="1194" spans="1:4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s="20">
        <v>2587</v>
      </c>
      <c r="T1194">
        <v>24941</v>
      </c>
      <c r="U1194">
        <v>4</v>
      </c>
      <c r="V1194" t="s">
        <v>42</v>
      </c>
      <c r="W1194" t="s">
        <v>35</v>
      </c>
      <c r="X1194" s="19">
        <v>16</v>
      </c>
      <c r="Y1194">
        <v>3</v>
      </c>
      <c r="Z1194">
        <v>2</v>
      </c>
      <c r="AA1194">
        <v>80</v>
      </c>
      <c r="AB1194">
        <v>1</v>
      </c>
      <c r="AC1194">
        <v>17</v>
      </c>
      <c r="AD1194">
        <v>2</v>
      </c>
      <c r="AE1194">
        <v>2</v>
      </c>
      <c r="AF1194">
        <v>2</v>
      </c>
      <c r="AG1194">
        <v>2</v>
      </c>
      <c r="AH1194">
        <v>2</v>
      </c>
      <c r="AI1194">
        <v>2</v>
      </c>
      <c r="AJ1194">
        <f t="shared" si="180"/>
        <v>0</v>
      </c>
      <c r="AK1194">
        <f t="shared" si="181"/>
        <v>1</v>
      </c>
      <c r="AL1194">
        <f t="shared" si="182"/>
        <v>0</v>
      </c>
      <c r="AM1194">
        <f t="shared" si="183"/>
        <v>2.25</v>
      </c>
      <c r="AN1194">
        <f t="shared" si="184"/>
        <v>10348</v>
      </c>
      <c r="AO1194">
        <f t="shared" si="185"/>
        <v>0.1111111111111111</v>
      </c>
      <c r="AP1194" t="str">
        <f t="shared" si="186"/>
        <v>40-49</v>
      </c>
      <c r="AQ1194" t="str">
        <f t="shared" si="187"/>
        <v>Low</v>
      </c>
      <c r="AR1194" t="str">
        <f t="shared" si="188"/>
        <v>Long</v>
      </c>
      <c r="AS1194">
        <f t="shared" si="189"/>
        <v>0</v>
      </c>
    </row>
    <row r="1195" spans="1:4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s="20">
        <v>2440</v>
      </c>
      <c r="T1195">
        <v>23826</v>
      </c>
      <c r="U1195">
        <v>1</v>
      </c>
      <c r="V1195" t="s">
        <v>42</v>
      </c>
      <c r="W1195" t="s">
        <v>43</v>
      </c>
      <c r="X1195" s="19">
        <v>22</v>
      </c>
      <c r="Y1195">
        <v>4</v>
      </c>
      <c r="Z1195">
        <v>2</v>
      </c>
      <c r="AA1195">
        <v>80</v>
      </c>
      <c r="AB1195">
        <v>0</v>
      </c>
      <c r="AC1195">
        <v>4</v>
      </c>
      <c r="AD1195">
        <v>3</v>
      </c>
      <c r="AE1195">
        <v>3</v>
      </c>
      <c r="AF1195">
        <v>4</v>
      </c>
      <c r="AG1195">
        <v>3</v>
      </c>
      <c r="AH1195">
        <v>3</v>
      </c>
      <c r="AI1195">
        <v>3</v>
      </c>
      <c r="AJ1195">
        <f t="shared" si="180"/>
        <v>0</v>
      </c>
      <c r="AK1195">
        <f t="shared" si="181"/>
        <v>0</v>
      </c>
      <c r="AL1195">
        <f t="shared" si="182"/>
        <v>0</v>
      </c>
      <c r="AM1195">
        <f t="shared" si="183"/>
        <v>2.75</v>
      </c>
      <c r="AN1195">
        <f t="shared" si="184"/>
        <v>5856</v>
      </c>
      <c r="AO1195">
        <f t="shared" si="185"/>
        <v>0.8</v>
      </c>
      <c r="AP1195" t="str">
        <f t="shared" si="186"/>
        <v>30-39</v>
      </c>
      <c r="AQ1195" t="str">
        <f t="shared" si="187"/>
        <v>Low</v>
      </c>
      <c r="AR1195" t="str">
        <f t="shared" si="188"/>
        <v>Short</v>
      </c>
      <c r="AS1195">
        <f t="shared" si="189"/>
        <v>1</v>
      </c>
    </row>
    <row r="1196" spans="1:4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s="20">
        <v>15972</v>
      </c>
      <c r="T1196">
        <v>21086</v>
      </c>
      <c r="U1196">
        <v>6</v>
      </c>
      <c r="V1196" t="s">
        <v>42</v>
      </c>
      <c r="W1196" t="s">
        <v>43</v>
      </c>
      <c r="X1196" s="19">
        <v>14</v>
      </c>
      <c r="Y1196">
        <v>3</v>
      </c>
      <c r="Z1196">
        <v>3</v>
      </c>
      <c r="AA1196">
        <v>80</v>
      </c>
      <c r="AB1196">
        <v>3</v>
      </c>
      <c r="AC1196">
        <v>29</v>
      </c>
      <c r="AD1196">
        <v>2</v>
      </c>
      <c r="AE1196">
        <v>3</v>
      </c>
      <c r="AF1196">
        <v>3</v>
      </c>
      <c r="AG1196">
        <v>2</v>
      </c>
      <c r="AH1196">
        <v>1</v>
      </c>
      <c r="AI1196">
        <v>2</v>
      </c>
      <c r="AJ1196">
        <f t="shared" si="180"/>
        <v>0</v>
      </c>
      <c r="AK1196">
        <f t="shared" si="181"/>
        <v>0</v>
      </c>
      <c r="AL1196">
        <f t="shared" si="182"/>
        <v>0</v>
      </c>
      <c r="AM1196">
        <f t="shared" si="183"/>
        <v>2.5</v>
      </c>
      <c r="AN1196">
        <f t="shared" si="184"/>
        <v>47916</v>
      </c>
      <c r="AO1196">
        <f t="shared" si="185"/>
        <v>0.1</v>
      </c>
      <c r="AP1196" t="str">
        <f t="shared" si="186"/>
        <v>40-49</v>
      </c>
      <c r="AQ1196" t="str">
        <f t="shared" si="187"/>
        <v>Very High</v>
      </c>
      <c r="AR1196" t="str">
        <f t="shared" si="188"/>
        <v>Short</v>
      </c>
      <c r="AS1196">
        <f t="shared" si="189"/>
        <v>0</v>
      </c>
    </row>
    <row r="1197" spans="1:4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s="20">
        <v>15379</v>
      </c>
      <c r="T1197">
        <v>22384</v>
      </c>
      <c r="U1197">
        <v>4</v>
      </c>
      <c r="V1197" t="s">
        <v>42</v>
      </c>
      <c r="W1197" t="s">
        <v>43</v>
      </c>
      <c r="X1197" s="19">
        <v>14</v>
      </c>
      <c r="Y1197">
        <v>3</v>
      </c>
      <c r="Z1197">
        <v>1</v>
      </c>
      <c r="AA1197">
        <v>80</v>
      </c>
      <c r="AB1197">
        <v>0</v>
      </c>
      <c r="AC1197">
        <v>23</v>
      </c>
      <c r="AD1197">
        <v>2</v>
      </c>
      <c r="AE1197">
        <v>3</v>
      </c>
      <c r="AF1197">
        <v>8</v>
      </c>
      <c r="AG1197">
        <v>7</v>
      </c>
      <c r="AH1197">
        <v>0</v>
      </c>
      <c r="AI1197">
        <v>0</v>
      </c>
      <c r="AJ1197">
        <f t="shared" si="180"/>
        <v>0</v>
      </c>
      <c r="AK1197">
        <f t="shared" si="181"/>
        <v>0</v>
      </c>
      <c r="AL1197">
        <f t="shared" si="182"/>
        <v>1</v>
      </c>
      <c r="AM1197">
        <f t="shared" si="183"/>
        <v>2.5</v>
      </c>
      <c r="AN1197">
        <f t="shared" si="184"/>
        <v>20505.333333333332</v>
      </c>
      <c r="AO1197">
        <f t="shared" si="185"/>
        <v>0.33333333333333331</v>
      </c>
      <c r="AP1197" t="str">
        <f t="shared" si="186"/>
        <v>40-49</v>
      </c>
      <c r="AQ1197" t="str">
        <f t="shared" si="187"/>
        <v>Very High</v>
      </c>
      <c r="AR1197" t="str">
        <f t="shared" si="188"/>
        <v>Short</v>
      </c>
      <c r="AS1197">
        <f t="shared" si="189"/>
        <v>0</v>
      </c>
    </row>
    <row r="1198" spans="1:4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s="20">
        <v>7082</v>
      </c>
      <c r="T1198">
        <v>11591</v>
      </c>
      <c r="U1198">
        <v>3</v>
      </c>
      <c r="V1198" t="s">
        <v>42</v>
      </c>
      <c r="W1198" t="s">
        <v>35</v>
      </c>
      <c r="X1198" s="19">
        <v>16</v>
      </c>
      <c r="Y1198">
        <v>3</v>
      </c>
      <c r="Z1198">
        <v>4</v>
      </c>
      <c r="AA1198">
        <v>80</v>
      </c>
      <c r="AB1198">
        <v>0</v>
      </c>
      <c r="AC1198">
        <v>21</v>
      </c>
      <c r="AD1198">
        <v>2</v>
      </c>
      <c r="AE1198">
        <v>3</v>
      </c>
      <c r="AF1198">
        <v>2</v>
      </c>
      <c r="AG1198">
        <v>0</v>
      </c>
      <c r="AH1198">
        <v>0</v>
      </c>
      <c r="AI1198">
        <v>2</v>
      </c>
      <c r="AJ1198">
        <f t="shared" si="180"/>
        <v>0</v>
      </c>
      <c r="AK1198">
        <f t="shared" si="181"/>
        <v>1</v>
      </c>
      <c r="AL1198">
        <f t="shared" si="182"/>
        <v>1</v>
      </c>
      <c r="AM1198">
        <f t="shared" si="183"/>
        <v>3.5</v>
      </c>
      <c r="AN1198">
        <f t="shared" si="184"/>
        <v>28328</v>
      </c>
      <c r="AO1198">
        <f t="shared" si="185"/>
        <v>9.0909090909090912E-2</v>
      </c>
      <c r="AP1198" t="str">
        <f t="shared" si="186"/>
        <v>40-49</v>
      </c>
      <c r="AQ1198" t="str">
        <f t="shared" si="187"/>
        <v>High</v>
      </c>
      <c r="AR1198" t="str">
        <f t="shared" si="188"/>
        <v>Long</v>
      </c>
      <c r="AS1198">
        <f t="shared" si="189"/>
        <v>0</v>
      </c>
    </row>
    <row r="1199" spans="1:4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s="20">
        <v>2728</v>
      </c>
      <c r="T1199">
        <v>21082</v>
      </c>
      <c r="U1199">
        <v>1</v>
      </c>
      <c r="V1199" t="s">
        <v>42</v>
      </c>
      <c r="W1199" t="s">
        <v>43</v>
      </c>
      <c r="X1199" s="19">
        <v>11</v>
      </c>
      <c r="Y1199">
        <v>3</v>
      </c>
      <c r="Z1199">
        <v>1</v>
      </c>
      <c r="AA1199">
        <v>80</v>
      </c>
      <c r="AB1199">
        <v>0</v>
      </c>
      <c r="AC1199">
        <v>2</v>
      </c>
      <c r="AD1199">
        <v>3</v>
      </c>
      <c r="AE1199">
        <v>3</v>
      </c>
      <c r="AF1199">
        <v>2</v>
      </c>
      <c r="AG1199">
        <v>2</v>
      </c>
      <c r="AH1199">
        <v>0</v>
      </c>
      <c r="AI1199">
        <v>2</v>
      </c>
      <c r="AJ1199">
        <f t="shared" si="180"/>
        <v>0</v>
      </c>
      <c r="AK1199">
        <f t="shared" si="181"/>
        <v>0</v>
      </c>
      <c r="AL1199">
        <f t="shared" si="182"/>
        <v>1</v>
      </c>
      <c r="AM1199">
        <f t="shared" si="183"/>
        <v>2.25</v>
      </c>
      <c r="AN1199">
        <f t="shared" si="184"/>
        <v>10912</v>
      </c>
      <c r="AO1199">
        <f t="shared" si="185"/>
        <v>0.66666666666666663</v>
      </c>
      <c r="AP1199" t="str">
        <f t="shared" si="186"/>
        <v>Under 30</v>
      </c>
      <c r="AQ1199" t="str">
        <f t="shared" si="187"/>
        <v>Low</v>
      </c>
      <c r="AR1199" t="str">
        <f t="shared" si="188"/>
        <v>Medium</v>
      </c>
      <c r="AS1199">
        <f t="shared" si="189"/>
        <v>0</v>
      </c>
    </row>
    <row r="1200" spans="1:4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s="20">
        <v>5368</v>
      </c>
      <c r="T1200">
        <v>16130</v>
      </c>
      <c r="U1200">
        <v>1</v>
      </c>
      <c r="V1200" t="s">
        <v>42</v>
      </c>
      <c r="W1200" t="s">
        <v>35</v>
      </c>
      <c r="X1200" s="19">
        <v>25</v>
      </c>
      <c r="Y1200">
        <v>4</v>
      </c>
      <c r="Z1200">
        <v>3</v>
      </c>
      <c r="AA1200">
        <v>80</v>
      </c>
      <c r="AB1200">
        <v>1</v>
      </c>
      <c r="AC1200">
        <v>7</v>
      </c>
      <c r="AD1200">
        <v>2</v>
      </c>
      <c r="AE1200">
        <v>3</v>
      </c>
      <c r="AF1200">
        <v>6</v>
      </c>
      <c r="AG1200">
        <v>5</v>
      </c>
      <c r="AH1200">
        <v>1</v>
      </c>
      <c r="AI1200">
        <v>2</v>
      </c>
      <c r="AJ1200">
        <f t="shared" si="180"/>
        <v>0</v>
      </c>
      <c r="AK1200">
        <f t="shared" si="181"/>
        <v>1</v>
      </c>
      <c r="AL1200">
        <f t="shared" si="182"/>
        <v>0</v>
      </c>
      <c r="AM1200">
        <f t="shared" si="183"/>
        <v>3.25</v>
      </c>
      <c r="AN1200">
        <f t="shared" si="184"/>
        <v>9202.2857142857138</v>
      </c>
      <c r="AO1200">
        <f t="shared" si="185"/>
        <v>0.75</v>
      </c>
      <c r="AP1200" t="str">
        <f t="shared" si="186"/>
        <v>30-39</v>
      </c>
      <c r="AQ1200" t="str">
        <f t="shared" si="187"/>
        <v>High</v>
      </c>
      <c r="AR1200" t="str">
        <f t="shared" si="188"/>
        <v>Long</v>
      </c>
      <c r="AS1200">
        <f t="shared" si="189"/>
        <v>0</v>
      </c>
    </row>
    <row r="1201" spans="1:4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s="20">
        <v>5347</v>
      </c>
      <c r="T1201">
        <v>7419</v>
      </c>
      <c r="U1201">
        <v>6</v>
      </c>
      <c r="V1201" t="s">
        <v>42</v>
      </c>
      <c r="W1201" t="s">
        <v>43</v>
      </c>
      <c r="X1201" s="19">
        <v>14</v>
      </c>
      <c r="Y1201">
        <v>3</v>
      </c>
      <c r="Z1201">
        <v>2</v>
      </c>
      <c r="AA1201">
        <v>80</v>
      </c>
      <c r="AB1201">
        <v>2</v>
      </c>
      <c r="AC1201">
        <v>10</v>
      </c>
      <c r="AD1201">
        <v>2</v>
      </c>
      <c r="AE1201">
        <v>2</v>
      </c>
      <c r="AF1201">
        <v>3</v>
      </c>
      <c r="AG1201">
        <v>2</v>
      </c>
      <c r="AH1201">
        <v>0</v>
      </c>
      <c r="AI1201">
        <v>2</v>
      </c>
      <c r="AJ1201">
        <f t="shared" si="180"/>
        <v>0</v>
      </c>
      <c r="AK1201">
        <f t="shared" si="181"/>
        <v>0</v>
      </c>
      <c r="AL1201">
        <f t="shared" si="182"/>
        <v>1</v>
      </c>
      <c r="AM1201">
        <f t="shared" si="183"/>
        <v>2</v>
      </c>
      <c r="AN1201">
        <f t="shared" si="184"/>
        <v>16041</v>
      </c>
      <c r="AO1201">
        <f t="shared" si="185"/>
        <v>0.27272727272727271</v>
      </c>
      <c r="AP1201" t="str">
        <f t="shared" si="186"/>
        <v>30-39</v>
      </c>
      <c r="AQ1201" t="str">
        <f t="shared" si="187"/>
        <v>High</v>
      </c>
      <c r="AR1201" t="str">
        <f t="shared" si="188"/>
        <v>Long</v>
      </c>
      <c r="AS1201">
        <f t="shared" si="189"/>
        <v>0</v>
      </c>
    </row>
    <row r="1202" spans="1:4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s="20">
        <v>3195</v>
      </c>
      <c r="T1202">
        <v>4167</v>
      </c>
      <c r="U1202">
        <v>4</v>
      </c>
      <c r="V1202" t="s">
        <v>42</v>
      </c>
      <c r="W1202" t="s">
        <v>35</v>
      </c>
      <c r="X1202" s="19">
        <v>18</v>
      </c>
      <c r="Y1202">
        <v>3</v>
      </c>
      <c r="Z1202">
        <v>1</v>
      </c>
      <c r="AA1202">
        <v>80</v>
      </c>
      <c r="AB1202">
        <v>3</v>
      </c>
      <c r="AC1202">
        <v>10</v>
      </c>
      <c r="AD1202">
        <v>2</v>
      </c>
      <c r="AE1202">
        <v>3</v>
      </c>
      <c r="AF1202">
        <v>2</v>
      </c>
      <c r="AG1202">
        <v>2</v>
      </c>
      <c r="AH1202">
        <v>2</v>
      </c>
      <c r="AI1202">
        <v>2</v>
      </c>
      <c r="AJ1202">
        <f t="shared" si="180"/>
        <v>0</v>
      </c>
      <c r="AK1202">
        <f t="shared" si="181"/>
        <v>1</v>
      </c>
      <c r="AL1202">
        <f t="shared" si="182"/>
        <v>0</v>
      </c>
      <c r="AM1202">
        <f t="shared" si="183"/>
        <v>2.75</v>
      </c>
      <c r="AN1202">
        <f t="shared" si="184"/>
        <v>12780</v>
      </c>
      <c r="AO1202">
        <f t="shared" si="185"/>
        <v>0.18181818181818182</v>
      </c>
      <c r="AP1202" t="str">
        <f t="shared" si="186"/>
        <v>40-49</v>
      </c>
      <c r="AQ1202" t="str">
        <f t="shared" si="187"/>
        <v>Medium</v>
      </c>
      <c r="AR1202" t="str">
        <f t="shared" si="188"/>
        <v>Short</v>
      </c>
      <c r="AS1202">
        <f t="shared" si="189"/>
        <v>0</v>
      </c>
    </row>
    <row r="1203" spans="1:4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s="20">
        <v>3989</v>
      </c>
      <c r="T1203">
        <v>20586</v>
      </c>
      <c r="U1203">
        <v>1</v>
      </c>
      <c r="V1203" t="s">
        <v>42</v>
      </c>
      <c r="W1203" t="s">
        <v>35</v>
      </c>
      <c r="X1203" s="19">
        <v>11</v>
      </c>
      <c r="Y1203">
        <v>3</v>
      </c>
      <c r="Z1203">
        <v>1</v>
      </c>
      <c r="AA1203">
        <v>80</v>
      </c>
      <c r="AB1203">
        <v>0</v>
      </c>
      <c r="AC1203">
        <v>5</v>
      </c>
      <c r="AD1203">
        <v>2</v>
      </c>
      <c r="AE1203">
        <v>3</v>
      </c>
      <c r="AF1203">
        <v>5</v>
      </c>
      <c r="AG1203">
        <v>4</v>
      </c>
      <c r="AH1203">
        <v>1</v>
      </c>
      <c r="AI1203">
        <v>2</v>
      </c>
      <c r="AJ1203">
        <f t="shared" si="180"/>
        <v>1</v>
      </c>
      <c r="AK1203">
        <f t="shared" si="181"/>
        <v>1</v>
      </c>
      <c r="AL1203">
        <f t="shared" si="182"/>
        <v>1</v>
      </c>
      <c r="AM1203">
        <f t="shared" si="183"/>
        <v>2.75</v>
      </c>
      <c r="AN1203">
        <f t="shared" si="184"/>
        <v>7978</v>
      </c>
      <c r="AO1203">
        <f t="shared" si="185"/>
        <v>0.83333333333333337</v>
      </c>
      <c r="AP1203" t="str">
        <f t="shared" si="186"/>
        <v>Under 30</v>
      </c>
      <c r="AQ1203" t="str">
        <f t="shared" si="187"/>
        <v>Medium</v>
      </c>
      <c r="AR1203" t="str">
        <f t="shared" si="188"/>
        <v>Medium</v>
      </c>
      <c r="AS1203">
        <f t="shared" si="189"/>
        <v>0</v>
      </c>
    </row>
    <row r="1204" spans="1:4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s="20">
        <v>3306</v>
      </c>
      <c r="T1204">
        <v>26176</v>
      </c>
      <c r="U1204">
        <v>7</v>
      </c>
      <c r="V1204" t="s">
        <v>42</v>
      </c>
      <c r="W1204" t="s">
        <v>43</v>
      </c>
      <c r="X1204" s="19">
        <v>19</v>
      </c>
      <c r="Y1204">
        <v>3</v>
      </c>
      <c r="Z1204">
        <v>4</v>
      </c>
      <c r="AA1204">
        <v>80</v>
      </c>
      <c r="AB1204">
        <v>1</v>
      </c>
      <c r="AC1204">
        <v>7</v>
      </c>
      <c r="AD1204">
        <v>5</v>
      </c>
      <c r="AE1204">
        <v>2</v>
      </c>
      <c r="AF1204">
        <v>0</v>
      </c>
      <c r="AG1204">
        <v>0</v>
      </c>
      <c r="AH1204">
        <v>0</v>
      </c>
      <c r="AI1204">
        <v>0</v>
      </c>
      <c r="AJ1204">
        <f t="shared" si="180"/>
        <v>0</v>
      </c>
      <c r="AK1204">
        <f t="shared" si="181"/>
        <v>0</v>
      </c>
      <c r="AL1204">
        <f t="shared" si="182"/>
        <v>0</v>
      </c>
      <c r="AM1204">
        <f t="shared" si="183"/>
        <v>3.25</v>
      </c>
      <c r="AN1204">
        <f t="shared" si="184"/>
        <v>39672</v>
      </c>
      <c r="AO1204">
        <f t="shared" si="185"/>
        <v>0</v>
      </c>
      <c r="AP1204" t="str">
        <f t="shared" si="186"/>
        <v>30-39</v>
      </c>
      <c r="AQ1204" t="str">
        <f t="shared" si="187"/>
        <v>Medium</v>
      </c>
      <c r="AR1204" t="str">
        <f t="shared" si="188"/>
        <v>Short</v>
      </c>
      <c r="AS1204">
        <f t="shared" si="189"/>
        <v>0</v>
      </c>
    </row>
    <row r="1205" spans="1:4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s="20">
        <v>7005</v>
      </c>
      <c r="T1205">
        <v>3458</v>
      </c>
      <c r="U1205">
        <v>3</v>
      </c>
      <c r="V1205" t="s">
        <v>42</v>
      </c>
      <c r="W1205" t="s">
        <v>43</v>
      </c>
      <c r="X1205" s="19">
        <v>15</v>
      </c>
      <c r="Y1205">
        <v>3</v>
      </c>
      <c r="Z1205">
        <v>3</v>
      </c>
      <c r="AA1205">
        <v>80</v>
      </c>
      <c r="AB1205">
        <v>0</v>
      </c>
      <c r="AC1205">
        <v>11</v>
      </c>
      <c r="AD1205">
        <v>2</v>
      </c>
      <c r="AE1205">
        <v>3</v>
      </c>
      <c r="AF1205">
        <v>4</v>
      </c>
      <c r="AG1205">
        <v>3</v>
      </c>
      <c r="AH1205">
        <v>1</v>
      </c>
      <c r="AI1205">
        <v>2</v>
      </c>
      <c r="AJ1205">
        <f t="shared" si="180"/>
        <v>0</v>
      </c>
      <c r="AK1205">
        <f t="shared" si="181"/>
        <v>0</v>
      </c>
      <c r="AL1205">
        <f t="shared" si="182"/>
        <v>1</v>
      </c>
      <c r="AM1205">
        <f t="shared" si="183"/>
        <v>3</v>
      </c>
      <c r="AN1205">
        <f t="shared" si="184"/>
        <v>16812</v>
      </c>
      <c r="AO1205">
        <f t="shared" si="185"/>
        <v>0.33333333333333331</v>
      </c>
      <c r="AP1205" t="str">
        <f t="shared" si="186"/>
        <v>50+</v>
      </c>
      <c r="AQ1205" t="str">
        <f t="shared" si="187"/>
        <v>High</v>
      </c>
      <c r="AR1205" t="str">
        <f t="shared" si="188"/>
        <v>Long</v>
      </c>
      <c r="AS1205">
        <f t="shared" si="189"/>
        <v>0</v>
      </c>
    </row>
    <row r="1206" spans="1:4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s="20">
        <v>2655</v>
      </c>
      <c r="T1206">
        <v>11740</v>
      </c>
      <c r="U1206">
        <v>2</v>
      </c>
      <c r="V1206" t="s">
        <v>42</v>
      </c>
      <c r="W1206" t="s">
        <v>35</v>
      </c>
      <c r="X1206" s="19">
        <v>11</v>
      </c>
      <c r="Y1206">
        <v>3</v>
      </c>
      <c r="Z1206">
        <v>3</v>
      </c>
      <c r="AA1206">
        <v>80</v>
      </c>
      <c r="AB1206">
        <v>2</v>
      </c>
      <c r="AC1206">
        <v>19</v>
      </c>
      <c r="AD1206">
        <v>3</v>
      </c>
      <c r="AE1206">
        <v>3</v>
      </c>
      <c r="AF1206">
        <v>9</v>
      </c>
      <c r="AG1206">
        <v>7</v>
      </c>
      <c r="AH1206">
        <v>7</v>
      </c>
      <c r="AI1206">
        <v>7</v>
      </c>
      <c r="AJ1206">
        <f t="shared" si="180"/>
        <v>1</v>
      </c>
      <c r="AK1206">
        <f t="shared" si="181"/>
        <v>1</v>
      </c>
      <c r="AL1206">
        <f t="shared" si="182"/>
        <v>0</v>
      </c>
      <c r="AM1206">
        <f t="shared" si="183"/>
        <v>3.25</v>
      </c>
      <c r="AN1206">
        <f t="shared" si="184"/>
        <v>3186</v>
      </c>
      <c r="AO1206">
        <f t="shared" si="185"/>
        <v>0.45</v>
      </c>
      <c r="AP1206" t="str">
        <f t="shared" si="186"/>
        <v>40-49</v>
      </c>
      <c r="AQ1206" t="str">
        <f t="shared" si="187"/>
        <v>Low</v>
      </c>
      <c r="AR1206" t="str">
        <f t="shared" si="188"/>
        <v>Medium</v>
      </c>
      <c r="AS1206">
        <f t="shared" si="189"/>
        <v>1</v>
      </c>
    </row>
    <row r="1207" spans="1:4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s="20">
        <v>1393</v>
      </c>
      <c r="T1207">
        <v>24852</v>
      </c>
      <c r="U1207">
        <v>1</v>
      </c>
      <c r="V1207" t="s">
        <v>42</v>
      </c>
      <c r="W1207" t="s">
        <v>43</v>
      </c>
      <c r="X1207" s="19">
        <v>12</v>
      </c>
      <c r="Y1207">
        <v>3</v>
      </c>
      <c r="Z1207">
        <v>1</v>
      </c>
      <c r="AA1207">
        <v>80</v>
      </c>
      <c r="AB1207">
        <v>0</v>
      </c>
      <c r="AC1207">
        <v>1</v>
      </c>
      <c r="AD1207">
        <v>2</v>
      </c>
      <c r="AE1207">
        <v>3</v>
      </c>
      <c r="AF1207">
        <v>1</v>
      </c>
      <c r="AG1207">
        <v>0</v>
      </c>
      <c r="AH1207">
        <v>0</v>
      </c>
      <c r="AI1207">
        <v>0</v>
      </c>
      <c r="AJ1207">
        <f t="shared" si="180"/>
        <v>1</v>
      </c>
      <c r="AK1207">
        <f t="shared" si="181"/>
        <v>0</v>
      </c>
      <c r="AL1207">
        <f t="shared" si="182"/>
        <v>1</v>
      </c>
      <c r="AM1207">
        <f t="shared" si="183"/>
        <v>2.5</v>
      </c>
      <c r="AN1207">
        <f t="shared" si="184"/>
        <v>8358</v>
      </c>
      <c r="AO1207">
        <f t="shared" si="185"/>
        <v>0.5</v>
      </c>
      <c r="AP1207" t="str">
        <f t="shared" si="186"/>
        <v>30-39</v>
      </c>
      <c r="AQ1207" t="str">
        <f t="shared" si="187"/>
        <v>Low</v>
      </c>
      <c r="AR1207" t="str">
        <f t="shared" si="188"/>
        <v>Short</v>
      </c>
      <c r="AS1207">
        <f t="shared" si="189"/>
        <v>0</v>
      </c>
    </row>
    <row r="1208" spans="1:4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s="20">
        <v>2570</v>
      </c>
      <c r="T1208">
        <v>11925</v>
      </c>
      <c r="U1208">
        <v>1</v>
      </c>
      <c r="V1208" t="s">
        <v>42</v>
      </c>
      <c r="W1208" t="s">
        <v>43</v>
      </c>
      <c r="X1208" s="19">
        <v>20</v>
      </c>
      <c r="Y1208">
        <v>4</v>
      </c>
      <c r="Z1208">
        <v>3</v>
      </c>
      <c r="AA1208">
        <v>80</v>
      </c>
      <c r="AB1208">
        <v>0</v>
      </c>
      <c r="AC1208">
        <v>7</v>
      </c>
      <c r="AD1208">
        <v>5</v>
      </c>
      <c r="AE1208">
        <v>3</v>
      </c>
      <c r="AF1208">
        <v>7</v>
      </c>
      <c r="AG1208">
        <v>7</v>
      </c>
      <c r="AH1208">
        <v>5</v>
      </c>
      <c r="AI1208">
        <v>7</v>
      </c>
      <c r="AJ1208">
        <f t="shared" si="180"/>
        <v>0</v>
      </c>
      <c r="AK1208">
        <f t="shared" si="181"/>
        <v>0</v>
      </c>
      <c r="AL1208">
        <f t="shared" si="182"/>
        <v>1</v>
      </c>
      <c r="AM1208">
        <f t="shared" si="183"/>
        <v>3.5</v>
      </c>
      <c r="AN1208">
        <f t="shared" si="184"/>
        <v>3855</v>
      </c>
      <c r="AO1208">
        <f t="shared" si="185"/>
        <v>0.875</v>
      </c>
      <c r="AP1208" t="str">
        <f t="shared" si="186"/>
        <v>Under 30</v>
      </c>
      <c r="AQ1208" t="str">
        <f t="shared" si="187"/>
        <v>Low</v>
      </c>
      <c r="AR1208" t="str">
        <f t="shared" si="188"/>
        <v>Medium</v>
      </c>
      <c r="AS1208">
        <f t="shared" si="189"/>
        <v>0</v>
      </c>
    </row>
    <row r="1209" spans="1:4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s="20">
        <v>3537</v>
      </c>
      <c r="T1209">
        <v>23737</v>
      </c>
      <c r="U1209">
        <v>5</v>
      </c>
      <c r="V1209" t="s">
        <v>42</v>
      </c>
      <c r="W1209" t="s">
        <v>43</v>
      </c>
      <c r="X1209" s="19">
        <v>12</v>
      </c>
      <c r="Y1209">
        <v>3</v>
      </c>
      <c r="Z1209">
        <v>4</v>
      </c>
      <c r="AA1209">
        <v>80</v>
      </c>
      <c r="AB1209">
        <v>1</v>
      </c>
      <c r="AC1209">
        <v>8</v>
      </c>
      <c r="AD1209">
        <v>1</v>
      </c>
      <c r="AE1209">
        <v>3</v>
      </c>
      <c r="AF1209">
        <v>4</v>
      </c>
      <c r="AG1209">
        <v>2</v>
      </c>
      <c r="AH1209">
        <v>1</v>
      </c>
      <c r="AI1209">
        <v>2</v>
      </c>
      <c r="AJ1209">
        <f t="shared" si="180"/>
        <v>0</v>
      </c>
      <c r="AK1209">
        <f t="shared" si="181"/>
        <v>0</v>
      </c>
      <c r="AL1209">
        <f t="shared" si="182"/>
        <v>1</v>
      </c>
      <c r="AM1209">
        <f t="shared" si="183"/>
        <v>2.5</v>
      </c>
      <c r="AN1209">
        <f t="shared" si="184"/>
        <v>8488.7999999999993</v>
      </c>
      <c r="AO1209">
        <f t="shared" si="185"/>
        <v>0.44444444444444442</v>
      </c>
      <c r="AP1209" t="str">
        <f t="shared" si="186"/>
        <v>50+</v>
      </c>
      <c r="AQ1209" t="str">
        <f t="shared" si="187"/>
        <v>Medium</v>
      </c>
      <c r="AR1209" t="str">
        <f t="shared" si="188"/>
        <v>Long</v>
      </c>
      <c r="AS1209">
        <f t="shared" si="189"/>
        <v>0</v>
      </c>
    </row>
    <row r="1210" spans="1:4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s="20">
        <v>3986</v>
      </c>
      <c r="T1210">
        <v>11912</v>
      </c>
      <c r="U1210">
        <v>1</v>
      </c>
      <c r="V1210" t="s">
        <v>42</v>
      </c>
      <c r="W1210" t="s">
        <v>43</v>
      </c>
      <c r="X1210" s="19">
        <v>14</v>
      </c>
      <c r="Y1210">
        <v>3</v>
      </c>
      <c r="Z1210">
        <v>3</v>
      </c>
      <c r="AA1210">
        <v>80</v>
      </c>
      <c r="AB1210">
        <v>1</v>
      </c>
      <c r="AC1210">
        <v>15</v>
      </c>
      <c r="AD1210">
        <v>3</v>
      </c>
      <c r="AE1210">
        <v>4</v>
      </c>
      <c r="AF1210">
        <v>15</v>
      </c>
      <c r="AG1210">
        <v>10</v>
      </c>
      <c r="AH1210">
        <v>4</v>
      </c>
      <c r="AI1210">
        <v>13</v>
      </c>
      <c r="AJ1210">
        <f t="shared" si="180"/>
        <v>0</v>
      </c>
      <c r="AK1210">
        <f t="shared" si="181"/>
        <v>0</v>
      </c>
      <c r="AL1210">
        <f t="shared" si="182"/>
        <v>1</v>
      </c>
      <c r="AM1210">
        <f t="shared" si="183"/>
        <v>3.25</v>
      </c>
      <c r="AN1210">
        <f t="shared" si="184"/>
        <v>2989.5</v>
      </c>
      <c r="AO1210">
        <f t="shared" si="185"/>
        <v>0.9375</v>
      </c>
      <c r="AP1210" t="str">
        <f t="shared" si="186"/>
        <v>30-39</v>
      </c>
      <c r="AQ1210" t="str">
        <f t="shared" si="187"/>
        <v>Medium</v>
      </c>
      <c r="AR1210" t="str">
        <f t="shared" si="188"/>
        <v>Short</v>
      </c>
      <c r="AS1210">
        <f t="shared" si="189"/>
        <v>0</v>
      </c>
    </row>
    <row r="1211" spans="1:4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s="20">
        <v>10883</v>
      </c>
      <c r="T1211">
        <v>20467</v>
      </c>
      <c r="U1211">
        <v>3</v>
      </c>
      <c r="V1211" t="s">
        <v>42</v>
      </c>
      <c r="W1211" t="s">
        <v>43</v>
      </c>
      <c r="X1211" s="19">
        <v>20</v>
      </c>
      <c r="Y1211">
        <v>4</v>
      </c>
      <c r="Z1211">
        <v>3</v>
      </c>
      <c r="AA1211">
        <v>80</v>
      </c>
      <c r="AB1211">
        <v>1</v>
      </c>
      <c r="AC1211">
        <v>19</v>
      </c>
      <c r="AD1211">
        <v>2</v>
      </c>
      <c r="AE1211">
        <v>4</v>
      </c>
      <c r="AF1211">
        <v>1</v>
      </c>
      <c r="AG1211">
        <v>0</v>
      </c>
      <c r="AH1211">
        <v>0</v>
      </c>
      <c r="AI1211">
        <v>0</v>
      </c>
      <c r="AJ1211">
        <f t="shared" si="180"/>
        <v>0</v>
      </c>
      <c r="AK1211">
        <f t="shared" si="181"/>
        <v>0</v>
      </c>
      <c r="AL1211">
        <f t="shared" si="182"/>
        <v>1</v>
      </c>
      <c r="AM1211">
        <f t="shared" si="183"/>
        <v>3.5</v>
      </c>
      <c r="AN1211">
        <f t="shared" si="184"/>
        <v>65298</v>
      </c>
      <c r="AO1211">
        <f t="shared" si="185"/>
        <v>0.05</v>
      </c>
      <c r="AP1211" t="str">
        <f t="shared" si="186"/>
        <v>50+</v>
      </c>
      <c r="AQ1211" t="str">
        <f t="shared" si="187"/>
        <v>Very High</v>
      </c>
      <c r="AR1211" t="str">
        <f t="shared" si="188"/>
        <v>Short</v>
      </c>
      <c r="AS1211">
        <f t="shared" si="189"/>
        <v>0</v>
      </c>
    </row>
    <row r="1212" spans="1:4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s="20">
        <v>2028</v>
      </c>
      <c r="T1212">
        <v>13637</v>
      </c>
      <c r="U1212">
        <v>1</v>
      </c>
      <c r="V1212" t="s">
        <v>42</v>
      </c>
      <c r="W1212" t="s">
        <v>43</v>
      </c>
      <c r="X1212" s="19">
        <v>18</v>
      </c>
      <c r="Y1212">
        <v>3</v>
      </c>
      <c r="Z1212">
        <v>4</v>
      </c>
      <c r="AA1212">
        <v>80</v>
      </c>
      <c r="AB1212">
        <v>3</v>
      </c>
      <c r="AC1212">
        <v>14</v>
      </c>
      <c r="AD1212">
        <v>6</v>
      </c>
      <c r="AE1212">
        <v>3</v>
      </c>
      <c r="AF1212">
        <v>14</v>
      </c>
      <c r="AG1212">
        <v>11</v>
      </c>
      <c r="AH1212">
        <v>2</v>
      </c>
      <c r="AI1212">
        <v>13</v>
      </c>
      <c r="AJ1212">
        <f t="shared" si="180"/>
        <v>0</v>
      </c>
      <c r="AK1212">
        <f t="shared" si="181"/>
        <v>0</v>
      </c>
      <c r="AL1212">
        <f t="shared" si="182"/>
        <v>1</v>
      </c>
      <c r="AM1212">
        <f t="shared" si="183"/>
        <v>2.75</v>
      </c>
      <c r="AN1212">
        <f t="shared" si="184"/>
        <v>1622.4</v>
      </c>
      <c r="AO1212">
        <f t="shared" si="185"/>
        <v>0.93333333333333335</v>
      </c>
      <c r="AP1212" t="str">
        <f t="shared" si="186"/>
        <v>30-39</v>
      </c>
      <c r="AQ1212" t="str">
        <f t="shared" si="187"/>
        <v>Low</v>
      </c>
      <c r="AR1212" t="str">
        <f t="shared" si="188"/>
        <v>Long</v>
      </c>
      <c r="AS1212">
        <f t="shared" si="189"/>
        <v>0</v>
      </c>
    </row>
    <row r="1213" spans="1:4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s="20">
        <v>9525</v>
      </c>
      <c r="T1213">
        <v>7677</v>
      </c>
      <c r="U1213">
        <v>1</v>
      </c>
      <c r="V1213" t="s">
        <v>42</v>
      </c>
      <c r="W1213" t="s">
        <v>43</v>
      </c>
      <c r="X1213" s="19">
        <v>14</v>
      </c>
      <c r="Y1213">
        <v>3</v>
      </c>
      <c r="Z1213">
        <v>3</v>
      </c>
      <c r="AA1213">
        <v>80</v>
      </c>
      <c r="AB1213">
        <v>2</v>
      </c>
      <c r="AC1213">
        <v>6</v>
      </c>
      <c r="AD1213">
        <v>2</v>
      </c>
      <c r="AE1213">
        <v>2</v>
      </c>
      <c r="AF1213">
        <v>6</v>
      </c>
      <c r="AG1213">
        <v>3</v>
      </c>
      <c r="AH1213">
        <v>1</v>
      </c>
      <c r="AI1213">
        <v>3</v>
      </c>
      <c r="AJ1213">
        <f t="shared" si="180"/>
        <v>0</v>
      </c>
      <c r="AK1213">
        <f t="shared" si="181"/>
        <v>0</v>
      </c>
      <c r="AL1213">
        <f t="shared" si="182"/>
        <v>1</v>
      </c>
      <c r="AM1213">
        <f t="shared" si="183"/>
        <v>3</v>
      </c>
      <c r="AN1213">
        <f t="shared" si="184"/>
        <v>16328.571428571429</v>
      </c>
      <c r="AO1213">
        <f t="shared" si="185"/>
        <v>0.8571428571428571</v>
      </c>
      <c r="AP1213" t="str">
        <f t="shared" si="186"/>
        <v>30-39</v>
      </c>
      <c r="AQ1213" t="str">
        <f t="shared" si="187"/>
        <v>Very High</v>
      </c>
      <c r="AR1213" t="str">
        <f t="shared" si="188"/>
        <v>Short</v>
      </c>
      <c r="AS1213">
        <f t="shared" si="189"/>
        <v>1</v>
      </c>
    </row>
    <row r="1214" spans="1:4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s="20">
        <v>2929</v>
      </c>
      <c r="T1214">
        <v>20338</v>
      </c>
      <c r="U1214">
        <v>1</v>
      </c>
      <c r="V1214" t="s">
        <v>42</v>
      </c>
      <c r="W1214" t="s">
        <v>43</v>
      </c>
      <c r="X1214" s="19">
        <v>12</v>
      </c>
      <c r="Y1214">
        <v>3</v>
      </c>
      <c r="Z1214">
        <v>2</v>
      </c>
      <c r="AA1214">
        <v>80</v>
      </c>
      <c r="AB1214">
        <v>0</v>
      </c>
      <c r="AC1214">
        <v>10</v>
      </c>
      <c r="AD1214">
        <v>3</v>
      </c>
      <c r="AE1214">
        <v>3</v>
      </c>
      <c r="AF1214">
        <v>10</v>
      </c>
      <c r="AG1214">
        <v>9</v>
      </c>
      <c r="AH1214">
        <v>8</v>
      </c>
      <c r="AI1214">
        <v>7</v>
      </c>
      <c r="AJ1214">
        <f t="shared" si="180"/>
        <v>0</v>
      </c>
      <c r="AK1214">
        <f t="shared" si="181"/>
        <v>0</v>
      </c>
      <c r="AL1214">
        <f t="shared" si="182"/>
        <v>0</v>
      </c>
      <c r="AM1214">
        <f t="shared" si="183"/>
        <v>2.75</v>
      </c>
      <c r="AN1214">
        <f t="shared" si="184"/>
        <v>3195.2727272727275</v>
      </c>
      <c r="AO1214">
        <f t="shared" si="185"/>
        <v>0.90909090909090906</v>
      </c>
      <c r="AP1214" t="str">
        <f t="shared" si="186"/>
        <v>30-39</v>
      </c>
      <c r="AQ1214" t="str">
        <f t="shared" si="187"/>
        <v>Medium</v>
      </c>
      <c r="AR1214" t="str">
        <f t="shared" si="188"/>
        <v>Long</v>
      </c>
      <c r="AS1214">
        <f t="shared" si="189"/>
        <v>0</v>
      </c>
    </row>
    <row r="1215" spans="1:4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s="20">
        <v>2275</v>
      </c>
      <c r="T1215">
        <v>25103</v>
      </c>
      <c r="U1215">
        <v>1</v>
      </c>
      <c r="V1215" t="s">
        <v>42</v>
      </c>
      <c r="W1215" t="s">
        <v>35</v>
      </c>
      <c r="X1215" s="19">
        <v>21</v>
      </c>
      <c r="Y1215">
        <v>4</v>
      </c>
      <c r="Z1215">
        <v>2</v>
      </c>
      <c r="AA1215">
        <v>80</v>
      </c>
      <c r="AB1215">
        <v>1</v>
      </c>
      <c r="AC1215">
        <v>3</v>
      </c>
      <c r="AD1215">
        <v>2</v>
      </c>
      <c r="AE1215">
        <v>3</v>
      </c>
      <c r="AF1215">
        <v>3</v>
      </c>
      <c r="AG1215">
        <v>2</v>
      </c>
      <c r="AH1215">
        <v>0</v>
      </c>
      <c r="AI1215">
        <v>2</v>
      </c>
      <c r="AJ1215">
        <f t="shared" si="180"/>
        <v>1</v>
      </c>
      <c r="AK1215">
        <f t="shared" si="181"/>
        <v>1</v>
      </c>
      <c r="AL1215">
        <f t="shared" si="182"/>
        <v>1</v>
      </c>
      <c r="AM1215">
        <f t="shared" si="183"/>
        <v>3</v>
      </c>
      <c r="AN1215">
        <f t="shared" si="184"/>
        <v>6825</v>
      </c>
      <c r="AO1215">
        <f t="shared" si="185"/>
        <v>0.75</v>
      </c>
      <c r="AP1215" t="str">
        <f t="shared" si="186"/>
        <v>Under 30</v>
      </c>
      <c r="AQ1215" t="str">
        <f t="shared" si="187"/>
        <v>Low</v>
      </c>
      <c r="AR1215" t="str">
        <f t="shared" si="188"/>
        <v>Medium</v>
      </c>
      <c r="AS1215">
        <f t="shared" si="189"/>
        <v>0</v>
      </c>
    </row>
    <row r="1216" spans="1:4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s="20">
        <v>7879</v>
      </c>
      <c r="T1216">
        <v>14810</v>
      </c>
      <c r="U1216">
        <v>1</v>
      </c>
      <c r="V1216" t="s">
        <v>42</v>
      </c>
      <c r="W1216" t="s">
        <v>35</v>
      </c>
      <c r="X1216" s="19">
        <v>19</v>
      </c>
      <c r="Y1216">
        <v>3</v>
      </c>
      <c r="Z1216">
        <v>2</v>
      </c>
      <c r="AA1216">
        <v>80</v>
      </c>
      <c r="AB1216">
        <v>1</v>
      </c>
      <c r="AC1216">
        <v>9</v>
      </c>
      <c r="AD1216">
        <v>2</v>
      </c>
      <c r="AE1216">
        <v>3</v>
      </c>
      <c r="AF1216">
        <v>8</v>
      </c>
      <c r="AG1216">
        <v>7</v>
      </c>
      <c r="AH1216">
        <v>6</v>
      </c>
      <c r="AI1216">
        <v>7</v>
      </c>
      <c r="AJ1216">
        <f t="shared" si="180"/>
        <v>0</v>
      </c>
      <c r="AK1216">
        <f t="shared" si="181"/>
        <v>1</v>
      </c>
      <c r="AL1216">
        <f t="shared" si="182"/>
        <v>0</v>
      </c>
      <c r="AM1216">
        <f t="shared" si="183"/>
        <v>3</v>
      </c>
      <c r="AN1216">
        <f t="shared" si="184"/>
        <v>10505.333333333334</v>
      </c>
      <c r="AO1216">
        <f t="shared" si="185"/>
        <v>0.8</v>
      </c>
      <c r="AP1216" t="str">
        <f t="shared" si="186"/>
        <v>40-49</v>
      </c>
      <c r="AQ1216" t="str">
        <f t="shared" si="187"/>
        <v>High</v>
      </c>
      <c r="AR1216" t="str">
        <f t="shared" si="188"/>
        <v>Short</v>
      </c>
      <c r="AS1216">
        <f t="shared" si="189"/>
        <v>0</v>
      </c>
    </row>
    <row r="1217" spans="1:4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s="20">
        <v>4930</v>
      </c>
      <c r="T1217">
        <v>13970</v>
      </c>
      <c r="U1217">
        <v>0</v>
      </c>
      <c r="V1217" t="s">
        <v>42</v>
      </c>
      <c r="W1217" t="s">
        <v>35</v>
      </c>
      <c r="X1217" s="19">
        <v>14</v>
      </c>
      <c r="Y1217">
        <v>3</v>
      </c>
      <c r="Z1217">
        <v>3</v>
      </c>
      <c r="AA1217">
        <v>80</v>
      </c>
      <c r="AB1217">
        <v>0</v>
      </c>
      <c r="AC1217">
        <v>6</v>
      </c>
      <c r="AD1217">
        <v>2</v>
      </c>
      <c r="AE1217">
        <v>4</v>
      </c>
      <c r="AF1217">
        <v>5</v>
      </c>
      <c r="AG1217">
        <v>4</v>
      </c>
      <c r="AH1217">
        <v>1</v>
      </c>
      <c r="AI1217">
        <v>4</v>
      </c>
      <c r="AJ1217">
        <f t="shared" si="180"/>
        <v>0</v>
      </c>
      <c r="AK1217">
        <f t="shared" si="181"/>
        <v>1</v>
      </c>
      <c r="AL1217">
        <f t="shared" si="182"/>
        <v>1</v>
      </c>
      <c r="AM1217">
        <f t="shared" si="183"/>
        <v>3</v>
      </c>
      <c r="AN1217">
        <f t="shared" si="184"/>
        <v>9860</v>
      </c>
      <c r="AO1217">
        <f t="shared" si="185"/>
        <v>0.7142857142857143</v>
      </c>
      <c r="AP1217" t="str">
        <f t="shared" si="186"/>
        <v>30-39</v>
      </c>
      <c r="AQ1217" t="str">
        <f t="shared" si="187"/>
        <v>High</v>
      </c>
      <c r="AR1217" t="str">
        <f t="shared" si="188"/>
        <v>Short</v>
      </c>
      <c r="AS1217">
        <f t="shared" si="189"/>
        <v>1</v>
      </c>
    </row>
    <row r="1218" spans="1:4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s="20">
        <v>7847</v>
      </c>
      <c r="T1218">
        <v>6069</v>
      </c>
      <c r="U1218">
        <v>1</v>
      </c>
      <c r="V1218" t="s">
        <v>42</v>
      </c>
      <c r="W1218" t="s">
        <v>35</v>
      </c>
      <c r="X1218" s="19">
        <v>17</v>
      </c>
      <c r="Y1218">
        <v>3</v>
      </c>
      <c r="Z1218">
        <v>1</v>
      </c>
      <c r="AA1218">
        <v>80</v>
      </c>
      <c r="AB1218">
        <v>1</v>
      </c>
      <c r="AC1218">
        <v>10</v>
      </c>
      <c r="AD1218">
        <v>3</v>
      </c>
      <c r="AE1218">
        <v>3</v>
      </c>
      <c r="AF1218">
        <v>10</v>
      </c>
      <c r="AG1218">
        <v>9</v>
      </c>
      <c r="AH1218">
        <v>8</v>
      </c>
      <c r="AI1218">
        <v>8</v>
      </c>
      <c r="AJ1218">
        <f t="shared" si="180"/>
        <v>0</v>
      </c>
      <c r="AK1218">
        <f t="shared" si="181"/>
        <v>1</v>
      </c>
      <c r="AL1218">
        <f t="shared" si="182"/>
        <v>1</v>
      </c>
      <c r="AM1218">
        <f t="shared" si="183"/>
        <v>3</v>
      </c>
      <c r="AN1218">
        <f t="shared" si="184"/>
        <v>8560.363636363636</v>
      </c>
      <c r="AO1218">
        <f t="shared" si="185"/>
        <v>0.90909090909090906</v>
      </c>
      <c r="AP1218" t="str">
        <f t="shared" si="186"/>
        <v>40-49</v>
      </c>
      <c r="AQ1218" t="str">
        <f t="shared" si="187"/>
        <v>High</v>
      </c>
      <c r="AR1218" t="str">
        <f t="shared" si="188"/>
        <v>Short</v>
      </c>
      <c r="AS1218">
        <f t="shared" si="189"/>
        <v>0</v>
      </c>
    </row>
    <row r="1219" spans="1:4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s="20">
        <v>4401</v>
      </c>
      <c r="T1219">
        <v>17616</v>
      </c>
      <c r="U1219">
        <v>1</v>
      </c>
      <c r="V1219" t="s">
        <v>42</v>
      </c>
      <c r="W1219" t="s">
        <v>43</v>
      </c>
      <c r="X1219" s="19">
        <v>16</v>
      </c>
      <c r="Y1219">
        <v>3</v>
      </c>
      <c r="Z1219">
        <v>4</v>
      </c>
      <c r="AA1219">
        <v>80</v>
      </c>
      <c r="AB1219">
        <v>1</v>
      </c>
      <c r="AC1219">
        <v>5</v>
      </c>
      <c r="AD1219">
        <v>1</v>
      </c>
      <c r="AE1219">
        <v>3</v>
      </c>
      <c r="AF1219">
        <v>5</v>
      </c>
      <c r="AG1219">
        <v>3</v>
      </c>
      <c r="AH1219">
        <v>0</v>
      </c>
      <c r="AI1219">
        <v>4</v>
      </c>
      <c r="AJ1219">
        <f t="shared" ref="AJ1219:AJ1282" si="190">IF(B1219="Yes",1,0)</f>
        <v>0</v>
      </c>
      <c r="AK1219">
        <f t="shared" ref="AK1219:AK1282" si="191">IF(W1219="Yes",1,0)</f>
        <v>0</v>
      </c>
      <c r="AL1219">
        <f t="shared" ref="AL1219:AL1282" si="192">IF(L1219="Male",1,0)</f>
        <v>1</v>
      </c>
      <c r="AM1219">
        <f t="shared" ref="AM1219:AM1282" si="193">AVERAGE(K1219,Q1219,Z1219,AE1219)</f>
        <v>3.25</v>
      </c>
      <c r="AN1219">
        <f t="shared" ref="AN1219:AN1282" si="194">(S1219*12)/(AF1219+1)</f>
        <v>8802</v>
      </c>
      <c r="AO1219">
        <f t="shared" ref="AO1219:AO1282" si="195">AF1219/(AC1219+1)</f>
        <v>0.83333333333333337</v>
      </c>
      <c r="AP1219" t="str">
        <f t="shared" ref="AP1219:AP1282" si="196">IF(A1219&lt;30,"Under 30",IF(A1219&lt;40,"30-39",IF(A1219&lt;50,"40-49","50+")))</f>
        <v>Under 30</v>
      </c>
      <c r="AQ1219" t="str">
        <f t="shared" ref="AQ1219:AQ1282" si="197">IF(S1219&lt;=$AV$1,"Low",IF(S1219&lt;=$AV$2,"Medium",IF(S1219&lt;=$AV$3,"High","Very High")))</f>
        <v>Medium</v>
      </c>
      <c r="AR1219" t="str">
        <f t="shared" ref="AR1219:AR1282" si="198">IF(F1219&lt;=5,"Short",IF(F1219&lt;=15,"Medium","Long"))</f>
        <v>Medium</v>
      </c>
      <c r="AS1219">
        <f t="shared" ref="AS1219:AS1282" si="199">IF(C1219="Travel_Frequently",1,0)</f>
        <v>0</v>
      </c>
    </row>
    <row r="1220" spans="1:4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s="20">
        <v>9241</v>
      </c>
      <c r="T1220">
        <v>15869</v>
      </c>
      <c r="U1220">
        <v>1</v>
      </c>
      <c r="V1220" t="s">
        <v>42</v>
      </c>
      <c r="W1220" t="s">
        <v>43</v>
      </c>
      <c r="X1220" s="19">
        <v>12</v>
      </c>
      <c r="Y1220">
        <v>3</v>
      </c>
      <c r="Z1220">
        <v>2</v>
      </c>
      <c r="AA1220">
        <v>80</v>
      </c>
      <c r="AB1220">
        <v>0</v>
      </c>
      <c r="AC1220">
        <v>10</v>
      </c>
      <c r="AD1220">
        <v>3</v>
      </c>
      <c r="AE1220">
        <v>3</v>
      </c>
      <c r="AF1220">
        <v>10</v>
      </c>
      <c r="AG1220">
        <v>8</v>
      </c>
      <c r="AH1220">
        <v>8</v>
      </c>
      <c r="AI1220">
        <v>7</v>
      </c>
      <c r="AJ1220">
        <f t="shared" si="190"/>
        <v>0</v>
      </c>
      <c r="AK1220">
        <f t="shared" si="191"/>
        <v>0</v>
      </c>
      <c r="AL1220">
        <f t="shared" si="192"/>
        <v>1</v>
      </c>
      <c r="AM1220">
        <f t="shared" si="193"/>
        <v>3</v>
      </c>
      <c r="AN1220">
        <f t="shared" si="194"/>
        <v>10081.09090909091</v>
      </c>
      <c r="AO1220">
        <f t="shared" si="195"/>
        <v>0.90909090909090906</v>
      </c>
      <c r="AP1220" t="str">
        <f t="shared" si="196"/>
        <v>40-49</v>
      </c>
      <c r="AQ1220" t="str">
        <f t="shared" si="197"/>
        <v>Very High</v>
      </c>
      <c r="AR1220" t="str">
        <f t="shared" si="198"/>
        <v>Medium</v>
      </c>
      <c r="AS1220">
        <f t="shared" si="199"/>
        <v>0</v>
      </c>
    </row>
    <row r="1221" spans="1:4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s="20">
        <v>2974</v>
      </c>
      <c r="T1221">
        <v>25412</v>
      </c>
      <c r="U1221">
        <v>9</v>
      </c>
      <c r="V1221" t="s">
        <v>42</v>
      </c>
      <c r="W1221" t="s">
        <v>43</v>
      </c>
      <c r="X1221" s="19">
        <v>17</v>
      </c>
      <c r="Y1221">
        <v>3</v>
      </c>
      <c r="Z1221">
        <v>3</v>
      </c>
      <c r="AA1221">
        <v>80</v>
      </c>
      <c r="AB1221">
        <v>1</v>
      </c>
      <c r="AC1221">
        <v>9</v>
      </c>
      <c r="AD1221">
        <v>2</v>
      </c>
      <c r="AE1221">
        <v>3</v>
      </c>
      <c r="AF1221">
        <v>5</v>
      </c>
      <c r="AG1221">
        <v>3</v>
      </c>
      <c r="AH1221">
        <v>1</v>
      </c>
      <c r="AI1221">
        <v>2</v>
      </c>
      <c r="AJ1221">
        <f t="shared" si="190"/>
        <v>0</v>
      </c>
      <c r="AK1221">
        <f t="shared" si="191"/>
        <v>0</v>
      </c>
      <c r="AL1221">
        <f t="shared" si="192"/>
        <v>0</v>
      </c>
      <c r="AM1221">
        <f t="shared" si="193"/>
        <v>3.25</v>
      </c>
      <c r="AN1221">
        <f t="shared" si="194"/>
        <v>5948</v>
      </c>
      <c r="AO1221">
        <f t="shared" si="195"/>
        <v>0.5</v>
      </c>
      <c r="AP1221" t="str">
        <f t="shared" si="196"/>
        <v>Under 30</v>
      </c>
      <c r="AQ1221" t="str">
        <f t="shared" si="197"/>
        <v>Medium</v>
      </c>
      <c r="AR1221" t="str">
        <f t="shared" si="198"/>
        <v>Medium</v>
      </c>
      <c r="AS1221">
        <f t="shared" si="199"/>
        <v>0</v>
      </c>
    </row>
    <row r="1222" spans="1:4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s="20">
        <v>4502</v>
      </c>
      <c r="T1222">
        <v>7439</v>
      </c>
      <c r="U1222">
        <v>3</v>
      </c>
      <c r="V1222" t="s">
        <v>42</v>
      </c>
      <c r="W1222" t="s">
        <v>43</v>
      </c>
      <c r="X1222" s="19">
        <v>15</v>
      </c>
      <c r="Y1222">
        <v>3</v>
      </c>
      <c r="Z1222">
        <v>3</v>
      </c>
      <c r="AA1222">
        <v>80</v>
      </c>
      <c r="AB1222">
        <v>0</v>
      </c>
      <c r="AC1222">
        <v>17</v>
      </c>
      <c r="AD1222">
        <v>2</v>
      </c>
      <c r="AE1222">
        <v>2</v>
      </c>
      <c r="AF1222">
        <v>13</v>
      </c>
      <c r="AG1222">
        <v>7</v>
      </c>
      <c r="AH1222">
        <v>6</v>
      </c>
      <c r="AI1222">
        <v>7</v>
      </c>
      <c r="AJ1222">
        <f t="shared" si="190"/>
        <v>0</v>
      </c>
      <c r="AK1222">
        <f t="shared" si="191"/>
        <v>0</v>
      </c>
      <c r="AL1222">
        <f t="shared" si="192"/>
        <v>0</v>
      </c>
      <c r="AM1222">
        <f t="shared" si="193"/>
        <v>3</v>
      </c>
      <c r="AN1222">
        <f t="shared" si="194"/>
        <v>3858.8571428571427</v>
      </c>
      <c r="AO1222">
        <f t="shared" si="195"/>
        <v>0.72222222222222221</v>
      </c>
      <c r="AP1222" t="str">
        <f t="shared" si="196"/>
        <v>30-39</v>
      </c>
      <c r="AQ1222" t="str">
        <f t="shared" si="197"/>
        <v>Medium</v>
      </c>
      <c r="AR1222" t="str">
        <f t="shared" si="198"/>
        <v>Short</v>
      </c>
      <c r="AS1222">
        <f t="shared" si="199"/>
        <v>0</v>
      </c>
    </row>
    <row r="1223" spans="1:4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s="20">
        <v>10748</v>
      </c>
      <c r="T1223">
        <v>3395</v>
      </c>
      <c r="U1223">
        <v>3</v>
      </c>
      <c r="V1223" t="s">
        <v>42</v>
      </c>
      <c r="W1223" t="s">
        <v>43</v>
      </c>
      <c r="X1223" s="19">
        <v>23</v>
      </c>
      <c r="Y1223">
        <v>4</v>
      </c>
      <c r="Z1223">
        <v>4</v>
      </c>
      <c r="AA1223">
        <v>80</v>
      </c>
      <c r="AB1223">
        <v>1</v>
      </c>
      <c r="AC1223">
        <v>25</v>
      </c>
      <c r="AD1223">
        <v>3</v>
      </c>
      <c r="AE1223">
        <v>2</v>
      </c>
      <c r="AF1223">
        <v>23</v>
      </c>
      <c r="AG1223">
        <v>15</v>
      </c>
      <c r="AH1223">
        <v>14</v>
      </c>
      <c r="AI1223">
        <v>4</v>
      </c>
      <c r="AJ1223">
        <f t="shared" si="190"/>
        <v>0</v>
      </c>
      <c r="AK1223">
        <f t="shared" si="191"/>
        <v>0</v>
      </c>
      <c r="AL1223">
        <f t="shared" si="192"/>
        <v>1</v>
      </c>
      <c r="AM1223">
        <f t="shared" si="193"/>
        <v>3</v>
      </c>
      <c r="AN1223">
        <f t="shared" si="194"/>
        <v>5374</v>
      </c>
      <c r="AO1223">
        <f t="shared" si="195"/>
        <v>0.88461538461538458</v>
      </c>
      <c r="AP1223" t="str">
        <f t="shared" si="196"/>
        <v>40-49</v>
      </c>
      <c r="AQ1223" t="str">
        <f t="shared" si="197"/>
        <v>Very High</v>
      </c>
      <c r="AR1223" t="str">
        <f t="shared" si="198"/>
        <v>Short</v>
      </c>
      <c r="AS1223">
        <f t="shared" si="199"/>
        <v>0</v>
      </c>
    </row>
    <row r="1224" spans="1:4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s="20">
        <v>1555</v>
      </c>
      <c r="T1224">
        <v>11585</v>
      </c>
      <c r="U1224">
        <v>1</v>
      </c>
      <c r="V1224" t="s">
        <v>42</v>
      </c>
      <c r="W1224" t="s">
        <v>43</v>
      </c>
      <c r="X1224" s="19">
        <v>11</v>
      </c>
      <c r="Y1224">
        <v>3</v>
      </c>
      <c r="Z1224">
        <v>3</v>
      </c>
      <c r="AA1224">
        <v>80</v>
      </c>
      <c r="AB1224">
        <v>1</v>
      </c>
      <c r="AC1224">
        <v>1</v>
      </c>
      <c r="AD1224">
        <v>2</v>
      </c>
      <c r="AE1224">
        <v>3</v>
      </c>
      <c r="AF1224">
        <v>1</v>
      </c>
      <c r="AG1224">
        <v>0</v>
      </c>
      <c r="AH1224">
        <v>0</v>
      </c>
      <c r="AI1224">
        <v>0</v>
      </c>
      <c r="AJ1224">
        <f t="shared" si="190"/>
        <v>1</v>
      </c>
      <c r="AK1224">
        <f t="shared" si="191"/>
        <v>0</v>
      </c>
      <c r="AL1224">
        <f t="shared" si="192"/>
        <v>1</v>
      </c>
      <c r="AM1224">
        <f t="shared" si="193"/>
        <v>3.25</v>
      </c>
      <c r="AN1224">
        <f t="shared" si="194"/>
        <v>9330</v>
      </c>
      <c r="AO1224">
        <f t="shared" si="195"/>
        <v>0.5</v>
      </c>
      <c r="AP1224" t="str">
        <f t="shared" si="196"/>
        <v>Under 30</v>
      </c>
      <c r="AQ1224" t="str">
        <f t="shared" si="197"/>
        <v>Low</v>
      </c>
      <c r="AR1224" t="str">
        <f t="shared" si="198"/>
        <v>Long</v>
      </c>
      <c r="AS1224">
        <f t="shared" si="199"/>
        <v>0</v>
      </c>
    </row>
    <row r="1225" spans="1:4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s="20">
        <v>12936</v>
      </c>
      <c r="T1225">
        <v>24164</v>
      </c>
      <c r="U1225">
        <v>7</v>
      </c>
      <c r="V1225" t="s">
        <v>42</v>
      </c>
      <c r="W1225" t="s">
        <v>43</v>
      </c>
      <c r="X1225" s="19">
        <v>11</v>
      </c>
      <c r="Y1225">
        <v>3</v>
      </c>
      <c r="Z1225">
        <v>3</v>
      </c>
      <c r="AA1225">
        <v>80</v>
      </c>
      <c r="AB1225">
        <v>0</v>
      </c>
      <c r="AC1225">
        <v>25</v>
      </c>
      <c r="AD1225">
        <v>3</v>
      </c>
      <c r="AE1225">
        <v>1</v>
      </c>
      <c r="AF1225">
        <v>23</v>
      </c>
      <c r="AG1225">
        <v>5</v>
      </c>
      <c r="AH1225">
        <v>14</v>
      </c>
      <c r="AI1225">
        <v>10</v>
      </c>
      <c r="AJ1225">
        <f t="shared" si="190"/>
        <v>1</v>
      </c>
      <c r="AK1225">
        <f t="shared" si="191"/>
        <v>0</v>
      </c>
      <c r="AL1225">
        <f t="shared" si="192"/>
        <v>1</v>
      </c>
      <c r="AM1225">
        <f t="shared" si="193"/>
        <v>2.5</v>
      </c>
      <c r="AN1225">
        <f t="shared" si="194"/>
        <v>6468</v>
      </c>
      <c r="AO1225">
        <f t="shared" si="195"/>
        <v>0.88461538461538458</v>
      </c>
      <c r="AP1225" t="str">
        <f t="shared" si="196"/>
        <v>40-49</v>
      </c>
      <c r="AQ1225" t="str">
        <f t="shared" si="197"/>
        <v>Very High</v>
      </c>
      <c r="AR1225" t="str">
        <f t="shared" si="198"/>
        <v>Medium</v>
      </c>
      <c r="AS1225">
        <f t="shared" si="199"/>
        <v>1</v>
      </c>
    </row>
    <row r="1226" spans="1:4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s="20">
        <v>2305</v>
      </c>
      <c r="T1226">
        <v>6217</v>
      </c>
      <c r="U1226">
        <v>1</v>
      </c>
      <c r="V1226" t="s">
        <v>42</v>
      </c>
      <c r="W1226" t="s">
        <v>43</v>
      </c>
      <c r="X1226" s="19">
        <v>15</v>
      </c>
      <c r="Y1226">
        <v>3</v>
      </c>
      <c r="Z1226">
        <v>3</v>
      </c>
      <c r="AA1226">
        <v>80</v>
      </c>
      <c r="AB1226">
        <v>3</v>
      </c>
      <c r="AC1226">
        <v>3</v>
      </c>
      <c r="AD1226">
        <v>3</v>
      </c>
      <c r="AE1226">
        <v>4</v>
      </c>
      <c r="AF1226">
        <v>3</v>
      </c>
      <c r="AG1226">
        <v>2</v>
      </c>
      <c r="AH1226">
        <v>0</v>
      </c>
      <c r="AI1226">
        <v>2</v>
      </c>
      <c r="AJ1226">
        <f t="shared" si="190"/>
        <v>0</v>
      </c>
      <c r="AK1226">
        <f t="shared" si="191"/>
        <v>0</v>
      </c>
      <c r="AL1226">
        <f t="shared" si="192"/>
        <v>1</v>
      </c>
      <c r="AM1226">
        <f t="shared" si="193"/>
        <v>3.5</v>
      </c>
      <c r="AN1226">
        <f t="shared" si="194"/>
        <v>6915</v>
      </c>
      <c r="AO1226">
        <f t="shared" si="195"/>
        <v>0.75</v>
      </c>
      <c r="AP1226" t="str">
        <f t="shared" si="196"/>
        <v>Under 30</v>
      </c>
      <c r="AQ1226" t="str">
        <f t="shared" si="197"/>
        <v>Low</v>
      </c>
      <c r="AR1226" t="str">
        <f t="shared" si="198"/>
        <v>Long</v>
      </c>
      <c r="AS1226">
        <f t="shared" si="199"/>
        <v>0</v>
      </c>
    </row>
    <row r="1227" spans="1:4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s="20">
        <v>16704</v>
      </c>
      <c r="T1227">
        <v>17119</v>
      </c>
      <c r="U1227">
        <v>1</v>
      </c>
      <c r="V1227" t="s">
        <v>42</v>
      </c>
      <c r="W1227" t="s">
        <v>43</v>
      </c>
      <c r="X1227" s="19">
        <v>11</v>
      </c>
      <c r="Y1227">
        <v>3</v>
      </c>
      <c r="Z1227">
        <v>3</v>
      </c>
      <c r="AA1227">
        <v>80</v>
      </c>
      <c r="AB1227">
        <v>0</v>
      </c>
      <c r="AC1227">
        <v>21</v>
      </c>
      <c r="AD1227">
        <v>2</v>
      </c>
      <c r="AE1227">
        <v>3</v>
      </c>
      <c r="AF1227">
        <v>21</v>
      </c>
      <c r="AG1227">
        <v>6</v>
      </c>
      <c r="AH1227">
        <v>8</v>
      </c>
      <c r="AI1227">
        <v>6</v>
      </c>
      <c r="AJ1227">
        <f t="shared" si="190"/>
        <v>0</v>
      </c>
      <c r="AK1227">
        <f t="shared" si="191"/>
        <v>0</v>
      </c>
      <c r="AL1227">
        <f t="shared" si="192"/>
        <v>0</v>
      </c>
      <c r="AM1227">
        <f t="shared" si="193"/>
        <v>3</v>
      </c>
      <c r="AN1227">
        <f t="shared" si="194"/>
        <v>9111.2727272727279</v>
      </c>
      <c r="AO1227">
        <f t="shared" si="195"/>
        <v>0.95454545454545459</v>
      </c>
      <c r="AP1227" t="str">
        <f t="shared" si="196"/>
        <v>40-49</v>
      </c>
      <c r="AQ1227" t="str">
        <f t="shared" si="197"/>
        <v>Very High</v>
      </c>
      <c r="AR1227" t="str">
        <f t="shared" si="198"/>
        <v>Long</v>
      </c>
      <c r="AS1227">
        <f t="shared" si="199"/>
        <v>0</v>
      </c>
    </row>
    <row r="1228" spans="1:4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s="20">
        <v>3433</v>
      </c>
      <c r="T1228">
        <v>17360</v>
      </c>
      <c r="U1228">
        <v>6</v>
      </c>
      <c r="V1228" t="s">
        <v>42</v>
      </c>
      <c r="W1228" t="s">
        <v>43</v>
      </c>
      <c r="X1228" s="19">
        <v>13</v>
      </c>
      <c r="Y1228">
        <v>3</v>
      </c>
      <c r="Z1228">
        <v>1</v>
      </c>
      <c r="AA1228">
        <v>80</v>
      </c>
      <c r="AB1228">
        <v>1</v>
      </c>
      <c r="AC1228">
        <v>10</v>
      </c>
      <c r="AD1228">
        <v>3</v>
      </c>
      <c r="AE1228">
        <v>2</v>
      </c>
      <c r="AF1228">
        <v>5</v>
      </c>
      <c r="AG1228">
        <v>2</v>
      </c>
      <c r="AH1228">
        <v>1</v>
      </c>
      <c r="AI1228">
        <v>3</v>
      </c>
      <c r="AJ1228">
        <f t="shared" si="190"/>
        <v>0</v>
      </c>
      <c r="AK1228">
        <f t="shared" si="191"/>
        <v>0</v>
      </c>
      <c r="AL1228">
        <f t="shared" si="192"/>
        <v>1</v>
      </c>
      <c r="AM1228">
        <f t="shared" si="193"/>
        <v>1.75</v>
      </c>
      <c r="AN1228">
        <f t="shared" si="194"/>
        <v>6866</v>
      </c>
      <c r="AO1228">
        <f t="shared" si="195"/>
        <v>0.45454545454545453</v>
      </c>
      <c r="AP1228" t="str">
        <f t="shared" si="196"/>
        <v>30-39</v>
      </c>
      <c r="AQ1228" t="str">
        <f t="shared" si="197"/>
        <v>Medium</v>
      </c>
      <c r="AR1228" t="str">
        <f t="shared" si="198"/>
        <v>Medium</v>
      </c>
      <c r="AS1228">
        <f t="shared" si="199"/>
        <v>1</v>
      </c>
    </row>
    <row r="1229" spans="1:4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s="20">
        <v>3477</v>
      </c>
      <c r="T1229">
        <v>18103</v>
      </c>
      <c r="U1229">
        <v>1</v>
      </c>
      <c r="V1229" t="s">
        <v>42</v>
      </c>
      <c r="W1229" t="s">
        <v>43</v>
      </c>
      <c r="X1229" s="19">
        <v>14</v>
      </c>
      <c r="Y1229">
        <v>3</v>
      </c>
      <c r="Z1229">
        <v>4</v>
      </c>
      <c r="AA1229">
        <v>80</v>
      </c>
      <c r="AB1229">
        <v>1</v>
      </c>
      <c r="AC1229">
        <v>6</v>
      </c>
      <c r="AD1229">
        <v>2</v>
      </c>
      <c r="AE1229">
        <v>4</v>
      </c>
      <c r="AF1229">
        <v>5</v>
      </c>
      <c r="AG1229">
        <v>2</v>
      </c>
      <c r="AH1229">
        <v>0</v>
      </c>
      <c r="AI1229">
        <v>3</v>
      </c>
      <c r="AJ1229">
        <f t="shared" si="190"/>
        <v>0</v>
      </c>
      <c r="AK1229">
        <f t="shared" si="191"/>
        <v>0</v>
      </c>
      <c r="AL1229">
        <f t="shared" si="192"/>
        <v>1</v>
      </c>
      <c r="AM1229">
        <f t="shared" si="193"/>
        <v>3.25</v>
      </c>
      <c r="AN1229">
        <f t="shared" si="194"/>
        <v>6954</v>
      </c>
      <c r="AO1229">
        <f t="shared" si="195"/>
        <v>0.7142857142857143</v>
      </c>
      <c r="AP1229" t="str">
        <f t="shared" si="196"/>
        <v>30-39</v>
      </c>
      <c r="AQ1229" t="str">
        <f t="shared" si="197"/>
        <v>Medium</v>
      </c>
      <c r="AR1229" t="str">
        <f t="shared" si="198"/>
        <v>Short</v>
      </c>
      <c r="AS1229">
        <f t="shared" si="199"/>
        <v>0</v>
      </c>
    </row>
    <row r="1230" spans="1:4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s="20">
        <v>6430</v>
      </c>
      <c r="T1230">
        <v>20794</v>
      </c>
      <c r="U1230">
        <v>6</v>
      </c>
      <c r="V1230" t="s">
        <v>42</v>
      </c>
      <c r="W1230" t="s">
        <v>43</v>
      </c>
      <c r="X1230" s="19">
        <v>19</v>
      </c>
      <c r="Y1230">
        <v>3</v>
      </c>
      <c r="Z1230">
        <v>2</v>
      </c>
      <c r="AA1230">
        <v>80</v>
      </c>
      <c r="AB1230">
        <v>1</v>
      </c>
      <c r="AC1230">
        <v>10</v>
      </c>
      <c r="AD1230">
        <v>4</v>
      </c>
      <c r="AE1230">
        <v>3</v>
      </c>
      <c r="AF1230">
        <v>3</v>
      </c>
      <c r="AG1230">
        <v>2</v>
      </c>
      <c r="AH1230">
        <v>1</v>
      </c>
      <c r="AI1230">
        <v>2</v>
      </c>
      <c r="AJ1230">
        <f t="shared" si="190"/>
        <v>0</v>
      </c>
      <c r="AK1230">
        <f t="shared" si="191"/>
        <v>0</v>
      </c>
      <c r="AL1230">
        <f t="shared" si="192"/>
        <v>1</v>
      </c>
      <c r="AM1230">
        <f t="shared" si="193"/>
        <v>2.5</v>
      </c>
      <c r="AN1230">
        <f t="shared" si="194"/>
        <v>19290</v>
      </c>
      <c r="AO1230">
        <f t="shared" si="195"/>
        <v>0.27272727272727271</v>
      </c>
      <c r="AP1230" t="str">
        <f t="shared" si="196"/>
        <v>40-49</v>
      </c>
      <c r="AQ1230" t="str">
        <f t="shared" si="197"/>
        <v>High</v>
      </c>
      <c r="AR1230" t="str">
        <f t="shared" si="198"/>
        <v>Short</v>
      </c>
      <c r="AS1230">
        <f t="shared" si="199"/>
        <v>0</v>
      </c>
    </row>
    <row r="1231" spans="1:4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s="20">
        <v>6516</v>
      </c>
      <c r="T1231">
        <v>5041</v>
      </c>
      <c r="U1231">
        <v>2</v>
      </c>
      <c r="V1231" t="s">
        <v>42</v>
      </c>
      <c r="W1231" t="s">
        <v>35</v>
      </c>
      <c r="X1231" s="19">
        <v>16</v>
      </c>
      <c r="Y1231">
        <v>3</v>
      </c>
      <c r="Z1231">
        <v>2</v>
      </c>
      <c r="AA1231">
        <v>80</v>
      </c>
      <c r="AB1231">
        <v>1</v>
      </c>
      <c r="AC1231">
        <v>18</v>
      </c>
      <c r="AD1231">
        <v>3</v>
      </c>
      <c r="AE1231">
        <v>3</v>
      </c>
      <c r="AF1231">
        <v>1</v>
      </c>
      <c r="AG1231">
        <v>0</v>
      </c>
      <c r="AH1231">
        <v>0</v>
      </c>
      <c r="AI1231">
        <v>0</v>
      </c>
      <c r="AJ1231">
        <f t="shared" si="190"/>
        <v>0</v>
      </c>
      <c r="AK1231">
        <f t="shared" si="191"/>
        <v>1</v>
      </c>
      <c r="AL1231">
        <f t="shared" si="192"/>
        <v>0</v>
      </c>
      <c r="AM1231">
        <f t="shared" si="193"/>
        <v>2</v>
      </c>
      <c r="AN1231">
        <f t="shared" si="194"/>
        <v>39096</v>
      </c>
      <c r="AO1231">
        <f t="shared" si="195"/>
        <v>5.2631578947368418E-2</v>
      </c>
      <c r="AP1231" t="str">
        <f t="shared" si="196"/>
        <v>40-49</v>
      </c>
      <c r="AQ1231" t="str">
        <f t="shared" si="197"/>
        <v>High</v>
      </c>
      <c r="AR1231" t="str">
        <f t="shared" si="198"/>
        <v>Medium</v>
      </c>
      <c r="AS1231">
        <f t="shared" si="199"/>
        <v>0</v>
      </c>
    </row>
    <row r="1232" spans="1:4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s="20">
        <v>3907</v>
      </c>
      <c r="T1232">
        <v>3622</v>
      </c>
      <c r="U1232">
        <v>1</v>
      </c>
      <c r="V1232" t="s">
        <v>42</v>
      </c>
      <c r="W1232" t="s">
        <v>43</v>
      </c>
      <c r="X1232" s="19">
        <v>13</v>
      </c>
      <c r="Y1232">
        <v>3</v>
      </c>
      <c r="Z1232">
        <v>2</v>
      </c>
      <c r="AA1232">
        <v>80</v>
      </c>
      <c r="AB1232">
        <v>3</v>
      </c>
      <c r="AC1232">
        <v>6</v>
      </c>
      <c r="AD1232">
        <v>2</v>
      </c>
      <c r="AE1232">
        <v>4</v>
      </c>
      <c r="AF1232">
        <v>6</v>
      </c>
      <c r="AG1232">
        <v>2</v>
      </c>
      <c r="AH1232">
        <v>1</v>
      </c>
      <c r="AI1232">
        <v>2</v>
      </c>
      <c r="AJ1232">
        <f t="shared" si="190"/>
        <v>0</v>
      </c>
      <c r="AK1232">
        <f t="shared" si="191"/>
        <v>0</v>
      </c>
      <c r="AL1232">
        <f t="shared" si="192"/>
        <v>1</v>
      </c>
      <c r="AM1232">
        <f t="shared" si="193"/>
        <v>2.25</v>
      </c>
      <c r="AN1232">
        <f t="shared" si="194"/>
        <v>6697.7142857142853</v>
      </c>
      <c r="AO1232">
        <f t="shared" si="195"/>
        <v>0.8571428571428571</v>
      </c>
      <c r="AP1232" t="str">
        <f t="shared" si="196"/>
        <v>Under 30</v>
      </c>
      <c r="AQ1232" t="str">
        <f t="shared" si="197"/>
        <v>Medium</v>
      </c>
      <c r="AR1232" t="str">
        <f t="shared" si="198"/>
        <v>Long</v>
      </c>
      <c r="AS1232">
        <f t="shared" si="199"/>
        <v>0</v>
      </c>
    </row>
    <row r="1233" spans="1:4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s="20">
        <v>5562</v>
      </c>
      <c r="T1233">
        <v>9697</v>
      </c>
      <c r="U1233">
        <v>6</v>
      </c>
      <c r="V1233" t="s">
        <v>42</v>
      </c>
      <c r="W1233" t="s">
        <v>43</v>
      </c>
      <c r="X1233" s="19">
        <v>14</v>
      </c>
      <c r="Y1233">
        <v>3</v>
      </c>
      <c r="Z1233">
        <v>4</v>
      </c>
      <c r="AA1233">
        <v>80</v>
      </c>
      <c r="AB1233">
        <v>0</v>
      </c>
      <c r="AC1233">
        <v>19</v>
      </c>
      <c r="AD1233">
        <v>3</v>
      </c>
      <c r="AE1233">
        <v>3</v>
      </c>
      <c r="AF1233">
        <v>10</v>
      </c>
      <c r="AG1233">
        <v>7</v>
      </c>
      <c r="AH1233">
        <v>0</v>
      </c>
      <c r="AI1233">
        <v>9</v>
      </c>
      <c r="AJ1233">
        <f t="shared" si="190"/>
        <v>0</v>
      </c>
      <c r="AK1233">
        <f t="shared" si="191"/>
        <v>0</v>
      </c>
      <c r="AL1233">
        <f t="shared" si="192"/>
        <v>1</v>
      </c>
      <c r="AM1233">
        <f t="shared" si="193"/>
        <v>3</v>
      </c>
      <c r="AN1233">
        <f t="shared" si="194"/>
        <v>6067.636363636364</v>
      </c>
      <c r="AO1233">
        <f t="shared" si="195"/>
        <v>0.5</v>
      </c>
      <c r="AP1233" t="str">
        <f t="shared" si="196"/>
        <v>40-49</v>
      </c>
      <c r="AQ1233" t="str">
        <f t="shared" si="197"/>
        <v>High</v>
      </c>
      <c r="AR1233" t="str">
        <f t="shared" si="198"/>
        <v>Medium</v>
      </c>
      <c r="AS1233">
        <f t="shared" si="199"/>
        <v>0</v>
      </c>
    </row>
    <row r="1234" spans="1:4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s="20">
        <v>6883</v>
      </c>
      <c r="T1234">
        <v>5151</v>
      </c>
      <c r="U1234">
        <v>2</v>
      </c>
      <c r="V1234" t="s">
        <v>42</v>
      </c>
      <c r="W1234" t="s">
        <v>43</v>
      </c>
      <c r="X1234" s="19">
        <v>16</v>
      </c>
      <c r="Y1234">
        <v>3</v>
      </c>
      <c r="Z1234">
        <v>2</v>
      </c>
      <c r="AA1234">
        <v>80</v>
      </c>
      <c r="AB1234">
        <v>1</v>
      </c>
      <c r="AC1234">
        <v>17</v>
      </c>
      <c r="AD1234">
        <v>3</v>
      </c>
      <c r="AE1234">
        <v>3</v>
      </c>
      <c r="AF1234">
        <v>7</v>
      </c>
      <c r="AG1234">
        <v>7</v>
      </c>
      <c r="AH1234">
        <v>0</v>
      </c>
      <c r="AI1234">
        <v>7</v>
      </c>
      <c r="AJ1234">
        <f t="shared" si="190"/>
        <v>0</v>
      </c>
      <c r="AK1234">
        <f t="shared" si="191"/>
        <v>0</v>
      </c>
      <c r="AL1234">
        <f t="shared" si="192"/>
        <v>1</v>
      </c>
      <c r="AM1234">
        <f t="shared" si="193"/>
        <v>3</v>
      </c>
      <c r="AN1234">
        <f t="shared" si="194"/>
        <v>10324.5</v>
      </c>
      <c r="AO1234">
        <f t="shared" si="195"/>
        <v>0.3888888888888889</v>
      </c>
      <c r="AP1234" t="str">
        <f t="shared" si="196"/>
        <v>30-39</v>
      </c>
      <c r="AQ1234" t="str">
        <f t="shared" si="197"/>
        <v>High</v>
      </c>
      <c r="AR1234" t="str">
        <f t="shared" si="198"/>
        <v>Long</v>
      </c>
      <c r="AS1234">
        <f t="shared" si="199"/>
        <v>0</v>
      </c>
    </row>
    <row r="1235" spans="1:4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s="20">
        <v>2862</v>
      </c>
      <c r="T1235">
        <v>3811</v>
      </c>
      <c r="U1235">
        <v>1</v>
      </c>
      <c r="V1235" t="s">
        <v>42</v>
      </c>
      <c r="W1235" t="s">
        <v>43</v>
      </c>
      <c r="X1235" s="19">
        <v>12</v>
      </c>
      <c r="Y1235">
        <v>3</v>
      </c>
      <c r="Z1235">
        <v>2</v>
      </c>
      <c r="AA1235">
        <v>80</v>
      </c>
      <c r="AB1235">
        <v>1</v>
      </c>
      <c r="AC1235">
        <v>10</v>
      </c>
      <c r="AD1235">
        <v>2</v>
      </c>
      <c r="AE1235">
        <v>2</v>
      </c>
      <c r="AF1235">
        <v>10</v>
      </c>
      <c r="AG1235">
        <v>0</v>
      </c>
      <c r="AH1235">
        <v>0</v>
      </c>
      <c r="AI1235">
        <v>8</v>
      </c>
      <c r="AJ1235">
        <f t="shared" si="190"/>
        <v>0</v>
      </c>
      <c r="AK1235">
        <f t="shared" si="191"/>
        <v>0</v>
      </c>
      <c r="AL1235">
        <f t="shared" si="192"/>
        <v>1</v>
      </c>
      <c r="AM1235">
        <f t="shared" si="193"/>
        <v>2.5</v>
      </c>
      <c r="AN1235">
        <f t="shared" si="194"/>
        <v>3122.181818181818</v>
      </c>
      <c r="AO1235">
        <f t="shared" si="195"/>
        <v>0.90909090909090906</v>
      </c>
      <c r="AP1235" t="str">
        <f t="shared" si="196"/>
        <v>30-39</v>
      </c>
      <c r="AQ1235" t="str">
        <f t="shared" si="197"/>
        <v>Low</v>
      </c>
      <c r="AR1235" t="str">
        <f t="shared" si="198"/>
        <v>Long</v>
      </c>
      <c r="AS1235">
        <f t="shared" si="199"/>
        <v>0</v>
      </c>
    </row>
    <row r="1236" spans="1:4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s="20">
        <v>4978</v>
      </c>
      <c r="T1236">
        <v>3536</v>
      </c>
      <c r="U1236">
        <v>7</v>
      </c>
      <c r="V1236" t="s">
        <v>42</v>
      </c>
      <c r="W1236" t="s">
        <v>43</v>
      </c>
      <c r="X1236" s="19">
        <v>11</v>
      </c>
      <c r="Y1236">
        <v>3</v>
      </c>
      <c r="Z1236">
        <v>4</v>
      </c>
      <c r="AA1236">
        <v>80</v>
      </c>
      <c r="AB1236">
        <v>1</v>
      </c>
      <c r="AC1236">
        <v>4</v>
      </c>
      <c r="AD1236">
        <v>3</v>
      </c>
      <c r="AE1236">
        <v>1</v>
      </c>
      <c r="AF1236">
        <v>1</v>
      </c>
      <c r="AG1236">
        <v>0</v>
      </c>
      <c r="AH1236">
        <v>0</v>
      </c>
      <c r="AI1236">
        <v>0</v>
      </c>
      <c r="AJ1236">
        <f t="shared" si="190"/>
        <v>0</v>
      </c>
      <c r="AK1236">
        <f t="shared" si="191"/>
        <v>0</v>
      </c>
      <c r="AL1236">
        <f t="shared" si="192"/>
        <v>1</v>
      </c>
      <c r="AM1236">
        <f t="shared" si="193"/>
        <v>2.5</v>
      </c>
      <c r="AN1236">
        <f t="shared" si="194"/>
        <v>29868</v>
      </c>
      <c r="AO1236">
        <f t="shared" si="195"/>
        <v>0.2</v>
      </c>
      <c r="AP1236" t="str">
        <f t="shared" si="196"/>
        <v>40-49</v>
      </c>
      <c r="AQ1236" t="str">
        <f t="shared" si="197"/>
        <v>High</v>
      </c>
      <c r="AR1236" t="str">
        <f t="shared" si="198"/>
        <v>Short</v>
      </c>
      <c r="AS1236">
        <f t="shared" si="199"/>
        <v>0</v>
      </c>
    </row>
    <row r="1237" spans="1:4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s="20">
        <v>10368</v>
      </c>
      <c r="T1237">
        <v>5596</v>
      </c>
      <c r="U1237">
        <v>4</v>
      </c>
      <c r="V1237" t="s">
        <v>42</v>
      </c>
      <c r="W1237" t="s">
        <v>35</v>
      </c>
      <c r="X1237" s="19">
        <v>12</v>
      </c>
      <c r="Y1237">
        <v>3</v>
      </c>
      <c r="Z1237">
        <v>2</v>
      </c>
      <c r="AA1237">
        <v>80</v>
      </c>
      <c r="AB1237">
        <v>1</v>
      </c>
      <c r="AC1237">
        <v>13</v>
      </c>
      <c r="AD1237">
        <v>5</v>
      </c>
      <c r="AE1237">
        <v>2</v>
      </c>
      <c r="AF1237">
        <v>10</v>
      </c>
      <c r="AG1237">
        <v>6</v>
      </c>
      <c r="AH1237">
        <v>0</v>
      </c>
      <c r="AI1237">
        <v>3</v>
      </c>
      <c r="AJ1237">
        <f t="shared" si="190"/>
        <v>0</v>
      </c>
      <c r="AK1237">
        <f t="shared" si="191"/>
        <v>1</v>
      </c>
      <c r="AL1237">
        <f t="shared" si="192"/>
        <v>1</v>
      </c>
      <c r="AM1237">
        <f t="shared" si="193"/>
        <v>2.75</v>
      </c>
      <c r="AN1237">
        <f t="shared" si="194"/>
        <v>11310.545454545454</v>
      </c>
      <c r="AO1237">
        <f t="shared" si="195"/>
        <v>0.7142857142857143</v>
      </c>
      <c r="AP1237" t="str">
        <f t="shared" si="196"/>
        <v>40-49</v>
      </c>
      <c r="AQ1237" t="str">
        <f t="shared" si="197"/>
        <v>Very High</v>
      </c>
      <c r="AR1237" t="str">
        <f t="shared" si="198"/>
        <v>Short</v>
      </c>
      <c r="AS1237">
        <f t="shared" si="199"/>
        <v>0</v>
      </c>
    </row>
    <row r="1238" spans="1:4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s="20">
        <v>6134</v>
      </c>
      <c r="T1238">
        <v>8658</v>
      </c>
      <c r="U1238">
        <v>5</v>
      </c>
      <c r="V1238" t="s">
        <v>42</v>
      </c>
      <c r="W1238" t="s">
        <v>35</v>
      </c>
      <c r="X1238" s="19">
        <v>13</v>
      </c>
      <c r="Y1238">
        <v>3</v>
      </c>
      <c r="Z1238">
        <v>2</v>
      </c>
      <c r="AA1238">
        <v>80</v>
      </c>
      <c r="AB1238">
        <v>3</v>
      </c>
      <c r="AC1238">
        <v>16</v>
      </c>
      <c r="AD1238">
        <v>3</v>
      </c>
      <c r="AE1238">
        <v>3</v>
      </c>
      <c r="AF1238">
        <v>2</v>
      </c>
      <c r="AG1238">
        <v>2</v>
      </c>
      <c r="AH1238">
        <v>2</v>
      </c>
      <c r="AI1238">
        <v>2</v>
      </c>
      <c r="AJ1238">
        <f t="shared" si="190"/>
        <v>1</v>
      </c>
      <c r="AK1238">
        <f t="shared" si="191"/>
        <v>1</v>
      </c>
      <c r="AL1238">
        <f t="shared" si="192"/>
        <v>1</v>
      </c>
      <c r="AM1238">
        <f t="shared" si="193"/>
        <v>2</v>
      </c>
      <c r="AN1238">
        <f t="shared" si="194"/>
        <v>24536</v>
      </c>
      <c r="AO1238">
        <f t="shared" si="195"/>
        <v>0.11764705882352941</v>
      </c>
      <c r="AP1238" t="str">
        <f t="shared" si="196"/>
        <v>30-39</v>
      </c>
      <c r="AQ1238" t="str">
        <f t="shared" si="197"/>
        <v>High</v>
      </c>
      <c r="AR1238" t="str">
        <f t="shared" si="198"/>
        <v>Medium</v>
      </c>
      <c r="AS1238">
        <f t="shared" si="199"/>
        <v>0</v>
      </c>
    </row>
    <row r="1239" spans="1:4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s="20">
        <v>6735</v>
      </c>
      <c r="T1239">
        <v>12147</v>
      </c>
      <c r="U1239">
        <v>6</v>
      </c>
      <c r="V1239" t="s">
        <v>42</v>
      </c>
      <c r="W1239" t="s">
        <v>43</v>
      </c>
      <c r="X1239" s="19">
        <v>15</v>
      </c>
      <c r="Y1239">
        <v>3</v>
      </c>
      <c r="Z1239">
        <v>2</v>
      </c>
      <c r="AA1239">
        <v>80</v>
      </c>
      <c r="AB1239">
        <v>0</v>
      </c>
      <c r="AC1239">
        <v>10</v>
      </c>
      <c r="AD1239">
        <v>2</v>
      </c>
      <c r="AE1239">
        <v>3</v>
      </c>
      <c r="AF1239">
        <v>0</v>
      </c>
      <c r="AG1239">
        <v>0</v>
      </c>
      <c r="AH1239">
        <v>0</v>
      </c>
      <c r="AI1239">
        <v>0</v>
      </c>
      <c r="AJ1239">
        <f t="shared" si="190"/>
        <v>1</v>
      </c>
      <c r="AK1239">
        <f t="shared" si="191"/>
        <v>0</v>
      </c>
      <c r="AL1239">
        <f t="shared" si="192"/>
        <v>1</v>
      </c>
      <c r="AM1239">
        <f t="shared" si="193"/>
        <v>2</v>
      </c>
      <c r="AN1239">
        <f t="shared" si="194"/>
        <v>80820</v>
      </c>
      <c r="AO1239">
        <f t="shared" si="195"/>
        <v>0</v>
      </c>
      <c r="AP1239" t="str">
        <f t="shared" si="196"/>
        <v>30-39</v>
      </c>
      <c r="AQ1239" t="str">
        <f t="shared" si="197"/>
        <v>High</v>
      </c>
      <c r="AR1239" t="str">
        <f t="shared" si="198"/>
        <v>Short</v>
      </c>
      <c r="AS1239">
        <f t="shared" si="199"/>
        <v>0</v>
      </c>
    </row>
    <row r="1240" spans="1:4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s="20">
        <v>3295</v>
      </c>
      <c r="T1240">
        <v>12862</v>
      </c>
      <c r="U1240">
        <v>1</v>
      </c>
      <c r="V1240" t="s">
        <v>42</v>
      </c>
      <c r="W1240" t="s">
        <v>43</v>
      </c>
      <c r="X1240" s="19">
        <v>13</v>
      </c>
      <c r="Y1240">
        <v>3</v>
      </c>
      <c r="Z1240">
        <v>3</v>
      </c>
      <c r="AA1240">
        <v>80</v>
      </c>
      <c r="AB1240">
        <v>0</v>
      </c>
      <c r="AC1240">
        <v>3</v>
      </c>
      <c r="AD1240">
        <v>3</v>
      </c>
      <c r="AE1240">
        <v>1</v>
      </c>
      <c r="AF1240">
        <v>3</v>
      </c>
      <c r="AG1240">
        <v>2</v>
      </c>
      <c r="AH1240">
        <v>1</v>
      </c>
      <c r="AI1240">
        <v>2</v>
      </c>
      <c r="AJ1240">
        <f t="shared" si="190"/>
        <v>0</v>
      </c>
      <c r="AK1240">
        <f t="shared" si="191"/>
        <v>0</v>
      </c>
      <c r="AL1240">
        <f t="shared" si="192"/>
        <v>0</v>
      </c>
      <c r="AM1240">
        <f t="shared" si="193"/>
        <v>2.25</v>
      </c>
      <c r="AN1240">
        <f t="shared" si="194"/>
        <v>9885</v>
      </c>
      <c r="AO1240">
        <f t="shared" si="195"/>
        <v>0.75</v>
      </c>
      <c r="AP1240" t="str">
        <f t="shared" si="196"/>
        <v>Under 30</v>
      </c>
      <c r="AQ1240" t="str">
        <f t="shared" si="197"/>
        <v>Medium</v>
      </c>
      <c r="AR1240" t="str">
        <f t="shared" si="198"/>
        <v>Short</v>
      </c>
      <c r="AS1240">
        <f t="shared" si="199"/>
        <v>0</v>
      </c>
    </row>
    <row r="1241" spans="1:4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s="20">
        <v>5238</v>
      </c>
      <c r="T1241">
        <v>6670</v>
      </c>
      <c r="U1241">
        <v>2</v>
      </c>
      <c r="V1241" t="s">
        <v>42</v>
      </c>
      <c r="W1241" t="s">
        <v>43</v>
      </c>
      <c r="X1241" s="19">
        <v>20</v>
      </c>
      <c r="Y1241">
        <v>4</v>
      </c>
      <c r="Z1241">
        <v>4</v>
      </c>
      <c r="AA1241">
        <v>80</v>
      </c>
      <c r="AB1241">
        <v>0</v>
      </c>
      <c r="AC1241">
        <v>9</v>
      </c>
      <c r="AD1241">
        <v>3</v>
      </c>
      <c r="AE1241">
        <v>2</v>
      </c>
      <c r="AF1241">
        <v>5</v>
      </c>
      <c r="AG1241">
        <v>4</v>
      </c>
      <c r="AH1241">
        <v>1</v>
      </c>
      <c r="AI1241">
        <v>4</v>
      </c>
      <c r="AJ1241">
        <f t="shared" si="190"/>
        <v>0</v>
      </c>
      <c r="AK1241">
        <f t="shared" si="191"/>
        <v>0</v>
      </c>
      <c r="AL1241">
        <f t="shared" si="192"/>
        <v>0</v>
      </c>
      <c r="AM1241">
        <f t="shared" si="193"/>
        <v>3.5</v>
      </c>
      <c r="AN1241">
        <f t="shared" si="194"/>
        <v>10476</v>
      </c>
      <c r="AO1241">
        <f t="shared" si="195"/>
        <v>0.5</v>
      </c>
      <c r="AP1241" t="str">
        <f t="shared" si="196"/>
        <v>30-39</v>
      </c>
      <c r="AQ1241" t="str">
        <f t="shared" si="197"/>
        <v>High</v>
      </c>
      <c r="AR1241" t="str">
        <f t="shared" si="198"/>
        <v>Long</v>
      </c>
      <c r="AS1241">
        <f t="shared" si="199"/>
        <v>1</v>
      </c>
    </row>
    <row r="1242" spans="1:4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s="20">
        <v>6472</v>
      </c>
      <c r="T1242">
        <v>8989</v>
      </c>
      <c r="U1242">
        <v>1</v>
      </c>
      <c r="V1242" t="s">
        <v>42</v>
      </c>
      <c r="W1242" t="s">
        <v>35</v>
      </c>
      <c r="X1242" s="19">
        <v>15</v>
      </c>
      <c r="Y1242">
        <v>3</v>
      </c>
      <c r="Z1242">
        <v>4</v>
      </c>
      <c r="AA1242">
        <v>80</v>
      </c>
      <c r="AB1242">
        <v>1</v>
      </c>
      <c r="AC1242">
        <v>9</v>
      </c>
      <c r="AD1242">
        <v>2</v>
      </c>
      <c r="AE1242">
        <v>3</v>
      </c>
      <c r="AF1242">
        <v>9</v>
      </c>
      <c r="AG1242">
        <v>8</v>
      </c>
      <c r="AH1242">
        <v>5</v>
      </c>
      <c r="AI1242">
        <v>8</v>
      </c>
      <c r="AJ1242">
        <f t="shared" si="190"/>
        <v>0</v>
      </c>
      <c r="AK1242">
        <f t="shared" si="191"/>
        <v>1</v>
      </c>
      <c r="AL1242">
        <f t="shared" si="192"/>
        <v>1</v>
      </c>
      <c r="AM1242">
        <f t="shared" si="193"/>
        <v>3.75</v>
      </c>
      <c r="AN1242">
        <f t="shared" si="194"/>
        <v>7766.4</v>
      </c>
      <c r="AO1242">
        <f t="shared" si="195"/>
        <v>0.9</v>
      </c>
      <c r="AP1242" t="str">
        <f t="shared" si="196"/>
        <v>30-39</v>
      </c>
      <c r="AQ1242" t="str">
        <f t="shared" si="197"/>
        <v>High</v>
      </c>
      <c r="AR1242" t="str">
        <f t="shared" si="198"/>
        <v>Short</v>
      </c>
      <c r="AS1242">
        <f t="shared" si="199"/>
        <v>0</v>
      </c>
    </row>
    <row r="1243" spans="1:4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s="20">
        <v>9610</v>
      </c>
      <c r="T1243">
        <v>3840</v>
      </c>
      <c r="U1243">
        <v>3</v>
      </c>
      <c r="V1243" t="s">
        <v>42</v>
      </c>
      <c r="W1243" t="s">
        <v>43</v>
      </c>
      <c r="X1243" s="19">
        <v>13</v>
      </c>
      <c r="Y1243">
        <v>3</v>
      </c>
      <c r="Z1243">
        <v>3</v>
      </c>
      <c r="AA1243">
        <v>80</v>
      </c>
      <c r="AB1243">
        <v>1</v>
      </c>
      <c r="AC1243">
        <v>10</v>
      </c>
      <c r="AD1243">
        <v>2</v>
      </c>
      <c r="AE1243">
        <v>1</v>
      </c>
      <c r="AF1243">
        <v>4</v>
      </c>
      <c r="AG1243">
        <v>3</v>
      </c>
      <c r="AH1243">
        <v>0</v>
      </c>
      <c r="AI1243">
        <v>2</v>
      </c>
      <c r="AJ1243">
        <f t="shared" si="190"/>
        <v>0</v>
      </c>
      <c r="AK1243">
        <f t="shared" si="191"/>
        <v>0</v>
      </c>
      <c r="AL1243">
        <f t="shared" si="192"/>
        <v>1</v>
      </c>
      <c r="AM1243">
        <f t="shared" si="193"/>
        <v>2.75</v>
      </c>
      <c r="AN1243">
        <f t="shared" si="194"/>
        <v>23064</v>
      </c>
      <c r="AO1243">
        <f t="shared" si="195"/>
        <v>0.36363636363636365</v>
      </c>
      <c r="AP1243" t="str">
        <f t="shared" si="196"/>
        <v>30-39</v>
      </c>
      <c r="AQ1243" t="str">
        <f t="shared" si="197"/>
        <v>Very High</v>
      </c>
      <c r="AR1243" t="str">
        <f t="shared" si="198"/>
        <v>Long</v>
      </c>
      <c r="AS1243">
        <f t="shared" si="199"/>
        <v>0</v>
      </c>
    </row>
    <row r="1244" spans="1:4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s="20">
        <v>19833</v>
      </c>
      <c r="T1244">
        <v>4349</v>
      </c>
      <c r="U1244">
        <v>1</v>
      </c>
      <c r="V1244" t="s">
        <v>42</v>
      </c>
      <c r="W1244" t="s">
        <v>43</v>
      </c>
      <c r="X1244" s="19">
        <v>14</v>
      </c>
      <c r="Y1244">
        <v>3</v>
      </c>
      <c r="Z1244">
        <v>2</v>
      </c>
      <c r="AA1244">
        <v>80</v>
      </c>
      <c r="AB1244">
        <v>0</v>
      </c>
      <c r="AC1244">
        <v>21</v>
      </c>
      <c r="AD1244">
        <v>3</v>
      </c>
      <c r="AE1244">
        <v>2</v>
      </c>
      <c r="AF1244">
        <v>21</v>
      </c>
      <c r="AG1244">
        <v>8</v>
      </c>
      <c r="AH1244">
        <v>12</v>
      </c>
      <c r="AI1244">
        <v>8</v>
      </c>
      <c r="AJ1244">
        <f t="shared" si="190"/>
        <v>0</v>
      </c>
      <c r="AK1244">
        <f t="shared" si="191"/>
        <v>0</v>
      </c>
      <c r="AL1244">
        <f t="shared" si="192"/>
        <v>1</v>
      </c>
      <c r="AM1244">
        <f t="shared" si="193"/>
        <v>2</v>
      </c>
      <c r="AN1244">
        <f t="shared" si="194"/>
        <v>10818</v>
      </c>
      <c r="AO1244">
        <f t="shared" si="195"/>
        <v>0.95454545454545459</v>
      </c>
      <c r="AP1244" t="str">
        <f t="shared" si="196"/>
        <v>40-49</v>
      </c>
      <c r="AQ1244" t="str">
        <f t="shared" si="197"/>
        <v>Very High</v>
      </c>
      <c r="AR1244" t="str">
        <f t="shared" si="198"/>
        <v>Medium</v>
      </c>
      <c r="AS1244">
        <f t="shared" si="199"/>
        <v>0</v>
      </c>
    </row>
    <row r="1245" spans="1:4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s="20">
        <v>9756</v>
      </c>
      <c r="T1245">
        <v>6595</v>
      </c>
      <c r="U1245">
        <v>4</v>
      </c>
      <c r="V1245" t="s">
        <v>42</v>
      </c>
      <c r="W1245" t="s">
        <v>43</v>
      </c>
      <c r="X1245" s="19">
        <v>21</v>
      </c>
      <c r="Y1245">
        <v>4</v>
      </c>
      <c r="Z1245">
        <v>3</v>
      </c>
      <c r="AA1245">
        <v>80</v>
      </c>
      <c r="AB1245">
        <v>2</v>
      </c>
      <c r="AC1245">
        <v>9</v>
      </c>
      <c r="AD1245">
        <v>2</v>
      </c>
      <c r="AE1245">
        <v>4</v>
      </c>
      <c r="AF1245">
        <v>5</v>
      </c>
      <c r="AG1245">
        <v>0</v>
      </c>
      <c r="AH1245">
        <v>0</v>
      </c>
      <c r="AI1245">
        <v>3</v>
      </c>
      <c r="AJ1245">
        <f t="shared" si="190"/>
        <v>0</v>
      </c>
      <c r="AK1245">
        <f t="shared" si="191"/>
        <v>0</v>
      </c>
      <c r="AL1245">
        <f t="shared" si="192"/>
        <v>0</v>
      </c>
      <c r="AM1245">
        <f t="shared" si="193"/>
        <v>3.25</v>
      </c>
      <c r="AN1245">
        <f t="shared" si="194"/>
        <v>19512</v>
      </c>
      <c r="AO1245">
        <f t="shared" si="195"/>
        <v>0.5</v>
      </c>
      <c r="AP1245" t="str">
        <f t="shared" si="196"/>
        <v>40-49</v>
      </c>
      <c r="AQ1245" t="str">
        <f t="shared" si="197"/>
        <v>Very High</v>
      </c>
      <c r="AR1245" t="str">
        <f t="shared" si="198"/>
        <v>Short</v>
      </c>
      <c r="AS1245">
        <f t="shared" si="199"/>
        <v>0</v>
      </c>
    </row>
    <row r="1246" spans="1:4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s="20">
        <v>4968</v>
      </c>
      <c r="T1246">
        <v>26427</v>
      </c>
      <c r="U1246">
        <v>0</v>
      </c>
      <c r="V1246" t="s">
        <v>42</v>
      </c>
      <c r="W1246" t="s">
        <v>43</v>
      </c>
      <c r="X1246" s="19">
        <v>16</v>
      </c>
      <c r="Y1246">
        <v>3</v>
      </c>
      <c r="Z1246">
        <v>4</v>
      </c>
      <c r="AA1246">
        <v>80</v>
      </c>
      <c r="AB1246">
        <v>0</v>
      </c>
      <c r="AC1246">
        <v>10</v>
      </c>
      <c r="AD1246">
        <v>2</v>
      </c>
      <c r="AE1246">
        <v>3</v>
      </c>
      <c r="AF1246">
        <v>9</v>
      </c>
      <c r="AG1246">
        <v>7</v>
      </c>
      <c r="AH1246">
        <v>0</v>
      </c>
      <c r="AI1246">
        <v>7</v>
      </c>
      <c r="AJ1246">
        <f t="shared" si="190"/>
        <v>0</v>
      </c>
      <c r="AK1246">
        <f t="shared" si="191"/>
        <v>0</v>
      </c>
      <c r="AL1246">
        <f t="shared" si="192"/>
        <v>0</v>
      </c>
      <c r="AM1246">
        <f t="shared" si="193"/>
        <v>3</v>
      </c>
      <c r="AN1246">
        <f t="shared" si="194"/>
        <v>5961.6</v>
      </c>
      <c r="AO1246">
        <f t="shared" si="195"/>
        <v>0.81818181818181823</v>
      </c>
      <c r="AP1246" t="str">
        <f t="shared" si="196"/>
        <v>30-39</v>
      </c>
      <c r="AQ1246" t="str">
        <f t="shared" si="197"/>
        <v>High</v>
      </c>
      <c r="AR1246" t="str">
        <f t="shared" si="198"/>
        <v>Short</v>
      </c>
      <c r="AS1246">
        <f t="shared" si="199"/>
        <v>1</v>
      </c>
    </row>
    <row r="1247" spans="1:4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s="20">
        <v>2145</v>
      </c>
      <c r="T1247">
        <v>2097</v>
      </c>
      <c r="U1247">
        <v>0</v>
      </c>
      <c r="V1247" t="s">
        <v>42</v>
      </c>
      <c r="W1247" t="s">
        <v>43</v>
      </c>
      <c r="X1247" s="19">
        <v>14</v>
      </c>
      <c r="Y1247">
        <v>3</v>
      </c>
      <c r="Z1247">
        <v>4</v>
      </c>
      <c r="AA1247">
        <v>80</v>
      </c>
      <c r="AB1247">
        <v>1</v>
      </c>
      <c r="AC1247">
        <v>3</v>
      </c>
      <c r="AD1247">
        <v>2</v>
      </c>
      <c r="AE1247">
        <v>3</v>
      </c>
      <c r="AF1247">
        <v>2</v>
      </c>
      <c r="AG1247">
        <v>2</v>
      </c>
      <c r="AH1247">
        <v>2</v>
      </c>
      <c r="AI1247">
        <v>1</v>
      </c>
      <c r="AJ1247">
        <f t="shared" si="190"/>
        <v>0</v>
      </c>
      <c r="AK1247">
        <f t="shared" si="191"/>
        <v>0</v>
      </c>
      <c r="AL1247">
        <f t="shared" si="192"/>
        <v>1</v>
      </c>
      <c r="AM1247">
        <f t="shared" si="193"/>
        <v>3</v>
      </c>
      <c r="AN1247">
        <f t="shared" si="194"/>
        <v>8580</v>
      </c>
      <c r="AO1247">
        <f t="shared" si="195"/>
        <v>0.5</v>
      </c>
      <c r="AP1247" t="str">
        <f t="shared" si="196"/>
        <v>Under 30</v>
      </c>
      <c r="AQ1247" t="str">
        <f t="shared" si="197"/>
        <v>Low</v>
      </c>
      <c r="AR1247" t="str">
        <f t="shared" si="198"/>
        <v>Medium</v>
      </c>
      <c r="AS1247">
        <f t="shared" si="199"/>
        <v>1</v>
      </c>
    </row>
    <row r="1248" spans="1:4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s="20">
        <v>2180</v>
      </c>
      <c r="T1248">
        <v>9732</v>
      </c>
      <c r="U1248">
        <v>6</v>
      </c>
      <c r="V1248" t="s">
        <v>42</v>
      </c>
      <c r="W1248" t="s">
        <v>43</v>
      </c>
      <c r="X1248" s="19">
        <v>11</v>
      </c>
      <c r="Y1248">
        <v>3</v>
      </c>
      <c r="Z1248">
        <v>3</v>
      </c>
      <c r="AA1248">
        <v>80</v>
      </c>
      <c r="AB1248">
        <v>1</v>
      </c>
      <c r="AC1248">
        <v>6</v>
      </c>
      <c r="AD1248">
        <v>0</v>
      </c>
      <c r="AE1248">
        <v>2</v>
      </c>
      <c r="AF1248">
        <v>4</v>
      </c>
      <c r="AG1248">
        <v>2</v>
      </c>
      <c r="AH1248">
        <v>1</v>
      </c>
      <c r="AI1248">
        <v>2</v>
      </c>
      <c r="AJ1248">
        <f t="shared" si="190"/>
        <v>1</v>
      </c>
      <c r="AK1248">
        <f t="shared" si="191"/>
        <v>0</v>
      </c>
      <c r="AL1248">
        <f t="shared" si="192"/>
        <v>0</v>
      </c>
      <c r="AM1248">
        <f t="shared" si="193"/>
        <v>3</v>
      </c>
      <c r="AN1248">
        <f t="shared" si="194"/>
        <v>5232</v>
      </c>
      <c r="AO1248">
        <f t="shared" si="195"/>
        <v>0.5714285714285714</v>
      </c>
      <c r="AP1248" t="str">
        <f t="shared" si="196"/>
        <v>30-39</v>
      </c>
      <c r="AQ1248" t="str">
        <f t="shared" si="197"/>
        <v>Low</v>
      </c>
      <c r="AR1248" t="str">
        <f t="shared" si="198"/>
        <v>Medium</v>
      </c>
      <c r="AS1248">
        <f t="shared" si="199"/>
        <v>1</v>
      </c>
    </row>
    <row r="1249" spans="1:4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s="20">
        <v>8346</v>
      </c>
      <c r="T1249">
        <v>20943</v>
      </c>
      <c r="U1249">
        <v>1</v>
      </c>
      <c r="V1249" t="s">
        <v>42</v>
      </c>
      <c r="W1249" t="s">
        <v>43</v>
      </c>
      <c r="X1249" s="19">
        <v>19</v>
      </c>
      <c r="Y1249">
        <v>3</v>
      </c>
      <c r="Z1249">
        <v>3</v>
      </c>
      <c r="AA1249">
        <v>80</v>
      </c>
      <c r="AB1249">
        <v>1</v>
      </c>
      <c r="AC1249">
        <v>6</v>
      </c>
      <c r="AD1249">
        <v>3</v>
      </c>
      <c r="AE1249">
        <v>3</v>
      </c>
      <c r="AF1249">
        <v>5</v>
      </c>
      <c r="AG1249">
        <v>2</v>
      </c>
      <c r="AH1249">
        <v>0</v>
      </c>
      <c r="AI1249">
        <v>2</v>
      </c>
      <c r="AJ1249">
        <f t="shared" si="190"/>
        <v>0</v>
      </c>
      <c r="AK1249">
        <f t="shared" si="191"/>
        <v>0</v>
      </c>
      <c r="AL1249">
        <f t="shared" si="192"/>
        <v>1</v>
      </c>
      <c r="AM1249">
        <f t="shared" si="193"/>
        <v>2.5</v>
      </c>
      <c r="AN1249">
        <f t="shared" si="194"/>
        <v>16692</v>
      </c>
      <c r="AO1249">
        <f t="shared" si="195"/>
        <v>0.7142857142857143</v>
      </c>
      <c r="AP1249" t="str">
        <f t="shared" si="196"/>
        <v>30-39</v>
      </c>
      <c r="AQ1249" t="str">
        <f t="shared" si="197"/>
        <v>Very High</v>
      </c>
      <c r="AR1249" t="str">
        <f t="shared" si="198"/>
        <v>Short</v>
      </c>
      <c r="AS1249">
        <f t="shared" si="199"/>
        <v>0</v>
      </c>
    </row>
    <row r="1250" spans="1:4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s="20">
        <v>3445</v>
      </c>
      <c r="T1250">
        <v>6152</v>
      </c>
      <c r="U1250">
        <v>1</v>
      </c>
      <c r="V1250" t="s">
        <v>42</v>
      </c>
      <c r="W1250" t="s">
        <v>43</v>
      </c>
      <c r="X1250" s="19">
        <v>11</v>
      </c>
      <c r="Y1250">
        <v>3</v>
      </c>
      <c r="Z1250">
        <v>3</v>
      </c>
      <c r="AA1250">
        <v>80</v>
      </c>
      <c r="AB1250">
        <v>0</v>
      </c>
      <c r="AC1250">
        <v>6</v>
      </c>
      <c r="AD1250">
        <v>5</v>
      </c>
      <c r="AE1250">
        <v>2</v>
      </c>
      <c r="AF1250">
        <v>6</v>
      </c>
      <c r="AG1250">
        <v>2</v>
      </c>
      <c r="AH1250">
        <v>1</v>
      </c>
      <c r="AI1250">
        <v>4</v>
      </c>
      <c r="AJ1250">
        <f t="shared" si="190"/>
        <v>0</v>
      </c>
      <c r="AK1250">
        <f t="shared" si="191"/>
        <v>0</v>
      </c>
      <c r="AL1250">
        <f t="shared" si="192"/>
        <v>0</v>
      </c>
      <c r="AM1250">
        <f t="shared" si="193"/>
        <v>3</v>
      </c>
      <c r="AN1250">
        <f t="shared" si="194"/>
        <v>5905.7142857142853</v>
      </c>
      <c r="AO1250">
        <f t="shared" si="195"/>
        <v>0.8571428571428571</v>
      </c>
      <c r="AP1250" t="str">
        <f t="shared" si="196"/>
        <v>Under 30</v>
      </c>
      <c r="AQ1250" t="str">
        <f t="shared" si="197"/>
        <v>Medium</v>
      </c>
      <c r="AR1250" t="str">
        <f t="shared" si="198"/>
        <v>Medium</v>
      </c>
      <c r="AS1250">
        <f t="shared" si="199"/>
        <v>0</v>
      </c>
    </row>
    <row r="1251" spans="1:4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s="20">
        <v>2760</v>
      </c>
      <c r="T1251">
        <v>14630</v>
      </c>
      <c r="U1251">
        <v>1</v>
      </c>
      <c r="V1251" t="s">
        <v>42</v>
      </c>
      <c r="W1251" t="s">
        <v>43</v>
      </c>
      <c r="X1251" s="19">
        <v>13</v>
      </c>
      <c r="Y1251">
        <v>3</v>
      </c>
      <c r="Z1251">
        <v>3</v>
      </c>
      <c r="AA1251">
        <v>80</v>
      </c>
      <c r="AB1251">
        <v>0</v>
      </c>
      <c r="AC1251">
        <v>2</v>
      </c>
      <c r="AD1251">
        <v>3</v>
      </c>
      <c r="AE1251">
        <v>3</v>
      </c>
      <c r="AF1251">
        <v>2</v>
      </c>
      <c r="AG1251">
        <v>2</v>
      </c>
      <c r="AH1251">
        <v>2</v>
      </c>
      <c r="AI1251">
        <v>2</v>
      </c>
      <c r="AJ1251">
        <f t="shared" si="190"/>
        <v>1</v>
      </c>
      <c r="AK1251">
        <f t="shared" si="191"/>
        <v>0</v>
      </c>
      <c r="AL1251">
        <f t="shared" si="192"/>
        <v>0</v>
      </c>
      <c r="AM1251">
        <f t="shared" si="193"/>
        <v>2.5</v>
      </c>
      <c r="AN1251">
        <f t="shared" si="194"/>
        <v>11040</v>
      </c>
      <c r="AO1251">
        <f t="shared" si="195"/>
        <v>0.66666666666666663</v>
      </c>
      <c r="AP1251" t="str">
        <f t="shared" si="196"/>
        <v>Under 30</v>
      </c>
      <c r="AQ1251" t="str">
        <f t="shared" si="197"/>
        <v>Low</v>
      </c>
      <c r="AR1251" t="str">
        <f t="shared" si="198"/>
        <v>Medium</v>
      </c>
      <c r="AS1251">
        <f t="shared" si="199"/>
        <v>0</v>
      </c>
    </row>
    <row r="1252" spans="1:4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s="20">
        <v>6294</v>
      </c>
      <c r="T1252">
        <v>23060</v>
      </c>
      <c r="U1252">
        <v>8</v>
      </c>
      <c r="V1252" t="s">
        <v>42</v>
      </c>
      <c r="W1252" t="s">
        <v>35</v>
      </c>
      <c r="X1252" s="19">
        <v>12</v>
      </c>
      <c r="Y1252">
        <v>3</v>
      </c>
      <c r="Z1252">
        <v>4</v>
      </c>
      <c r="AA1252">
        <v>80</v>
      </c>
      <c r="AB1252">
        <v>0</v>
      </c>
      <c r="AC1252">
        <v>10</v>
      </c>
      <c r="AD1252">
        <v>5</v>
      </c>
      <c r="AE1252">
        <v>4</v>
      </c>
      <c r="AF1252">
        <v>3</v>
      </c>
      <c r="AG1252">
        <v>2</v>
      </c>
      <c r="AH1252">
        <v>0</v>
      </c>
      <c r="AI1252">
        <v>2</v>
      </c>
      <c r="AJ1252">
        <f t="shared" si="190"/>
        <v>0</v>
      </c>
      <c r="AK1252">
        <f t="shared" si="191"/>
        <v>1</v>
      </c>
      <c r="AL1252">
        <f t="shared" si="192"/>
        <v>1</v>
      </c>
      <c r="AM1252">
        <f t="shared" si="193"/>
        <v>3.75</v>
      </c>
      <c r="AN1252">
        <f t="shared" si="194"/>
        <v>18882</v>
      </c>
      <c r="AO1252">
        <f t="shared" si="195"/>
        <v>0.27272727272727271</v>
      </c>
      <c r="AP1252" t="str">
        <f t="shared" si="196"/>
        <v>Under 30</v>
      </c>
      <c r="AQ1252" t="str">
        <f t="shared" si="197"/>
        <v>High</v>
      </c>
      <c r="AR1252" t="str">
        <f t="shared" si="198"/>
        <v>Short</v>
      </c>
      <c r="AS1252">
        <f t="shared" si="199"/>
        <v>1</v>
      </c>
    </row>
    <row r="1253" spans="1:4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s="20">
        <v>7140</v>
      </c>
      <c r="T1253">
        <v>3088</v>
      </c>
      <c r="U1253">
        <v>2</v>
      </c>
      <c r="V1253" t="s">
        <v>42</v>
      </c>
      <c r="W1253" t="s">
        <v>43</v>
      </c>
      <c r="X1253" s="19">
        <v>11</v>
      </c>
      <c r="Y1253">
        <v>3</v>
      </c>
      <c r="Z1253">
        <v>1</v>
      </c>
      <c r="AA1253">
        <v>80</v>
      </c>
      <c r="AB1253">
        <v>1</v>
      </c>
      <c r="AC1253">
        <v>12</v>
      </c>
      <c r="AD1253">
        <v>2</v>
      </c>
      <c r="AE1253">
        <v>3</v>
      </c>
      <c r="AF1253">
        <v>7</v>
      </c>
      <c r="AG1253">
        <v>7</v>
      </c>
      <c r="AH1253">
        <v>1</v>
      </c>
      <c r="AI1253">
        <v>7</v>
      </c>
      <c r="AJ1253">
        <f t="shared" si="190"/>
        <v>0</v>
      </c>
      <c r="AK1253">
        <f t="shared" si="191"/>
        <v>0</v>
      </c>
      <c r="AL1253">
        <f t="shared" si="192"/>
        <v>1</v>
      </c>
      <c r="AM1253">
        <f t="shared" si="193"/>
        <v>2</v>
      </c>
      <c r="AN1253">
        <f t="shared" si="194"/>
        <v>10710</v>
      </c>
      <c r="AO1253">
        <f t="shared" si="195"/>
        <v>0.53846153846153844</v>
      </c>
      <c r="AP1253" t="str">
        <f t="shared" si="196"/>
        <v>30-39</v>
      </c>
      <c r="AQ1253" t="str">
        <f t="shared" si="197"/>
        <v>High</v>
      </c>
      <c r="AR1253" t="str">
        <f t="shared" si="198"/>
        <v>Medium</v>
      </c>
      <c r="AS1253">
        <f t="shared" si="199"/>
        <v>0</v>
      </c>
    </row>
    <row r="1254" spans="1:4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s="20">
        <v>2932</v>
      </c>
      <c r="T1254">
        <v>5586</v>
      </c>
      <c r="U1254">
        <v>0</v>
      </c>
      <c r="V1254" t="s">
        <v>42</v>
      </c>
      <c r="W1254" t="s">
        <v>35</v>
      </c>
      <c r="X1254" s="19">
        <v>14</v>
      </c>
      <c r="Y1254">
        <v>3</v>
      </c>
      <c r="Z1254">
        <v>1</v>
      </c>
      <c r="AA1254">
        <v>80</v>
      </c>
      <c r="AB1254">
        <v>3</v>
      </c>
      <c r="AC1254">
        <v>6</v>
      </c>
      <c r="AD1254">
        <v>3</v>
      </c>
      <c r="AE1254">
        <v>3</v>
      </c>
      <c r="AF1254">
        <v>5</v>
      </c>
      <c r="AG1254">
        <v>0</v>
      </c>
      <c r="AH1254">
        <v>1</v>
      </c>
      <c r="AI1254">
        <v>2</v>
      </c>
      <c r="AJ1254">
        <f t="shared" si="190"/>
        <v>0</v>
      </c>
      <c r="AK1254">
        <f t="shared" si="191"/>
        <v>1</v>
      </c>
      <c r="AL1254">
        <f t="shared" si="192"/>
        <v>1</v>
      </c>
      <c r="AM1254">
        <f t="shared" si="193"/>
        <v>3</v>
      </c>
      <c r="AN1254">
        <f t="shared" si="194"/>
        <v>5864</v>
      </c>
      <c r="AO1254">
        <f t="shared" si="195"/>
        <v>0.7142857142857143</v>
      </c>
      <c r="AP1254" t="str">
        <f t="shared" si="196"/>
        <v>30-39</v>
      </c>
      <c r="AQ1254" t="str">
        <f t="shared" si="197"/>
        <v>Medium</v>
      </c>
      <c r="AR1254" t="str">
        <f t="shared" si="198"/>
        <v>Short</v>
      </c>
      <c r="AS1254">
        <f t="shared" si="199"/>
        <v>0</v>
      </c>
    </row>
    <row r="1255" spans="1:4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s="20">
        <v>5147</v>
      </c>
      <c r="T1255">
        <v>10697</v>
      </c>
      <c r="U1255">
        <v>8</v>
      </c>
      <c r="V1255" t="s">
        <v>42</v>
      </c>
      <c r="W1255" t="s">
        <v>43</v>
      </c>
      <c r="X1255" s="19">
        <v>15</v>
      </c>
      <c r="Y1255">
        <v>3</v>
      </c>
      <c r="Z1255">
        <v>4</v>
      </c>
      <c r="AA1255">
        <v>80</v>
      </c>
      <c r="AB1255">
        <v>0</v>
      </c>
      <c r="AC1255">
        <v>13</v>
      </c>
      <c r="AD1255">
        <v>2</v>
      </c>
      <c r="AE1255">
        <v>2</v>
      </c>
      <c r="AF1255">
        <v>11</v>
      </c>
      <c r="AG1255">
        <v>7</v>
      </c>
      <c r="AH1255">
        <v>1</v>
      </c>
      <c r="AI1255">
        <v>7</v>
      </c>
      <c r="AJ1255">
        <f t="shared" si="190"/>
        <v>0</v>
      </c>
      <c r="AK1255">
        <f t="shared" si="191"/>
        <v>0</v>
      </c>
      <c r="AL1255">
        <f t="shared" si="192"/>
        <v>0</v>
      </c>
      <c r="AM1255">
        <f t="shared" si="193"/>
        <v>3</v>
      </c>
      <c r="AN1255">
        <f t="shared" si="194"/>
        <v>5147</v>
      </c>
      <c r="AO1255">
        <f t="shared" si="195"/>
        <v>0.7857142857142857</v>
      </c>
      <c r="AP1255" t="str">
        <f t="shared" si="196"/>
        <v>30-39</v>
      </c>
      <c r="AQ1255" t="str">
        <f t="shared" si="197"/>
        <v>High</v>
      </c>
      <c r="AR1255" t="str">
        <f t="shared" si="198"/>
        <v>Short</v>
      </c>
      <c r="AS1255">
        <f t="shared" si="199"/>
        <v>0</v>
      </c>
    </row>
    <row r="1256" spans="1:4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s="20">
        <v>4507</v>
      </c>
      <c r="T1256">
        <v>8191</v>
      </c>
      <c r="U1256">
        <v>3</v>
      </c>
      <c r="V1256" t="s">
        <v>42</v>
      </c>
      <c r="W1256" t="s">
        <v>43</v>
      </c>
      <c r="X1256" s="19">
        <v>12</v>
      </c>
      <c r="Y1256">
        <v>3</v>
      </c>
      <c r="Z1256">
        <v>3</v>
      </c>
      <c r="AA1256">
        <v>80</v>
      </c>
      <c r="AB1256">
        <v>0</v>
      </c>
      <c r="AC1256">
        <v>8</v>
      </c>
      <c r="AD1256">
        <v>1</v>
      </c>
      <c r="AE1256">
        <v>4</v>
      </c>
      <c r="AF1256">
        <v>5</v>
      </c>
      <c r="AG1256">
        <v>1</v>
      </c>
      <c r="AH1256">
        <v>0</v>
      </c>
      <c r="AI1256">
        <v>4</v>
      </c>
      <c r="AJ1256">
        <f t="shared" si="190"/>
        <v>0</v>
      </c>
      <c r="AK1256">
        <f t="shared" si="191"/>
        <v>0</v>
      </c>
      <c r="AL1256">
        <f t="shared" si="192"/>
        <v>0</v>
      </c>
      <c r="AM1256">
        <f t="shared" si="193"/>
        <v>3.75</v>
      </c>
      <c r="AN1256">
        <f t="shared" si="194"/>
        <v>9014</v>
      </c>
      <c r="AO1256">
        <f t="shared" si="195"/>
        <v>0.55555555555555558</v>
      </c>
      <c r="AP1256" t="str">
        <f t="shared" si="196"/>
        <v>40-49</v>
      </c>
      <c r="AQ1256" t="str">
        <f t="shared" si="197"/>
        <v>Medium</v>
      </c>
      <c r="AR1256" t="str">
        <f t="shared" si="198"/>
        <v>Medium</v>
      </c>
      <c r="AS1256">
        <f t="shared" si="199"/>
        <v>0</v>
      </c>
    </row>
    <row r="1257" spans="1:4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s="20">
        <v>8564</v>
      </c>
      <c r="T1257">
        <v>10092</v>
      </c>
      <c r="U1257">
        <v>2</v>
      </c>
      <c r="V1257" t="s">
        <v>42</v>
      </c>
      <c r="W1257" t="s">
        <v>35</v>
      </c>
      <c r="X1257" s="19">
        <v>20</v>
      </c>
      <c r="Y1257">
        <v>4</v>
      </c>
      <c r="Z1257">
        <v>3</v>
      </c>
      <c r="AA1257">
        <v>80</v>
      </c>
      <c r="AB1257">
        <v>0</v>
      </c>
      <c r="AC1257">
        <v>11</v>
      </c>
      <c r="AD1257">
        <v>2</v>
      </c>
      <c r="AE1257">
        <v>2</v>
      </c>
      <c r="AF1257">
        <v>0</v>
      </c>
      <c r="AG1257">
        <v>0</v>
      </c>
      <c r="AH1257">
        <v>0</v>
      </c>
      <c r="AI1257">
        <v>0</v>
      </c>
      <c r="AJ1257">
        <f t="shared" si="190"/>
        <v>1</v>
      </c>
      <c r="AK1257">
        <f t="shared" si="191"/>
        <v>1</v>
      </c>
      <c r="AL1257">
        <f t="shared" si="192"/>
        <v>0</v>
      </c>
      <c r="AM1257">
        <f t="shared" si="193"/>
        <v>1.75</v>
      </c>
      <c r="AN1257">
        <f t="shared" si="194"/>
        <v>102768</v>
      </c>
      <c r="AO1257">
        <f t="shared" si="195"/>
        <v>0</v>
      </c>
      <c r="AP1257" t="str">
        <f t="shared" si="196"/>
        <v>30-39</v>
      </c>
      <c r="AQ1257" t="str">
        <f t="shared" si="197"/>
        <v>Very High</v>
      </c>
      <c r="AR1257" t="str">
        <f t="shared" si="198"/>
        <v>Long</v>
      </c>
      <c r="AS1257">
        <f t="shared" si="199"/>
        <v>0</v>
      </c>
    </row>
    <row r="1258" spans="1:4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s="20">
        <v>2468</v>
      </c>
      <c r="T1258">
        <v>15963</v>
      </c>
      <c r="U1258">
        <v>4</v>
      </c>
      <c r="V1258" t="s">
        <v>42</v>
      </c>
      <c r="W1258" t="s">
        <v>43</v>
      </c>
      <c r="X1258" s="19">
        <v>14</v>
      </c>
      <c r="Y1258">
        <v>3</v>
      </c>
      <c r="Z1258">
        <v>2</v>
      </c>
      <c r="AA1258">
        <v>80</v>
      </c>
      <c r="AB1258">
        <v>1</v>
      </c>
      <c r="AC1258">
        <v>9</v>
      </c>
      <c r="AD1258">
        <v>4</v>
      </c>
      <c r="AE1258">
        <v>2</v>
      </c>
      <c r="AF1258">
        <v>6</v>
      </c>
      <c r="AG1258">
        <v>1</v>
      </c>
      <c r="AH1258">
        <v>0</v>
      </c>
      <c r="AI1258">
        <v>5</v>
      </c>
      <c r="AJ1258">
        <f t="shared" si="190"/>
        <v>0</v>
      </c>
      <c r="AK1258">
        <f t="shared" si="191"/>
        <v>0</v>
      </c>
      <c r="AL1258">
        <f t="shared" si="192"/>
        <v>0</v>
      </c>
      <c r="AM1258">
        <f t="shared" si="193"/>
        <v>2.25</v>
      </c>
      <c r="AN1258">
        <f t="shared" si="194"/>
        <v>4230.8571428571431</v>
      </c>
      <c r="AO1258">
        <f t="shared" si="195"/>
        <v>0.6</v>
      </c>
      <c r="AP1258" t="str">
        <f t="shared" si="196"/>
        <v>30-39</v>
      </c>
      <c r="AQ1258" t="str">
        <f t="shared" si="197"/>
        <v>Low</v>
      </c>
      <c r="AR1258" t="str">
        <f t="shared" si="198"/>
        <v>Short</v>
      </c>
      <c r="AS1258">
        <f t="shared" si="199"/>
        <v>1</v>
      </c>
    </row>
    <row r="1259" spans="1:4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s="20">
        <v>8161</v>
      </c>
      <c r="T1259">
        <v>19002</v>
      </c>
      <c r="U1259">
        <v>2</v>
      </c>
      <c r="V1259" t="s">
        <v>42</v>
      </c>
      <c r="W1259" t="s">
        <v>43</v>
      </c>
      <c r="X1259" s="19">
        <v>13</v>
      </c>
      <c r="Y1259">
        <v>3</v>
      </c>
      <c r="Z1259">
        <v>1</v>
      </c>
      <c r="AA1259">
        <v>80</v>
      </c>
      <c r="AB1259">
        <v>3</v>
      </c>
      <c r="AC1259">
        <v>10</v>
      </c>
      <c r="AD1259">
        <v>2</v>
      </c>
      <c r="AE1259">
        <v>3</v>
      </c>
      <c r="AF1259">
        <v>1</v>
      </c>
      <c r="AG1259">
        <v>0</v>
      </c>
      <c r="AH1259">
        <v>0</v>
      </c>
      <c r="AI1259">
        <v>0</v>
      </c>
      <c r="AJ1259">
        <f t="shared" si="190"/>
        <v>1</v>
      </c>
      <c r="AK1259">
        <f t="shared" si="191"/>
        <v>0</v>
      </c>
      <c r="AL1259">
        <f t="shared" si="192"/>
        <v>1</v>
      </c>
      <c r="AM1259">
        <f t="shared" si="193"/>
        <v>2</v>
      </c>
      <c r="AN1259">
        <f t="shared" si="194"/>
        <v>48966</v>
      </c>
      <c r="AO1259">
        <f t="shared" si="195"/>
        <v>9.0909090909090912E-2</v>
      </c>
      <c r="AP1259" t="str">
        <f t="shared" si="196"/>
        <v>30-39</v>
      </c>
      <c r="AQ1259" t="str">
        <f t="shared" si="197"/>
        <v>High</v>
      </c>
      <c r="AR1259" t="str">
        <f t="shared" si="198"/>
        <v>Long</v>
      </c>
      <c r="AS1259">
        <f t="shared" si="199"/>
        <v>0</v>
      </c>
    </row>
    <row r="1260" spans="1:4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s="20">
        <v>2109</v>
      </c>
      <c r="T1260">
        <v>10007</v>
      </c>
      <c r="U1260">
        <v>1</v>
      </c>
      <c r="V1260" t="s">
        <v>42</v>
      </c>
      <c r="W1260" t="s">
        <v>43</v>
      </c>
      <c r="X1260" s="19">
        <v>13</v>
      </c>
      <c r="Y1260">
        <v>3</v>
      </c>
      <c r="Z1260">
        <v>3</v>
      </c>
      <c r="AA1260">
        <v>80</v>
      </c>
      <c r="AB1260">
        <v>1</v>
      </c>
      <c r="AC1260">
        <v>1</v>
      </c>
      <c r="AD1260">
        <v>2</v>
      </c>
      <c r="AE1260">
        <v>3</v>
      </c>
      <c r="AF1260">
        <v>1</v>
      </c>
      <c r="AG1260">
        <v>0</v>
      </c>
      <c r="AH1260">
        <v>0</v>
      </c>
      <c r="AI1260">
        <v>0</v>
      </c>
      <c r="AJ1260">
        <f t="shared" si="190"/>
        <v>0</v>
      </c>
      <c r="AK1260">
        <f t="shared" si="191"/>
        <v>0</v>
      </c>
      <c r="AL1260">
        <f t="shared" si="192"/>
        <v>0</v>
      </c>
      <c r="AM1260">
        <f t="shared" si="193"/>
        <v>2.75</v>
      </c>
      <c r="AN1260">
        <f t="shared" si="194"/>
        <v>12654</v>
      </c>
      <c r="AO1260">
        <f t="shared" si="195"/>
        <v>0.5</v>
      </c>
      <c r="AP1260" t="str">
        <f t="shared" si="196"/>
        <v>Under 30</v>
      </c>
      <c r="AQ1260" t="str">
        <f t="shared" si="197"/>
        <v>Low</v>
      </c>
      <c r="AR1260" t="str">
        <f t="shared" si="198"/>
        <v>Short</v>
      </c>
      <c r="AS1260">
        <f t="shared" si="199"/>
        <v>0</v>
      </c>
    </row>
    <row r="1261" spans="1:4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s="20">
        <v>5294</v>
      </c>
      <c r="T1261">
        <v>9128</v>
      </c>
      <c r="U1261">
        <v>3</v>
      </c>
      <c r="V1261" t="s">
        <v>42</v>
      </c>
      <c r="W1261" t="s">
        <v>43</v>
      </c>
      <c r="X1261" s="19">
        <v>16</v>
      </c>
      <c r="Y1261">
        <v>3</v>
      </c>
      <c r="Z1261">
        <v>3</v>
      </c>
      <c r="AA1261">
        <v>80</v>
      </c>
      <c r="AB1261">
        <v>1</v>
      </c>
      <c r="AC1261">
        <v>10</v>
      </c>
      <c r="AD1261">
        <v>3</v>
      </c>
      <c r="AE1261">
        <v>3</v>
      </c>
      <c r="AF1261">
        <v>7</v>
      </c>
      <c r="AG1261">
        <v>0</v>
      </c>
      <c r="AH1261">
        <v>1</v>
      </c>
      <c r="AI1261">
        <v>7</v>
      </c>
      <c r="AJ1261">
        <f t="shared" si="190"/>
        <v>0</v>
      </c>
      <c r="AK1261">
        <f t="shared" si="191"/>
        <v>0</v>
      </c>
      <c r="AL1261">
        <f t="shared" si="192"/>
        <v>1</v>
      </c>
      <c r="AM1261">
        <f t="shared" si="193"/>
        <v>3</v>
      </c>
      <c r="AN1261">
        <f t="shared" si="194"/>
        <v>7941</v>
      </c>
      <c r="AO1261">
        <f t="shared" si="195"/>
        <v>0.63636363636363635</v>
      </c>
      <c r="AP1261" t="str">
        <f t="shared" si="196"/>
        <v>30-39</v>
      </c>
      <c r="AQ1261" t="str">
        <f t="shared" si="197"/>
        <v>High</v>
      </c>
      <c r="AR1261" t="str">
        <f t="shared" si="198"/>
        <v>Long</v>
      </c>
      <c r="AS1261">
        <f t="shared" si="199"/>
        <v>0</v>
      </c>
    </row>
    <row r="1262" spans="1:4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s="20">
        <v>2718</v>
      </c>
      <c r="T1262">
        <v>17674</v>
      </c>
      <c r="U1262">
        <v>2</v>
      </c>
      <c r="V1262" t="s">
        <v>42</v>
      </c>
      <c r="W1262" t="s">
        <v>43</v>
      </c>
      <c r="X1262" s="19">
        <v>14</v>
      </c>
      <c r="Y1262">
        <v>3</v>
      </c>
      <c r="Z1262">
        <v>2</v>
      </c>
      <c r="AA1262">
        <v>80</v>
      </c>
      <c r="AB1262">
        <v>0</v>
      </c>
      <c r="AC1262">
        <v>10</v>
      </c>
      <c r="AD1262">
        <v>3</v>
      </c>
      <c r="AE1262">
        <v>3</v>
      </c>
      <c r="AF1262">
        <v>7</v>
      </c>
      <c r="AG1262">
        <v>7</v>
      </c>
      <c r="AH1262">
        <v>0</v>
      </c>
      <c r="AI1262">
        <v>7</v>
      </c>
      <c r="AJ1262">
        <f t="shared" si="190"/>
        <v>0</v>
      </c>
      <c r="AK1262">
        <f t="shared" si="191"/>
        <v>0</v>
      </c>
      <c r="AL1262">
        <f t="shared" si="192"/>
        <v>1</v>
      </c>
      <c r="AM1262">
        <f t="shared" si="193"/>
        <v>2.25</v>
      </c>
      <c r="AN1262">
        <f t="shared" si="194"/>
        <v>4077</v>
      </c>
      <c r="AO1262">
        <f t="shared" si="195"/>
        <v>0.63636363636363635</v>
      </c>
      <c r="AP1262" t="str">
        <f t="shared" si="196"/>
        <v>30-39</v>
      </c>
      <c r="AQ1262" t="str">
        <f t="shared" si="197"/>
        <v>Low</v>
      </c>
      <c r="AR1262" t="str">
        <f t="shared" si="198"/>
        <v>Short</v>
      </c>
      <c r="AS1262">
        <f t="shared" si="199"/>
        <v>0</v>
      </c>
    </row>
    <row r="1263" spans="1:4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s="20">
        <v>5811</v>
      </c>
      <c r="T1263">
        <v>24539</v>
      </c>
      <c r="U1263">
        <v>3</v>
      </c>
      <c r="V1263" t="s">
        <v>42</v>
      </c>
      <c r="W1263" t="s">
        <v>35</v>
      </c>
      <c r="X1263" s="19">
        <v>16</v>
      </c>
      <c r="Y1263">
        <v>3</v>
      </c>
      <c r="Z1263">
        <v>3</v>
      </c>
      <c r="AA1263">
        <v>80</v>
      </c>
      <c r="AB1263">
        <v>1</v>
      </c>
      <c r="AC1263">
        <v>15</v>
      </c>
      <c r="AD1263">
        <v>2</v>
      </c>
      <c r="AE1263">
        <v>3</v>
      </c>
      <c r="AF1263">
        <v>1</v>
      </c>
      <c r="AG1263">
        <v>0</v>
      </c>
      <c r="AH1263">
        <v>1</v>
      </c>
      <c r="AI1263">
        <v>0</v>
      </c>
      <c r="AJ1263">
        <f t="shared" si="190"/>
        <v>0</v>
      </c>
      <c r="AK1263">
        <f t="shared" si="191"/>
        <v>1</v>
      </c>
      <c r="AL1263">
        <f t="shared" si="192"/>
        <v>1</v>
      </c>
      <c r="AM1263">
        <f t="shared" si="193"/>
        <v>3</v>
      </c>
      <c r="AN1263">
        <f t="shared" si="194"/>
        <v>34866</v>
      </c>
      <c r="AO1263">
        <f t="shared" si="195"/>
        <v>6.25E-2</v>
      </c>
      <c r="AP1263" t="str">
        <f t="shared" si="196"/>
        <v>30-39</v>
      </c>
      <c r="AQ1263" t="str">
        <f t="shared" si="197"/>
        <v>High</v>
      </c>
      <c r="AR1263" t="str">
        <f t="shared" si="198"/>
        <v>Long</v>
      </c>
      <c r="AS1263">
        <f t="shared" si="199"/>
        <v>0</v>
      </c>
    </row>
    <row r="1264" spans="1:4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s="20">
        <v>2437</v>
      </c>
      <c r="T1264">
        <v>15587</v>
      </c>
      <c r="U1264">
        <v>9</v>
      </c>
      <c r="V1264" t="s">
        <v>42</v>
      </c>
      <c r="W1264" t="s">
        <v>35</v>
      </c>
      <c r="X1264" s="19">
        <v>16</v>
      </c>
      <c r="Y1264">
        <v>3</v>
      </c>
      <c r="Z1264">
        <v>4</v>
      </c>
      <c r="AA1264">
        <v>80</v>
      </c>
      <c r="AB1264">
        <v>1</v>
      </c>
      <c r="AC1264">
        <v>6</v>
      </c>
      <c r="AD1264">
        <v>4</v>
      </c>
      <c r="AE1264">
        <v>3</v>
      </c>
      <c r="AF1264">
        <v>1</v>
      </c>
      <c r="AG1264">
        <v>0</v>
      </c>
      <c r="AH1264">
        <v>0</v>
      </c>
      <c r="AI1264">
        <v>0</v>
      </c>
      <c r="AJ1264">
        <f t="shared" si="190"/>
        <v>1</v>
      </c>
      <c r="AK1264">
        <f t="shared" si="191"/>
        <v>1</v>
      </c>
      <c r="AL1264">
        <f t="shared" si="192"/>
        <v>1</v>
      </c>
      <c r="AM1264">
        <f t="shared" si="193"/>
        <v>3.25</v>
      </c>
      <c r="AN1264">
        <f t="shared" si="194"/>
        <v>14622</v>
      </c>
      <c r="AO1264">
        <f t="shared" si="195"/>
        <v>0.14285714285714285</v>
      </c>
      <c r="AP1264" t="str">
        <f t="shared" si="196"/>
        <v>40-49</v>
      </c>
      <c r="AQ1264" t="str">
        <f t="shared" si="197"/>
        <v>Low</v>
      </c>
      <c r="AR1264" t="str">
        <f t="shared" si="198"/>
        <v>Long</v>
      </c>
      <c r="AS1264">
        <f t="shared" si="199"/>
        <v>1</v>
      </c>
    </row>
    <row r="1265" spans="1:4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s="20">
        <v>2766</v>
      </c>
      <c r="T1265">
        <v>8952</v>
      </c>
      <c r="U1265">
        <v>8</v>
      </c>
      <c r="V1265" t="s">
        <v>42</v>
      </c>
      <c r="W1265" t="s">
        <v>43</v>
      </c>
      <c r="X1265" s="19">
        <v>22</v>
      </c>
      <c r="Y1265">
        <v>4</v>
      </c>
      <c r="Z1265">
        <v>2</v>
      </c>
      <c r="AA1265">
        <v>80</v>
      </c>
      <c r="AB1265">
        <v>3</v>
      </c>
      <c r="AC1265">
        <v>7</v>
      </c>
      <c r="AD1265">
        <v>6</v>
      </c>
      <c r="AE1265">
        <v>2</v>
      </c>
      <c r="AF1265">
        <v>5</v>
      </c>
      <c r="AG1265">
        <v>3</v>
      </c>
      <c r="AH1265">
        <v>0</v>
      </c>
      <c r="AI1265">
        <v>4</v>
      </c>
      <c r="AJ1265">
        <f t="shared" si="190"/>
        <v>0</v>
      </c>
      <c r="AK1265">
        <f t="shared" si="191"/>
        <v>0</v>
      </c>
      <c r="AL1265">
        <f t="shared" si="192"/>
        <v>1</v>
      </c>
      <c r="AM1265">
        <f t="shared" si="193"/>
        <v>2</v>
      </c>
      <c r="AN1265">
        <f t="shared" si="194"/>
        <v>5532</v>
      </c>
      <c r="AO1265">
        <f t="shared" si="195"/>
        <v>0.625</v>
      </c>
      <c r="AP1265" t="str">
        <f t="shared" si="196"/>
        <v>40-49</v>
      </c>
      <c r="AQ1265" t="str">
        <f t="shared" si="197"/>
        <v>Low</v>
      </c>
      <c r="AR1265" t="str">
        <f t="shared" si="198"/>
        <v>Medium</v>
      </c>
      <c r="AS1265">
        <f t="shared" si="199"/>
        <v>0</v>
      </c>
    </row>
    <row r="1266" spans="1:4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s="20">
        <v>19038</v>
      </c>
      <c r="T1266">
        <v>19805</v>
      </c>
      <c r="U1266">
        <v>8</v>
      </c>
      <c r="V1266" t="s">
        <v>42</v>
      </c>
      <c r="W1266" t="s">
        <v>43</v>
      </c>
      <c r="X1266" s="19">
        <v>12</v>
      </c>
      <c r="Y1266">
        <v>3</v>
      </c>
      <c r="Z1266">
        <v>2</v>
      </c>
      <c r="AA1266">
        <v>80</v>
      </c>
      <c r="AB1266">
        <v>3</v>
      </c>
      <c r="AC1266">
        <v>34</v>
      </c>
      <c r="AD1266">
        <v>2</v>
      </c>
      <c r="AE1266">
        <v>3</v>
      </c>
      <c r="AF1266">
        <v>1</v>
      </c>
      <c r="AG1266">
        <v>0</v>
      </c>
      <c r="AH1266">
        <v>0</v>
      </c>
      <c r="AI1266">
        <v>0</v>
      </c>
      <c r="AJ1266">
        <f t="shared" si="190"/>
        <v>0</v>
      </c>
      <c r="AK1266">
        <f t="shared" si="191"/>
        <v>0</v>
      </c>
      <c r="AL1266">
        <f t="shared" si="192"/>
        <v>1</v>
      </c>
      <c r="AM1266">
        <f t="shared" si="193"/>
        <v>2.25</v>
      </c>
      <c r="AN1266">
        <f t="shared" si="194"/>
        <v>114228</v>
      </c>
      <c r="AO1266">
        <f t="shared" si="195"/>
        <v>2.8571428571428571E-2</v>
      </c>
      <c r="AP1266" t="str">
        <f t="shared" si="196"/>
        <v>50+</v>
      </c>
      <c r="AQ1266" t="str">
        <f t="shared" si="197"/>
        <v>Very High</v>
      </c>
      <c r="AR1266" t="str">
        <f t="shared" si="198"/>
        <v>Short</v>
      </c>
      <c r="AS1266">
        <f t="shared" si="199"/>
        <v>0</v>
      </c>
    </row>
    <row r="1267" spans="1:4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s="20">
        <v>3055</v>
      </c>
      <c r="T1267">
        <v>6194</v>
      </c>
      <c r="U1267">
        <v>5</v>
      </c>
      <c r="V1267" t="s">
        <v>42</v>
      </c>
      <c r="W1267" t="s">
        <v>43</v>
      </c>
      <c r="X1267" s="19">
        <v>15</v>
      </c>
      <c r="Y1267">
        <v>3</v>
      </c>
      <c r="Z1267">
        <v>4</v>
      </c>
      <c r="AA1267">
        <v>80</v>
      </c>
      <c r="AB1267">
        <v>2</v>
      </c>
      <c r="AC1267">
        <v>11</v>
      </c>
      <c r="AD1267">
        <v>2</v>
      </c>
      <c r="AE1267">
        <v>2</v>
      </c>
      <c r="AF1267">
        <v>9</v>
      </c>
      <c r="AG1267">
        <v>8</v>
      </c>
      <c r="AH1267">
        <v>1</v>
      </c>
      <c r="AI1267">
        <v>7</v>
      </c>
      <c r="AJ1267">
        <f t="shared" si="190"/>
        <v>0</v>
      </c>
      <c r="AK1267">
        <f t="shared" si="191"/>
        <v>0</v>
      </c>
      <c r="AL1267">
        <f t="shared" si="192"/>
        <v>1</v>
      </c>
      <c r="AM1267">
        <f t="shared" si="193"/>
        <v>3</v>
      </c>
      <c r="AN1267">
        <f t="shared" si="194"/>
        <v>3666</v>
      </c>
      <c r="AO1267">
        <f t="shared" si="195"/>
        <v>0.75</v>
      </c>
      <c r="AP1267" t="str">
        <f t="shared" si="196"/>
        <v>30-39</v>
      </c>
      <c r="AQ1267" t="str">
        <f t="shared" si="197"/>
        <v>Medium</v>
      </c>
      <c r="AR1267" t="str">
        <f t="shared" si="198"/>
        <v>Short</v>
      </c>
      <c r="AS1267">
        <f t="shared" si="199"/>
        <v>0</v>
      </c>
    </row>
    <row r="1268" spans="1:4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s="20">
        <v>2289</v>
      </c>
      <c r="T1268">
        <v>20520</v>
      </c>
      <c r="U1268">
        <v>1</v>
      </c>
      <c r="V1268" t="s">
        <v>42</v>
      </c>
      <c r="W1268" t="s">
        <v>43</v>
      </c>
      <c r="X1268" s="19">
        <v>20</v>
      </c>
      <c r="Y1268">
        <v>4</v>
      </c>
      <c r="Z1268">
        <v>2</v>
      </c>
      <c r="AA1268">
        <v>80</v>
      </c>
      <c r="AB1268">
        <v>2</v>
      </c>
      <c r="AC1268">
        <v>5</v>
      </c>
      <c r="AD1268">
        <v>2</v>
      </c>
      <c r="AE1268">
        <v>3</v>
      </c>
      <c r="AF1268">
        <v>5</v>
      </c>
      <c r="AG1268">
        <v>3</v>
      </c>
      <c r="AH1268">
        <v>0</v>
      </c>
      <c r="AI1268">
        <v>4</v>
      </c>
      <c r="AJ1268">
        <f t="shared" si="190"/>
        <v>0</v>
      </c>
      <c r="AK1268">
        <f t="shared" si="191"/>
        <v>0</v>
      </c>
      <c r="AL1268">
        <f t="shared" si="192"/>
        <v>1</v>
      </c>
      <c r="AM1268">
        <f t="shared" si="193"/>
        <v>2.25</v>
      </c>
      <c r="AN1268">
        <f t="shared" si="194"/>
        <v>4578</v>
      </c>
      <c r="AO1268">
        <f t="shared" si="195"/>
        <v>0.83333333333333337</v>
      </c>
      <c r="AP1268" t="str">
        <f t="shared" si="196"/>
        <v>40-49</v>
      </c>
      <c r="AQ1268" t="str">
        <f t="shared" si="197"/>
        <v>Low</v>
      </c>
      <c r="AR1268" t="str">
        <f t="shared" si="198"/>
        <v>Medium</v>
      </c>
      <c r="AS1268">
        <f t="shared" si="199"/>
        <v>0</v>
      </c>
    </row>
    <row r="1269" spans="1:4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s="20">
        <v>4001</v>
      </c>
      <c r="T1269">
        <v>12313</v>
      </c>
      <c r="U1269">
        <v>1</v>
      </c>
      <c r="V1269" t="s">
        <v>42</v>
      </c>
      <c r="W1269" t="s">
        <v>35</v>
      </c>
      <c r="X1269" s="19">
        <v>14</v>
      </c>
      <c r="Y1269">
        <v>3</v>
      </c>
      <c r="Z1269">
        <v>3</v>
      </c>
      <c r="AA1269">
        <v>80</v>
      </c>
      <c r="AB1269">
        <v>1</v>
      </c>
      <c r="AC1269">
        <v>15</v>
      </c>
      <c r="AD1269">
        <v>3</v>
      </c>
      <c r="AE1269">
        <v>3</v>
      </c>
      <c r="AF1269">
        <v>15</v>
      </c>
      <c r="AG1269">
        <v>14</v>
      </c>
      <c r="AH1269">
        <v>0</v>
      </c>
      <c r="AI1269">
        <v>7</v>
      </c>
      <c r="AJ1269">
        <f t="shared" si="190"/>
        <v>0</v>
      </c>
      <c r="AK1269">
        <f t="shared" si="191"/>
        <v>1</v>
      </c>
      <c r="AL1269">
        <f t="shared" si="192"/>
        <v>1</v>
      </c>
      <c r="AM1269">
        <f t="shared" si="193"/>
        <v>3.25</v>
      </c>
      <c r="AN1269">
        <f t="shared" si="194"/>
        <v>3000.75</v>
      </c>
      <c r="AO1269">
        <f t="shared" si="195"/>
        <v>0.9375</v>
      </c>
      <c r="AP1269" t="str">
        <f t="shared" si="196"/>
        <v>30-39</v>
      </c>
      <c r="AQ1269" t="str">
        <f t="shared" si="197"/>
        <v>Medium</v>
      </c>
      <c r="AR1269" t="str">
        <f t="shared" si="198"/>
        <v>Medium</v>
      </c>
      <c r="AS1269">
        <f t="shared" si="199"/>
        <v>0</v>
      </c>
    </row>
    <row r="1270" spans="1:4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s="20">
        <v>12965</v>
      </c>
      <c r="T1270">
        <v>22308</v>
      </c>
      <c r="U1270">
        <v>4</v>
      </c>
      <c r="V1270" t="s">
        <v>42</v>
      </c>
      <c r="W1270" t="s">
        <v>35</v>
      </c>
      <c r="X1270" s="19">
        <v>20</v>
      </c>
      <c r="Y1270">
        <v>4</v>
      </c>
      <c r="Z1270">
        <v>4</v>
      </c>
      <c r="AA1270">
        <v>80</v>
      </c>
      <c r="AB1270">
        <v>3</v>
      </c>
      <c r="AC1270">
        <v>27</v>
      </c>
      <c r="AD1270">
        <v>2</v>
      </c>
      <c r="AE1270">
        <v>2</v>
      </c>
      <c r="AF1270">
        <v>3</v>
      </c>
      <c r="AG1270">
        <v>2</v>
      </c>
      <c r="AH1270">
        <v>0</v>
      </c>
      <c r="AI1270">
        <v>2</v>
      </c>
      <c r="AJ1270">
        <f t="shared" si="190"/>
        <v>0</v>
      </c>
      <c r="AK1270">
        <f t="shared" si="191"/>
        <v>1</v>
      </c>
      <c r="AL1270">
        <f t="shared" si="192"/>
        <v>0</v>
      </c>
      <c r="AM1270">
        <f t="shared" si="193"/>
        <v>2.5</v>
      </c>
      <c r="AN1270">
        <f t="shared" si="194"/>
        <v>38895</v>
      </c>
      <c r="AO1270">
        <f t="shared" si="195"/>
        <v>0.10714285714285714</v>
      </c>
      <c r="AP1270" t="str">
        <f t="shared" si="196"/>
        <v>50+</v>
      </c>
      <c r="AQ1270" t="str">
        <f t="shared" si="197"/>
        <v>Very High</v>
      </c>
      <c r="AR1270" t="str">
        <f t="shared" si="198"/>
        <v>Short</v>
      </c>
      <c r="AS1270">
        <f t="shared" si="199"/>
        <v>0</v>
      </c>
    </row>
    <row r="1271" spans="1:4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s="20">
        <v>3539</v>
      </c>
      <c r="T1271">
        <v>5033</v>
      </c>
      <c r="U1271">
        <v>0</v>
      </c>
      <c r="V1271" t="s">
        <v>42</v>
      </c>
      <c r="W1271" t="s">
        <v>43</v>
      </c>
      <c r="X1271" s="19">
        <v>13</v>
      </c>
      <c r="Y1271">
        <v>3</v>
      </c>
      <c r="Z1271">
        <v>2</v>
      </c>
      <c r="AA1271">
        <v>80</v>
      </c>
      <c r="AB1271">
        <v>0</v>
      </c>
      <c r="AC1271">
        <v>10</v>
      </c>
      <c r="AD1271">
        <v>5</v>
      </c>
      <c r="AE1271">
        <v>3</v>
      </c>
      <c r="AF1271">
        <v>9</v>
      </c>
      <c r="AG1271">
        <v>7</v>
      </c>
      <c r="AH1271">
        <v>1</v>
      </c>
      <c r="AI1271">
        <v>8</v>
      </c>
      <c r="AJ1271">
        <f t="shared" si="190"/>
        <v>0</v>
      </c>
      <c r="AK1271">
        <f t="shared" si="191"/>
        <v>0</v>
      </c>
      <c r="AL1271">
        <f t="shared" si="192"/>
        <v>1</v>
      </c>
      <c r="AM1271">
        <f t="shared" si="193"/>
        <v>2.75</v>
      </c>
      <c r="AN1271">
        <f t="shared" si="194"/>
        <v>4246.8</v>
      </c>
      <c r="AO1271">
        <f t="shared" si="195"/>
        <v>0.81818181818181823</v>
      </c>
      <c r="AP1271" t="str">
        <f t="shared" si="196"/>
        <v>40-49</v>
      </c>
      <c r="AQ1271" t="str">
        <f t="shared" si="197"/>
        <v>Medium</v>
      </c>
      <c r="AR1271" t="str">
        <f t="shared" si="198"/>
        <v>Short</v>
      </c>
      <c r="AS1271">
        <f t="shared" si="199"/>
        <v>0</v>
      </c>
    </row>
    <row r="1272" spans="1:4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s="20">
        <v>6029</v>
      </c>
      <c r="T1272">
        <v>25353</v>
      </c>
      <c r="U1272">
        <v>5</v>
      </c>
      <c r="V1272" t="s">
        <v>42</v>
      </c>
      <c r="W1272" t="s">
        <v>43</v>
      </c>
      <c r="X1272" s="19">
        <v>12</v>
      </c>
      <c r="Y1272">
        <v>3</v>
      </c>
      <c r="Z1272">
        <v>1</v>
      </c>
      <c r="AA1272">
        <v>80</v>
      </c>
      <c r="AB1272">
        <v>0</v>
      </c>
      <c r="AC1272">
        <v>6</v>
      </c>
      <c r="AD1272">
        <v>3</v>
      </c>
      <c r="AE1272">
        <v>3</v>
      </c>
      <c r="AF1272">
        <v>2</v>
      </c>
      <c r="AG1272">
        <v>2</v>
      </c>
      <c r="AH1272">
        <v>2</v>
      </c>
      <c r="AI1272">
        <v>2</v>
      </c>
      <c r="AJ1272">
        <f t="shared" si="190"/>
        <v>0</v>
      </c>
      <c r="AK1272">
        <f t="shared" si="191"/>
        <v>0</v>
      </c>
      <c r="AL1272">
        <f t="shared" si="192"/>
        <v>0</v>
      </c>
      <c r="AM1272">
        <f t="shared" si="193"/>
        <v>3</v>
      </c>
      <c r="AN1272">
        <f t="shared" si="194"/>
        <v>24116</v>
      </c>
      <c r="AO1272">
        <f t="shared" si="195"/>
        <v>0.2857142857142857</v>
      </c>
      <c r="AP1272" t="str">
        <f t="shared" si="196"/>
        <v>30-39</v>
      </c>
      <c r="AQ1272" t="str">
        <f t="shared" si="197"/>
        <v>High</v>
      </c>
      <c r="AR1272" t="str">
        <f t="shared" si="198"/>
        <v>Short</v>
      </c>
      <c r="AS1272">
        <f t="shared" si="199"/>
        <v>0</v>
      </c>
    </row>
    <row r="1273" spans="1:4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s="20">
        <v>2679</v>
      </c>
      <c r="T1273">
        <v>4567</v>
      </c>
      <c r="U1273">
        <v>1</v>
      </c>
      <c r="V1273" t="s">
        <v>42</v>
      </c>
      <c r="W1273" t="s">
        <v>43</v>
      </c>
      <c r="X1273" s="19">
        <v>13</v>
      </c>
      <c r="Y1273">
        <v>3</v>
      </c>
      <c r="Z1273">
        <v>2</v>
      </c>
      <c r="AA1273">
        <v>80</v>
      </c>
      <c r="AB1273">
        <v>0</v>
      </c>
      <c r="AC1273">
        <v>1</v>
      </c>
      <c r="AD1273">
        <v>3</v>
      </c>
      <c r="AE1273">
        <v>3</v>
      </c>
      <c r="AF1273">
        <v>1</v>
      </c>
      <c r="AG1273">
        <v>0</v>
      </c>
      <c r="AH1273">
        <v>1</v>
      </c>
      <c r="AI1273">
        <v>0</v>
      </c>
      <c r="AJ1273">
        <f t="shared" si="190"/>
        <v>1</v>
      </c>
      <c r="AK1273">
        <f t="shared" si="191"/>
        <v>0</v>
      </c>
      <c r="AL1273">
        <f t="shared" si="192"/>
        <v>1</v>
      </c>
      <c r="AM1273">
        <f t="shared" si="193"/>
        <v>2.25</v>
      </c>
      <c r="AN1273">
        <f t="shared" si="194"/>
        <v>16074</v>
      </c>
      <c r="AO1273">
        <f t="shared" si="195"/>
        <v>0.5</v>
      </c>
      <c r="AP1273" t="str">
        <f t="shared" si="196"/>
        <v>Under 30</v>
      </c>
      <c r="AQ1273" t="str">
        <f t="shared" si="197"/>
        <v>Low</v>
      </c>
      <c r="AR1273" t="str">
        <f t="shared" si="198"/>
        <v>Medium</v>
      </c>
      <c r="AS1273">
        <f t="shared" si="199"/>
        <v>0</v>
      </c>
    </row>
    <row r="1274" spans="1:4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s="20">
        <v>3702</v>
      </c>
      <c r="T1274">
        <v>16376</v>
      </c>
      <c r="U1274">
        <v>1</v>
      </c>
      <c r="V1274" t="s">
        <v>42</v>
      </c>
      <c r="W1274" t="s">
        <v>43</v>
      </c>
      <c r="X1274" s="19">
        <v>11</v>
      </c>
      <c r="Y1274">
        <v>3</v>
      </c>
      <c r="Z1274">
        <v>2</v>
      </c>
      <c r="AA1274">
        <v>80</v>
      </c>
      <c r="AB1274">
        <v>1</v>
      </c>
      <c r="AC1274">
        <v>5</v>
      </c>
      <c r="AD1274">
        <v>3</v>
      </c>
      <c r="AE1274">
        <v>3</v>
      </c>
      <c r="AF1274">
        <v>5</v>
      </c>
      <c r="AG1274">
        <v>4</v>
      </c>
      <c r="AH1274">
        <v>0</v>
      </c>
      <c r="AI1274">
        <v>4</v>
      </c>
      <c r="AJ1274">
        <f t="shared" si="190"/>
        <v>0</v>
      </c>
      <c r="AK1274">
        <f t="shared" si="191"/>
        <v>0</v>
      </c>
      <c r="AL1274">
        <f t="shared" si="192"/>
        <v>0</v>
      </c>
      <c r="AM1274">
        <f t="shared" si="193"/>
        <v>3</v>
      </c>
      <c r="AN1274">
        <f t="shared" si="194"/>
        <v>7404</v>
      </c>
      <c r="AO1274">
        <f t="shared" si="195"/>
        <v>0.83333333333333337</v>
      </c>
      <c r="AP1274" t="str">
        <f t="shared" si="196"/>
        <v>30-39</v>
      </c>
      <c r="AQ1274" t="str">
        <f t="shared" si="197"/>
        <v>Medium</v>
      </c>
      <c r="AR1274" t="str">
        <f t="shared" si="198"/>
        <v>Medium</v>
      </c>
      <c r="AS1274">
        <f t="shared" si="199"/>
        <v>0</v>
      </c>
    </row>
    <row r="1275" spans="1:4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s="20">
        <v>2398</v>
      </c>
      <c r="T1275">
        <v>15999</v>
      </c>
      <c r="U1275">
        <v>1</v>
      </c>
      <c r="V1275" t="s">
        <v>42</v>
      </c>
      <c r="W1275" t="s">
        <v>35</v>
      </c>
      <c r="X1275" s="19">
        <v>17</v>
      </c>
      <c r="Y1275">
        <v>3</v>
      </c>
      <c r="Z1275">
        <v>3</v>
      </c>
      <c r="AA1275">
        <v>80</v>
      </c>
      <c r="AB1275">
        <v>0</v>
      </c>
      <c r="AC1275">
        <v>1</v>
      </c>
      <c r="AD1275">
        <v>6</v>
      </c>
      <c r="AE1275">
        <v>3</v>
      </c>
      <c r="AF1275">
        <v>1</v>
      </c>
      <c r="AG1275">
        <v>0</v>
      </c>
      <c r="AH1275">
        <v>0</v>
      </c>
      <c r="AI1275">
        <v>0</v>
      </c>
      <c r="AJ1275">
        <f t="shared" si="190"/>
        <v>1</v>
      </c>
      <c r="AK1275">
        <f t="shared" si="191"/>
        <v>1</v>
      </c>
      <c r="AL1275">
        <f t="shared" si="192"/>
        <v>0</v>
      </c>
      <c r="AM1275">
        <f t="shared" si="193"/>
        <v>2.5</v>
      </c>
      <c r="AN1275">
        <f t="shared" si="194"/>
        <v>14388</v>
      </c>
      <c r="AO1275">
        <f t="shared" si="195"/>
        <v>0.5</v>
      </c>
      <c r="AP1275" t="str">
        <f t="shared" si="196"/>
        <v>Under 30</v>
      </c>
      <c r="AQ1275" t="str">
        <f t="shared" si="197"/>
        <v>Low</v>
      </c>
      <c r="AR1275" t="str">
        <f t="shared" si="198"/>
        <v>Medium</v>
      </c>
      <c r="AS1275">
        <f t="shared" si="199"/>
        <v>0</v>
      </c>
    </row>
    <row r="1276" spans="1:4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s="20">
        <v>5468</v>
      </c>
      <c r="T1276">
        <v>13402</v>
      </c>
      <c r="U1276">
        <v>1</v>
      </c>
      <c r="V1276" t="s">
        <v>42</v>
      </c>
      <c r="W1276" t="s">
        <v>43</v>
      </c>
      <c r="X1276" s="19">
        <v>14</v>
      </c>
      <c r="Y1276">
        <v>3</v>
      </c>
      <c r="Z1276">
        <v>1</v>
      </c>
      <c r="AA1276">
        <v>80</v>
      </c>
      <c r="AB1276">
        <v>2</v>
      </c>
      <c r="AC1276">
        <v>13</v>
      </c>
      <c r="AD1276">
        <v>3</v>
      </c>
      <c r="AE1276">
        <v>3</v>
      </c>
      <c r="AF1276">
        <v>12</v>
      </c>
      <c r="AG1276">
        <v>7</v>
      </c>
      <c r="AH1276">
        <v>5</v>
      </c>
      <c r="AI1276">
        <v>7</v>
      </c>
      <c r="AJ1276">
        <f t="shared" si="190"/>
        <v>0</v>
      </c>
      <c r="AK1276">
        <f t="shared" si="191"/>
        <v>0</v>
      </c>
      <c r="AL1276">
        <f t="shared" si="192"/>
        <v>0</v>
      </c>
      <c r="AM1276">
        <f t="shared" si="193"/>
        <v>2.25</v>
      </c>
      <c r="AN1276">
        <f t="shared" si="194"/>
        <v>5047.3846153846152</v>
      </c>
      <c r="AO1276">
        <f t="shared" si="195"/>
        <v>0.8571428571428571</v>
      </c>
      <c r="AP1276" t="str">
        <f t="shared" si="196"/>
        <v>30-39</v>
      </c>
      <c r="AQ1276" t="str">
        <f t="shared" si="197"/>
        <v>High</v>
      </c>
      <c r="AR1276" t="str">
        <f t="shared" si="198"/>
        <v>Long</v>
      </c>
      <c r="AS1276">
        <f t="shared" si="199"/>
        <v>0</v>
      </c>
    </row>
    <row r="1277" spans="1:4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s="20">
        <v>13116</v>
      </c>
      <c r="T1277">
        <v>22984</v>
      </c>
      <c r="U1277">
        <v>2</v>
      </c>
      <c r="V1277" t="s">
        <v>42</v>
      </c>
      <c r="W1277" t="s">
        <v>43</v>
      </c>
      <c r="X1277" s="19">
        <v>11</v>
      </c>
      <c r="Y1277">
        <v>3</v>
      </c>
      <c r="Z1277">
        <v>4</v>
      </c>
      <c r="AA1277">
        <v>80</v>
      </c>
      <c r="AB1277">
        <v>0</v>
      </c>
      <c r="AC1277">
        <v>15</v>
      </c>
      <c r="AD1277">
        <v>2</v>
      </c>
      <c r="AE1277">
        <v>3</v>
      </c>
      <c r="AF1277">
        <v>2</v>
      </c>
      <c r="AG1277">
        <v>2</v>
      </c>
      <c r="AH1277">
        <v>2</v>
      </c>
      <c r="AI1277">
        <v>2</v>
      </c>
      <c r="AJ1277">
        <f t="shared" si="190"/>
        <v>0</v>
      </c>
      <c r="AK1277">
        <f t="shared" si="191"/>
        <v>0</v>
      </c>
      <c r="AL1277">
        <f t="shared" si="192"/>
        <v>0</v>
      </c>
      <c r="AM1277">
        <f t="shared" si="193"/>
        <v>2.75</v>
      </c>
      <c r="AN1277">
        <f t="shared" si="194"/>
        <v>52464</v>
      </c>
      <c r="AO1277">
        <f t="shared" si="195"/>
        <v>0.125</v>
      </c>
      <c r="AP1277" t="str">
        <f t="shared" si="196"/>
        <v>50+</v>
      </c>
      <c r="AQ1277" t="str">
        <f t="shared" si="197"/>
        <v>Very High</v>
      </c>
      <c r="AR1277" t="str">
        <f t="shared" si="198"/>
        <v>Short</v>
      </c>
      <c r="AS1277">
        <f t="shared" si="199"/>
        <v>0</v>
      </c>
    </row>
    <row r="1278" spans="1:4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s="20">
        <v>4189</v>
      </c>
      <c r="T1278">
        <v>8800</v>
      </c>
      <c r="U1278">
        <v>1</v>
      </c>
      <c r="V1278" t="s">
        <v>42</v>
      </c>
      <c r="W1278" t="s">
        <v>43</v>
      </c>
      <c r="X1278" s="19">
        <v>14</v>
      </c>
      <c r="Y1278">
        <v>3</v>
      </c>
      <c r="Z1278">
        <v>1</v>
      </c>
      <c r="AA1278">
        <v>80</v>
      </c>
      <c r="AB1278">
        <v>2</v>
      </c>
      <c r="AC1278">
        <v>5</v>
      </c>
      <c r="AD1278">
        <v>2</v>
      </c>
      <c r="AE1278">
        <v>3</v>
      </c>
      <c r="AF1278">
        <v>5</v>
      </c>
      <c r="AG1278">
        <v>2</v>
      </c>
      <c r="AH1278">
        <v>0</v>
      </c>
      <c r="AI1278">
        <v>3</v>
      </c>
      <c r="AJ1278">
        <f t="shared" si="190"/>
        <v>0</v>
      </c>
      <c r="AK1278">
        <f t="shared" si="191"/>
        <v>0</v>
      </c>
      <c r="AL1278">
        <f t="shared" si="192"/>
        <v>1</v>
      </c>
      <c r="AM1278">
        <f t="shared" si="193"/>
        <v>2</v>
      </c>
      <c r="AN1278">
        <f t="shared" si="194"/>
        <v>8378</v>
      </c>
      <c r="AO1278">
        <f t="shared" si="195"/>
        <v>0.83333333333333337</v>
      </c>
      <c r="AP1278" t="str">
        <f t="shared" si="196"/>
        <v>30-39</v>
      </c>
      <c r="AQ1278" t="str">
        <f t="shared" si="197"/>
        <v>Medium</v>
      </c>
      <c r="AR1278" t="str">
        <f t="shared" si="198"/>
        <v>Medium</v>
      </c>
      <c r="AS1278">
        <f t="shared" si="199"/>
        <v>0</v>
      </c>
    </row>
    <row r="1279" spans="1:4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s="20">
        <v>19328</v>
      </c>
      <c r="T1279">
        <v>14218</v>
      </c>
      <c r="U1279">
        <v>7</v>
      </c>
      <c r="V1279" t="s">
        <v>42</v>
      </c>
      <c r="W1279" t="s">
        <v>35</v>
      </c>
      <c r="X1279" s="19">
        <v>17</v>
      </c>
      <c r="Y1279">
        <v>3</v>
      </c>
      <c r="Z1279">
        <v>3</v>
      </c>
      <c r="AA1279">
        <v>80</v>
      </c>
      <c r="AB1279">
        <v>1</v>
      </c>
      <c r="AC1279">
        <v>24</v>
      </c>
      <c r="AD1279">
        <v>3</v>
      </c>
      <c r="AE1279">
        <v>3</v>
      </c>
      <c r="AF1279">
        <v>2</v>
      </c>
      <c r="AG1279">
        <v>1</v>
      </c>
      <c r="AH1279">
        <v>2</v>
      </c>
      <c r="AI1279">
        <v>2</v>
      </c>
      <c r="AJ1279">
        <f t="shared" si="190"/>
        <v>0</v>
      </c>
      <c r="AK1279">
        <f t="shared" si="191"/>
        <v>1</v>
      </c>
      <c r="AL1279">
        <f t="shared" si="192"/>
        <v>1</v>
      </c>
      <c r="AM1279">
        <f t="shared" si="193"/>
        <v>3.25</v>
      </c>
      <c r="AN1279">
        <f t="shared" si="194"/>
        <v>77312</v>
      </c>
      <c r="AO1279">
        <f t="shared" si="195"/>
        <v>0.08</v>
      </c>
      <c r="AP1279" t="str">
        <f t="shared" si="196"/>
        <v>40-49</v>
      </c>
      <c r="AQ1279" t="str">
        <f t="shared" si="197"/>
        <v>Very High</v>
      </c>
      <c r="AR1279" t="str">
        <f t="shared" si="198"/>
        <v>Short</v>
      </c>
      <c r="AS1279">
        <f t="shared" si="199"/>
        <v>0</v>
      </c>
    </row>
    <row r="1280" spans="1:4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s="20">
        <v>8321</v>
      </c>
      <c r="T1280">
        <v>25949</v>
      </c>
      <c r="U1280">
        <v>7</v>
      </c>
      <c r="V1280" t="s">
        <v>42</v>
      </c>
      <c r="W1280" t="s">
        <v>35</v>
      </c>
      <c r="X1280" s="19">
        <v>13</v>
      </c>
      <c r="Y1280">
        <v>3</v>
      </c>
      <c r="Z1280">
        <v>4</v>
      </c>
      <c r="AA1280">
        <v>80</v>
      </c>
      <c r="AB1280">
        <v>1</v>
      </c>
      <c r="AC1280">
        <v>15</v>
      </c>
      <c r="AD1280">
        <v>1</v>
      </c>
      <c r="AE1280">
        <v>3</v>
      </c>
      <c r="AF1280">
        <v>12</v>
      </c>
      <c r="AG1280">
        <v>8</v>
      </c>
      <c r="AH1280">
        <v>5</v>
      </c>
      <c r="AI1280">
        <v>7</v>
      </c>
      <c r="AJ1280">
        <f t="shared" si="190"/>
        <v>0</v>
      </c>
      <c r="AK1280">
        <f t="shared" si="191"/>
        <v>1</v>
      </c>
      <c r="AL1280">
        <f t="shared" si="192"/>
        <v>1</v>
      </c>
      <c r="AM1280">
        <f t="shared" si="193"/>
        <v>3</v>
      </c>
      <c r="AN1280">
        <f t="shared" si="194"/>
        <v>7680.9230769230771</v>
      </c>
      <c r="AO1280">
        <f t="shared" si="195"/>
        <v>0.75</v>
      </c>
      <c r="AP1280" t="str">
        <f t="shared" si="196"/>
        <v>30-39</v>
      </c>
      <c r="AQ1280" t="str">
        <f t="shared" si="197"/>
        <v>High</v>
      </c>
      <c r="AR1280" t="str">
        <f t="shared" si="198"/>
        <v>Medium</v>
      </c>
      <c r="AS1280">
        <f t="shared" si="199"/>
        <v>0</v>
      </c>
    </row>
    <row r="1281" spans="1:4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s="20">
        <v>2342</v>
      </c>
      <c r="T1281">
        <v>11092</v>
      </c>
      <c r="U1281">
        <v>1</v>
      </c>
      <c r="V1281" t="s">
        <v>42</v>
      </c>
      <c r="W1281" t="s">
        <v>35</v>
      </c>
      <c r="X1281" s="19">
        <v>12</v>
      </c>
      <c r="Y1281">
        <v>3</v>
      </c>
      <c r="Z1281">
        <v>3</v>
      </c>
      <c r="AA1281">
        <v>80</v>
      </c>
      <c r="AB1281">
        <v>3</v>
      </c>
      <c r="AC1281">
        <v>6</v>
      </c>
      <c r="AD1281">
        <v>2</v>
      </c>
      <c r="AE1281">
        <v>2</v>
      </c>
      <c r="AF1281">
        <v>5</v>
      </c>
      <c r="AG1281">
        <v>3</v>
      </c>
      <c r="AH1281">
        <v>2</v>
      </c>
      <c r="AI1281">
        <v>3</v>
      </c>
      <c r="AJ1281">
        <f t="shared" si="190"/>
        <v>1</v>
      </c>
      <c r="AK1281">
        <f t="shared" si="191"/>
        <v>1</v>
      </c>
      <c r="AL1281">
        <f t="shared" si="192"/>
        <v>1</v>
      </c>
      <c r="AM1281">
        <f t="shared" si="193"/>
        <v>2.5</v>
      </c>
      <c r="AN1281">
        <f t="shared" si="194"/>
        <v>4684</v>
      </c>
      <c r="AO1281">
        <f t="shared" si="195"/>
        <v>0.7142857142857143</v>
      </c>
      <c r="AP1281" t="str">
        <f t="shared" si="196"/>
        <v>40-49</v>
      </c>
      <c r="AQ1281" t="str">
        <f t="shared" si="197"/>
        <v>Low</v>
      </c>
      <c r="AR1281" t="str">
        <f t="shared" si="198"/>
        <v>Short</v>
      </c>
      <c r="AS1281">
        <f t="shared" si="199"/>
        <v>1</v>
      </c>
    </row>
    <row r="1282" spans="1:4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s="20">
        <v>4071</v>
      </c>
      <c r="T1282">
        <v>12832</v>
      </c>
      <c r="U1282">
        <v>2</v>
      </c>
      <c r="V1282" t="s">
        <v>42</v>
      </c>
      <c r="W1282" t="s">
        <v>43</v>
      </c>
      <c r="X1282" s="19">
        <v>13</v>
      </c>
      <c r="Y1282">
        <v>3</v>
      </c>
      <c r="Z1282">
        <v>3</v>
      </c>
      <c r="AA1282">
        <v>80</v>
      </c>
      <c r="AB1282">
        <v>0</v>
      </c>
      <c r="AC1282">
        <v>19</v>
      </c>
      <c r="AD1282">
        <v>4</v>
      </c>
      <c r="AE1282">
        <v>2</v>
      </c>
      <c r="AF1282">
        <v>10</v>
      </c>
      <c r="AG1282">
        <v>0</v>
      </c>
      <c r="AH1282">
        <v>4</v>
      </c>
      <c r="AI1282">
        <v>7</v>
      </c>
      <c r="AJ1282">
        <f t="shared" si="190"/>
        <v>0</v>
      </c>
      <c r="AK1282">
        <f t="shared" si="191"/>
        <v>0</v>
      </c>
      <c r="AL1282">
        <f t="shared" si="192"/>
        <v>1</v>
      </c>
      <c r="AM1282">
        <f t="shared" si="193"/>
        <v>2.5</v>
      </c>
      <c r="AN1282">
        <f t="shared" si="194"/>
        <v>4441.090909090909</v>
      </c>
      <c r="AO1282">
        <f t="shared" si="195"/>
        <v>0.5</v>
      </c>
      <c r="AP1282" t="str">
        <f t="shared" si="196"/>
        <v>30-39</v>
      </c>
      <c r="AQ1282" t="str">
        <f t="shared" si="197"/>
        <v>Medium</v>
      </c>
      <c r="AR1282" t="str">
        <f t="shared" si="198"/>
        <v>Medium</v>
      </c>
      <c r="AS1282">
        <f t="shared" si="199"/>
        <v>0</v>
      </c>
    </row>
    <row r="1283" spans="1:4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s="20">
        <v>5813</v>
      </c>
      <c r="T1283">
        <v>13492</v>
      </c>
      <c r="U1283">
        <v>1</v>
      </c>
      <c r="V1283" t="s">
        <v>42</v>
      </c>
      <c r="W1283" t="s">
        <v>35</v>
      </c>
      <c r="X1283" s="19">
        <v>18</v>
      </c>
      <c r="Y1283">
        <v>3</v>
      </c>
      <c r="Z1283">
        <v>4</v>
      </c>
      <c r="AA1283">
        <v>80</v>
      </c>
      <c r="AB1283">
        <v>0</v>
      </c>
      <c r="AC1283">
        <v>10</v>
      </c>
      <c r="AD1283">
        <v>2</v>
      </c>
      <c r="AE1283">
        <v>3</v>
      </c>
      <c r="AF1283">
        <v>10</v>
      </c>
      <c r="AG1283">
        <v>7</v>
      </c>
      <c r="AH1283">
        <v>7</v>
      </c>
      <c r="AI1283">
        <v>7</v>
      </c>
      <c r="AJ1283">
        <f t="shared" ref="AJ1283:AJ1346" si="200">IF(B1283="Yes",1,0)</f>
        <v>1</v>
      </c>
      <c r="AK1283">
        <f t="shared" ref="AK1283:AK1346" si="201">IF(W1283="Yes",1,0)</f>
        <v>1</v>
      </c>
      <c r="AL1283">
        <f t="shared" ref="AL1283:AL1346" si="202">IF(L1283="Male",1,0)</f>
        <v>1</v>
      </c>
      <c r="AM1283">
        <f t="shared" ref="AM1283:AM1346" si="203">AVERAGE(K1283,Q1283,Z1283,AE1283)</f>
        <v>3.5</v>
      </c>
      <c r="AN1283">
        <f t="shared" ref="AN1283:AN1346" si="204">(S1283*12)/(AF1283+1)</f>
        <v>6341.454545454545</v>
      </c>
      <c r="AO1283">
        <f t="shared" ref="AO1283:AO1346" si="205">AF1283/(AC1283+1)</f>
        <v>0.90909090909090906</v>
      </c>
      <c r="AP1283" t="str">
        <f t="shared" ref="AP1283:AP1346" si="206">IF(A1283&lt;30,"Under 30",IF(A1283&lt;40,"30-39",IF(A1283&lt;50,"40-49","50+")))</f>
        <v>30-39</v>
      </c>
      <c r="AQ1283" t="str">
        <f t="shared" ref="AQ1283:AQ1346" si="207">IF(S1283&lt;=$AV$1,"Low",IF(S1283&lt;=$AV$2,"Medium",IF(S1283&lt;=$AV$3,"High","Very High")))</f>
        <v>High</v>
      </c>
      <c r="AR1283" t="str">
        <f t="shared" ref="AR1283:AR1346" si="208">IF(F1283&lt;=5,"Short",IF(F1283&lt;=15,"Medium","Long"))</f>
        <v>Long</v>
      </c>
      <c r="AS1283">
        <f t="shared" ref="AS1283:AS1346" si="209">IF(C1283="Travel_Frequently",1,0)</f>
        <v>0</v>
      </c>
    </row>
    <row r="1284" spans="1:4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s="20">
        <v>3143</v>
      </c>
      <c r="T1284">
        <v>6076</v>
      </c>
      <c r="U1284">
        <v>6</v>
      </c>
      <c r="V1284" t="s">
        <v>42</v>
      </c>
      <c r="W1284" t="s">
        <v>43</v>
      </c>
      <c r="X1284" s="19">
        <v>19</v>
      </c>
      <c r="Y1284">
        <v>3</v>
      </c>
      <c r="Z1284">
        <v>2</v>
      </c>
      <c r="AA1284">
        <v>80</v>
      </c>
      <c r="AB1284">
        <v>1</v>
      </c>
      <c r="AC1284">
        <v>14</v>
      </c>
      <c r="AD1284">
        <v>1</v>
      </c>
      <c r="AE1284">
        <v>3</v>
      </c>
      <c r="AF1284">
        <v>10</v>
      </c>
      <c r="AG1284">
        <v>8</v>
      </c>
      <c r="AH1284">
        <v>7</v>
      </c>
      <c r="AI1284">
        <v>6</v>
      </c>
      <c r="AJ1284">
        <f t="shared" si="200"/>
        <v>0</v>
      </c>
      <c r="AK1284">
        <f t="shared" si="201"/>
        <v>0</v>
      </c>
      <c r="AL1284">
        <f t="shared" si="202"/>
        <v>1</v>
      </c>
      <c r="AM1284">
        <f t="shared" si="203"/>
        <v>2.5</v>
      </c>
      <c r="AN1284">
        <f t="shared" si="204"/>
        <v>3428.7272727272725</v>
      </c>
      <c r="AO1284">
        <f t="shared" si="205"/>
        <v>0.66666666666666663</v>
      </c>
      <c r="AP1284" t="str">
        <f t="shared" si="206"/>
        <v>30-39</v>
      </c>
      <c r="AQ1284" t="str">
        <f t="shared" si="207"/>
        <v>Medium</v>
      </c>
      <c r="AR1284" t="str">
        <f t="shared" si="208"/>
        <v>Medium</v>
      </c>
      <c r="AS1284">
        <f t="shared" si="209"/>
        <v>0</v>
      </c>
    </row>
    <row r="1285" spans="1:4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s="20">
        <v>2044</v>
      </c>
      <c r="T1285">
        <v>5531</v>
      </c>
      <c r="U1285">
        <v>1</v>
      </c>
      <c r="V1285" t="s">
        <v>42</v>
      </c>
      <c r="W1285" t="s">
        <v>43</v>
      </c>
      <c r="X1285" s="19">
        <v>11</v>
      </c>
      <c r="Y1285">
        <v>3</v>
      </c>
      <c r="Z1285">
        <v>3</v>
      </c>
      <c r="AA1285">
        <v>80</v>
      </c>
      <c r="AB1285">
        <v>1</v>
      </c>
      <c r="AC1285">
        <v>5</v>
      </c>
      <c r="AD1285">
        <v>6</v>
      </c>
      <c r="AE1285">
        <v>4</v>
      </c>
      <c r="AF1285">
        <v>5</v>
      </c>
      <c r="AG1285">
        <v>3</v>
      </c>
      <c r="AH1285">
        <v>0</v>
      </c>
      <c r="AI1285">
        <v>3</v>
      </c>
      <c r="AJ1285">
        <f t="shared" si="200"/>
        <v>0</v>
      </c>
      <c r="AK1285">
        <f t="shared" si="201"/>
        <v>0</v>
      </c>
      <c r="AL1285">
        <f t="shared" si="202"/>
        <v>1</v>
      </c>
      <c r="AM1285">
        <f t="shared" si="203"/>
        <v>3.5</v>
      </c>
      <c r="AN1285">
        <f t="shared" si="204"/>
        <v>4088</v>
      </c>
      <c r="AO1285">
        <f t="shared" si="205"/>
        <v>0.83333333333333337</v>
      </c>
      <c r="AP1285" t="str">
        <f t="shared" si="206"/>
        <v>Under 30</v>
      </c>
      <c r="AQ1285" t="str">
        <f t="shared" si="207"/>
        <v>Low</v>
      </c>
      <c r="AR1285" t="str">
        <f t="shared" si="208"/>
        <v>Short</v>
      </c>
      <c r="AS1285">
        <f t="shared" si="209"/>
        <v>0</v>
      </c>
    </row>
    <row r="1286" spans="1:4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s="20">
        <v>13464</v>
      </c>
      <c r="T1286">
        <v>7914</v>
      </c>
      <c r="U1286">
        <v>7</v>
      </c>
      <c r="V1286" t="s">
        <v>42</v>
      </c>
      <c r="W1286" t="s">
        <v>43</v>
      </c>
      <c r="X1286" s="19">
        <v>21</v>
      </c>
      <c r="Y1286">
        <v>4</v>
      </c>
      <c r="Z1286">
        <v>3</v>
      </c>
      <c r="AA1286">
        <v>80</v>
      </c>
      <c r="AB1286">
        <v>0</v>
      </c>
      <c r="AC1286">
        <v>9</v>
      </c>
      <c r="AD1286">
        <v>3</v>
      </c>
      <c r="AE1286">
        <v>3</v>
      </c>
      <c r="AF1286">
        <v>4</v>
      </c>
      <c r="AG1286">
        <v>3</v>
      </c>
      <c r="AH1286">
        <v>2</v>
      </c>
      <c r="AI1286">
        <v>2</v>
      </c>
      <c r="AJ1286">
        <f t="shared" si="200"/>
        <v>0</v>
      </c>
      <c r="AK1286">
        <f t="shared" si="201"/>
        <v>0</v>
      </c>
      <c r="AL1286">
        <f t="shared" si="202"/>
        <v>1</v>
      </c>
      <c r="AM1286">
        <f t="shared" si="203"/>
        <v>3</v>
      </c>
      <c r="AN1286">
        <f t="shared" si="204"/>
        <v>32313.599999999999</v>
      </c>
      <c r="AO1286">
        <f t="shared" si="205"/>
        <v>0.4</v>
      </c>
      <c r="AP1286" t="str">
        <f t="shared" si="206"/>
        <v>30-39</v>
      </c>
      <c r="AQ1286" t="str">
        <f t="shared" si="207"/>
        <v>Very High</v>
      </c>
      <c r="AR1286" t="str">
        <f t="shared" si="208"/>
        <v>Medium</v>
      </c>
      <c r="AS1286">
        <f t="shared" si="209"/>
        <v>0</v>
      </c>
    </row>
    <row r="1287" spans="1:4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s="20">
        <v>7991</v>
      </c>
      <c r="T1287">
        <v>25166</v>
      </c>
      <c r="U1287">
        <v>8</v>
      </c>
      <c r="V1287" t="s">
        <v>42</v>
      </c>
      <c r="W1287" t="s">
        <v>43</v>
      </c>
      <c r="X1287" s="19">
        <v>15</v>
      </c>
      <c r="Y1287">
        <v>3</v>
      </c>
      <c r="Z1287">
        <v>3</v>
      </c>
      <c r="AA1287">
        <v>80</v>
      </c>
      <c r="AB1287">
        <v>0</v>
      </c>
      <c r="AC1287">
        <v>6</v>
      </c>
      <c r="AD1287">
        <v>3</v>
      </c>
      <c r="AE1287">
        <v>3</v>
      </c>
      <c r="AF1287">
        <v>2</v>
      </c>
      <c r="AG1287">
        <v>2</v>
      </c>
      <c r="AH1287">
        <v>2</v>
      </c>
      <c r="AI1287">
        <v>2</v>
      </c>
      <c r="AJ1287">
        <f t="shared" si="200"/>
        <v>0</v>
      </c>
      <c r="AK1287">
        <f t="shared" si="201"/>
        <v>0</v>
      </c>
      <c r="AL1287">
        <f t="shared" si="202"/>
        <v>1</v>
      </c>
      <c r="AM1287">
        <f t="shared" si="203"/>
        <v>2.5</v>
      </c>
      <c r="AN1287">
        <f t="shared" si="204"/>
        <v>31964</v>
      </c>
      <c r="AO1287">
        <f t="shared" si="205"/>
        <v>0.2857142857142857</v>
      </c>
      <c r="AP1287" t="str">
        <f t="shared" si="206"/>
        <v>40-49</v>
      </c>
      <c r="AQ1287" t="str">
        <f t="shared" si="207"/>
        <v>High</v>
      </c>
      <c r="AR1287" t="str">
        <f t="shared" si="208"/>
        <v>Long</v>
      </c>
      <c r="AS1287">
        <f t="shared" si="209"/>
        <v>0</v>
      </c>
    </row>
    <row r="1288" spans="1:4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s="20">
        <v>3377</v>
      </c>
      <c r="T1288">
        <v>25605</v>
      </c>
      <c r="U1288">
        <v>4</v>
      </c>
      <c r="V1288" t="s">
        <v>42</v>
      </c>
      <c r="W1288" t="s">
        <v>43</v>
      </c>
      <c r="X1288" s="19">
        <v>17</v>
      </c>
      <c r="Y1288">
        <v>3</v>
      </c>
      <c r="Z1288">
        <v>4</v>
      </c>
      <c r="AA1288">
        <v>80</v>
      </c>
      <c r="AB1288">
        <v>1</v>
      </c>
      <c r="AC1288">
        <v>7</v>
      </c>
      <c r="AD1288">
        <v>5</v>
      </c>
      <c r="AE1288">
        <v>2</v>
      </c>
      <c r="AF1288">
        <v>4</v>
      </c>
      <c r="AG1288">
        <v>3</v>
      </c>
      <c r="AH1288">
        <v>0</v>
      </c>
      <c r="AI1288">
        <v>2</v>
      </c>
      <c r="AJ1288">
        <f t="shared" si="200"/>
        <v>0</v>
      </c>
      <c r="AK1288">
        <f t="shared" si="201"/>
        <v>0</v>
      </c>
      <c r="AL1288">
        <f t="shared" si="202"/>
        <v>0</v>
      </c>
      <c r="AM1288">
        <f t="shared" si="203"/>
        <v>2.5</v>
      </c>
      <c r="AN1288">
        <f t="shared" si="204"/>
        <v>8104.8</v>
      </c>
      <c r="AO1288">
        <f t="shared" si="205"/>
        <v>0.5</v>
      </c>
      <c r="AP1288" t="str">
        <f t="shared" si="206"/>
        <v>40-49</v>
      </c>
      <c r="AQ1288" t="str">
        <f t="shared" si="207"/>
        <v>Medium</v>
      </c>
      <c r="AR1288" t="str">
        <f t="shared" si="208"/>
        <v>Short</v>
      </c>
      <c r="AS1288">
        <f t="shared" si="209"/>
        <v>0</v>
      </c>
    </row>
    <row r="1289" spans="1:4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s="20">
        <v>5538</v>
      </c>
      <c r="T1289">
        <v>5696</v>
      </c>
      <c r="U1289">
        <v>5</v>
      </c>
      <c r="V1289" t="s">
        <v>42</v>
      </c>
      <c r="W1289" t="s">
        <v>43</v>
      </c>
      <c r="X1289" s="19">
        <v>18</v>
      </c>
      <c r="Y1289">
        <v>3</v>
      </c>
      <c r="Z1289">
        <v>3</v>
      </c>
      <c r="AA1289">
        <v>80</v>
      </c>
      <c r="AB1289">
        <v>2</v>
      </c>
      <c r="AC1289">
        <v>10</v>
      </c>
      <c r="AD1289">
        <v>2</v>
      </c>
      <c r="AE1289">
        <v>2</v>
      </c>
      <c r="AF1289">
        <v>0</v>
      </c>
      <c r="AG1289">
        <v>0</v>
      </c>
      <c r="AH1289">
        <v>0</v>
      </c>
      <c r="AI1289">
        <v>0</v>
      </c>
      <c r="AJ1289">
        <f t="shared" si="200"/>
        <v>0</v>
      </c>
      <c r="AK1289">
        <f t="shared" si="201"/>
        <v>0</v>
      </c>
      <c r="AL1289">
        <f t="shared" si="202"/>
        <v>1</v>
      </c>
      <c r="AM1289">
        <f t="shared" si="203"/>
        <v>2</v>
      </c>
      <c r="AN1289">
        <f t="shared" si="204"/>
        <v>66456</v>
      </c>
      <c r="AO1289">
        <f t="shared" si="205"/>
        <v>0</v>
      </c>
      <c r="AP1289" t="str">
        <f t="shared" si="206"/>
        <v>40-49</v>
      </c>
      <c r="AQ1289" t="str">
        <f t="shared" si="207"/>
        <v>High</v>
      </c>
      <c r="AR1289" t="str">
        <f t="shared" si="208"/>
        <v>Medium</v>
      </c>
      <c r="AS1289">
        <f t="shared" si="209"/>
        <v>0</v>
      </c>
    </row>
    <row r="1290" spans="1:4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s="20">
        <v>5762</v>
      </c>
      <c r="T1290">
        <v>24442</v>
      </c>
      <c r="U1290">
        <v>2</v>
      </c>
      <c r="V1290" t="s">
        <v>42</v>
      </c>
      <c r="W1290" t="s">
        <v>43</v>
      </c>
      <c r="X1290" s="19">
        <v>14</v>
      </c>
      <c r="Y1290">
        <v>3</v>
      </c>
      <c r="Z1290">
        <v>3</v>
      </c>
      <c r="AA1290">
        <v>80</v>
      </c>
      <c r="AB1290">
        <v>1</v>
      </c>
      <c r="AC1290">
        <v>15</v>
      </c>
      <c r="AD1290">
        <v>6</v>
      </c>
      <c r="AE1290">
        <v>3</v>
      </c>
      <c r="AF1290">
        <v>7</v>
      </c>
      <c r="AG1290">
        <v>7</v>
      </c>
      <c r="AH1290">
        <v>1</v>
      </c>
      <c r="AI1290">
        <v>7</v>
      </c>
      <c r="AJ1290">
        <f t="shared" si="200"/>
        <v>0</v>
      </c>
      <c r="AK1290">
        <f t="shared" si="201"/>
        <v>0</v>
      </c>
      <c r="AL1290">
        <f t="shared" si="202"/>
        <v>1</v>
      </c>
      <c r="AM1290">
        <f t="shared" si="203"/>
        <v>3</v>
      </c>
      <c r="AN1290">
        <f t="shared" si="204"/>
        <v>8643</v>
      </c>
      <c r="AO1290">
        <f t="shared" si="205"/>
        <v>0.4375</v>
      </c>
      <c r="AP1290" t="str">
        <f t="shared" si="206"/>
        <v>30-39</v>
      </c>
      <c r="AQ1290" t="str">
        <f t="shared" si="207"/>
        <v>High</v>
      </c>
      <c r="AR1290" t="str">
        <f t="shared" si="208"/>
        <v>Short</v>
      </c>
      <c r="AS1290">
        <f t="shared" si="209"/>
        <v>0</v>
      </c>
    </row>
    <row r="1291" spans="1:4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s="20">
        <v>2592</v>
      </c>
      <c r="T1291">
        <v>7129</v>
      </c>
      <c r="U1291">
        <v>5</v>
      </c>
      <c r="V1291" t="s">
        <v>42</v>
      </c>
      <c r="W1291" t="s">
        <v>43</v>
      </c>
      <c r="X1291" s="19">
        <v>13</v>
      </c>
      <c r="Y1291">
        <v>3</v>
      </c>
      <c r="Z1291">
        <v>4</v>
      </c>
      <c r="AA1291">
        <v>80</v>
      </c>
      <c r="AB1291">
        <v>3</v>
      </c>
      <c r="AC1291">
        <v>13</v>
      </c>
      <c r="AD1291">
        <v>3</v>
      </c>
      <c r="AE1291">
        <v>3</v>
      </c>
      <c r="AF1291">
        <v>11</v>
      </c>
      <c r="AG1291">
        <v>10</v>
      </c>
      <c r="AH1291">
        <v>3</v>
      </c>
      <c r="AI1291">
        <v>8</v>
      </c>
      <c r="AJ1291">
        <f t="shared" si="200"/>
        <v>0</v>
      </c>
      <c r="AK1291">
        <f t="shared" si="201"/>
        <v>0</v>
      </c>
      <c r="AL1291">
        <f t="shared" si="202"/>
        <v>1</v>
      </c>
      <c r="AM1291">
        <f t="shared" si="203"/>
        <v>2.5</v>
      </c>
      <c r="AN1291">
        <f t="shared" si="204"/>
        <v>2592</v>
      </c>
      <c r="AO1291">
        <f t="shared" si="205"/>
        <v>0.7857142857142857</v>
      </c>
      <c r="AP1291" t="str">
        <f t="shared" si="206"/>
        <v>30-39</v>
      </c>
      <c r="AQ1291" t="str">
        <f t="shared" si="207"/>
        <v>Low</v>
      </c>
      <c r="AR1291" t="str">
        <f t="shared" si="208"/>
        <v>Short</v>
      </c>
      <c r="AS1291">
        <f t="shared" si="209"/>
        <v>0</v>
      </c>
    </row>
    <row r="1292" spans="1:4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s="20">
        <v>5346</v>
      </c>
      <c r="T1292">
        <v>6208</v>
      </c>
      <c r="U1292">
        <v>4</v>
      </c>
      <c r="V1292" t="s">
        <v>42</v>
      </c>
      <c r="W1292" t="s">
        <v>43</v>
      </c>
      <c r="X1292" s="19">
        <v>17</v>
      </c>
      <c r="Y1292">
        <v>3</v>
      </c>
      <c r="Z1292">
        <v>3</v>
      </c>
      <c r="AA1292">
        <v>80</v>
      </c>
      <c r="AB1292">
        <v>1</v>
      </c>
      <c r="AC1292">
        <v>11</v>
      </c>
      <c r="AD1292">
        <v>3</v>
      </c>
      <c r="AE1292">
        <v>2</v>
      </c>
      <c r="AF1292">
        <v>7</v>
      </c>
      <c r="AG1292">
        <v>1</v>
      </c>
      <c r="AH1292">
        <v>0</v>
      </c>
      <c r="AI1292">
        <v>7</v>
      </c>
      <c r="AJ1292">
        <f t="shared" si="200"/>
        <v>1</v>
      </c>
      <c r="AK1292">
        <f t="shared" si="201"/>
        <v>0</v>
      </c>
      <c r="AL1292">
        <f t="shared" si="202"/>
        <v>1</v>
      </c>
      <c r="AM1292">
        <f t="shared" si="203"/>
        <v>2.5</v>
      </c>
      <c r="AN1292">
        <f t="shared" si="204"/>
        <v>8019</v>
      </c>
      <c r="AO1292">
        <f t="shared" si="205"/>
        <v>0.58333333333333337</v>
      </c>
      <c r="AP1292" t="str">
        <f t="shared" si="206"/>
        <v>30-39</v>
      </c>
      <c r="AQ1292" t="str">
        <f t="shared" si="207"/>
        <v>High</v>
      </c>
      <c r="AR1292" t="str">
        <f t="shared" si="208"/>
        <v>Medium</v>
      </c>
      <c r="AS1292">
        <f t="shared" si="209"/>
        <v>1</v>
      </c>
    </row>
    <row r="1293" spans="1:4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s="20">
        <v>4213</v>
      </c>
      <c r="T1293">
        <v>4992</v>
      </c>
      <c r="U1293">
        <v>1</v>
      </c>
      <c r="V1293" t="s">
        <v>42</v>
      </c>
      <c r="W1293" t="s">
        <v>43</v>
      </c>
      <c r="X1293" s="19">
        <v>15</v>
      </c>
      <c r="Y1293">
        <v>3</v>
      </c>
      <c r="Z1293">
        <v>2</v>
      </c>
      <c r="AA1293">
        <v>80</v>
      </c>
      <c r="AB1293">
        <v>0</v>
      </c>
      <c r="AC1293">
        <v>10</v>
      </c>
      <c r="AD1293">
        <v>4</v>
      </c>
      <c r="AE1293">
        <v>1</v>
      </c>
      <c r="AF1293">
        <v>10</v>
      </c>
      <c r="AG1293">
        <v>3</v>
      </c>
      <c r="AH1293">
        <v>0</v>
      </c>
      <c r="AI1293">
        <v>8</v>
      </c>
      <c r="AJ1293">
        <f t="shared" si="200"/>
        <v>1</v>
      </c>
      <c r="AK1293">
        <f t="shared" si="201"/>
        <v>0</v>
      </c>
      <c r="AL1293">
        <f t="shared" si="202"/>
        <v>1</v>
      </c>
      <c r="AM1293">
        <f t="shared" si="203"/>
        <v>2</v>
      </c>
      <c r="AN1293">
        <f t="shared" si="204"/>
        <v>4596</v>
      </c>
      <c r="AO1293">
        <f t="shared" si="205"/>
        <v>0.90909090909090906</v>
      </c>
      <c r="AP1293" t="str">
        <f t="shared" si="206"/>
        <v>30-39</v>
      </c>
      <c r="AQ1293" t="str">
        <f t="shared" si="207"/>
        <v>Medium</v>
      </c>
      <c r="AR1293" t="str">
        <f t="shared" si="208"/>
        <v>Medium</v>
      </c>
      <c r="AS1293">
        <f t="shared" si="209"/>
        <v>0</v>
      </c>
    </row>
    <row r="1294" spans="1:4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s="20">
        <v>4127</v>
      </c>
      <c r="T1294">
        <v>19188</v>
      </c>
      <c r="U1294">
        <v>2</v>
      </c>
      <c r="V1294" t="s">
        <v>42</v>
      </c>
      <c r="W1294" t="s">
        <v>43</v>
      </c>
      <c r="X1294" s="19">
        <v>18</v>
      </c>
      <c r="Y1294">
        <v>3</v>
      </c>
      <c r="Z1294">
        <v>4</v>
      </c>
      <c r="AA1294">
        <v>80</v>
      </c>
      <c r="AB1294">
        <v>1</v>
      </c>
      <c r="AC1294">
        <v>7</v>
      </c>
      <c r="AD1294">
        <v>6</v>
      </c>
      <c r="AE1294">
        <v>3</v>
      </c>
      <c r="AF1294">
        <v>2</v>
      </c>
      <c r="AG1294">
        <v>1</v>
      </c>
      <c r="AH1294">
        <v>2</v>
      </c>
      <c r="AI1294">
        <v>2</v>
      </c>
      <c r="AJ1294">
        <f t="shared" si="200"/>
        <v>0</v>
      </c>
      <c r="AK1294">
        <f t="shared" si="201"/>
        <v>0</v>
      </c>
      <c r="AL1294">
        <f t="shared" si="202"/>
        <v>1</v>
      </c>
      <c r="AM1294">
        <f t="shared" si="203"/>
        <v>3.5</v>
      </c>
      <c r="AN1294">
        <f t="shared" si="204"/>
        <v>16508</v>
      </c>
      <c r="AO1294">
        <f t="shared" si="205"/>
        <v>0.25</v>
      </c>
      <c r="AP1294" t="str">
        <f t="shared" si="206"/>
        <v>30-39</v>
      </c>
      <c r="AQ1294" t="str">
        <f t="shared" si="207"/>
        <v>Medium</v>
      </c>
      <c r="AR1294" t="str">
        <f t="shared" si="208"/>
        <v>Long</v>
      </c>
      <c r="AS1294">
        <f t="shared" si="209"/>
        <v>1</v>
      </c>
    </row>
    <row r="1295" spans="1:4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s="20">
        <v>2438</v>
      </c>
      <c r="T1295">
        <v>24978</v>
      </c>
      <c r="U1295">
        <v>4</v>
      </c>
      <c r="V1295" t="s">
        <v>42</v>
      </c>
      <c r="W1295" t="s">
        <v>43</v>
      </c>
      <c r="X1295" s="19">
        <v>13</v>
      </c>
      <c r="Y1295">
        <v>3</v>
      </c>
      <c r="Z1295">
        <v>3</v>
      </c>
      <c r="AA1295">
        <v>80</v>
      </c>
      <c r="AB1295">
        <v>0</v>
      </c>
      <c r="AC1295">
        <v>7</v>
      </c>
      <c r="AD1295">
        <v>2</v>
      </c>
      <c r="AE1295">
        <v>2</v>
      </c>
      <c r="AF1295">
        <v>3</v>
      </c>
      <c r="AG1295">
        <v>2</v>
      </c>
      <c r="AH1295">
        <v>1</v>
      </c>
      <c r="AI1295">
        <v>2</v>
      </c>
      <c r="AJ1295">
        <f t="shared" si="200"/>
        <v>0</v>
      </c>
      <c r="AK1295">
        <f t="shared" si="201"/>
        <v>0</v>
      </c>
      <c r="AL1295">
        <f t="shared" si="202"/>
        <v>1</v>
      </c>
      <c r="AM1295">
        <f t="shared" si="203"/>
        <v>2.25</v>
      </c>
      <c r="AN1295">
        <f t="shared" si="204"/>
        <v>7314</v>
      </c>
      <c r="AO1295">
        <f t="shared" si="205"/>
        <v>0.375</v>
      </c>
      <c r="AP1295" t="str">
        <f t="shared" si="206"/>
        <v>40-49</v>
      </c>
      <c r="AQ1295" t="str">
        <f t="shared" si="207"/>
        <v>Low</v>
      </c>
      <c r="AR1295" t="str">
        <f t="shared" si="208"/>
        <v>Medium</v>
      </c>
      <c r="AS1295">
        <f t="shared" si="209"/>
        <v>0</v>
      </c>
    </row>
    <row r="1296" spans="1:4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s="20">
        <v>6870</v>
      </c>
      <c r="T1296">
        <v>15530</v>
      </c>
      <c r="U1296">
        <v>3</v>
      </c>
      <c r="V1296" t="s">
        <v>42</v>
      </c>
      <c r="W1296" t="s">
        <v>43</v>
      </c>
      <c r="X1296" s="19">
        <v>12</v>
      </c>
      <c r="Y1296">
        <v>3</v>
      </c>
      <c r="Z1296">
        <v>1</v>
      </c>
      <c r="AA1296">
        <v>80</v>
      </c>
      <c r="AB1296">
        <v>0</v>
      </c>
      <c r="AC1296">
        <v>11</v>
      </c>
      <c r="AD1296">
        <v>3</v>
      </c>
      <c r="AE1296">
        <v>1</v>
      </c>
      <c r="AF1296">
        <v>3</v>
      </c>
      <c r="AG1296">
        <v>2</v>
      </c>
      <c r="AH1296">
        <v>1</v>
      </c>
      <c r="AI1296">
        <v>2</v>
      </c>
      <c r="AJ1296">
        <f t="shared" si="200"/>
        <v>0</v>
      </c>
      <c r="AK1296">
        <f t="shared" si="201"/>
        <v>0</v>
      </c>
      <c r="AL1296">
        <f t="shared" si="202"/>
        <v>1</v>
      </c>
      <c r="AM1296">
        <f t="shared" si="203"/>
        <v>1.5</v>
      </c>
      <c r="AN1296">
        <f t="shared" si="204"/>
        <v>20610</v>
      </c>
      <c r="AO1296">
        <f t="shared" si="205"/>
        <v>0.25</v>
      </c>
      <c r="AP1296" t="str">
        <f t="shared" si="206"/>
        <v>40-49</v>
      </c>
      <c r="AQ1296" t="str">
        <f t="shared" si="207"/>
        <v>High</v>
      </c>
      <c r="AR1296" t="str">
        <f t="shared" si="208"/>
        <v>Short</v>
      </c>
      <c r="AS1296">
        <f t="shared" si="209"/>
        <v>0</v>
      </c>
    </row>
    <row r="1297" spans="1:4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s="20">
        <v>10447</v>
      </c>
      <c r="T1297">
        <v>26458</v>
      </c>
      <c r="U1297">
        <v>0</v>
      </c>
      <c r="V1297" t="s">
        <v>42</v>
      </c>
      <c r="W1297" t="s">
        <v>35</v>
      </c>
      <c r="X1297" s="19">
        <v>13</v>
      </c>
      <c r="Y1297">
        <v>3</v>
      </c>
      <c r="Z1297">
        <v>4</v>
      </c>
      <c r="AA1297">
        <v>80</v>
      </c>
      <c r="AB1297">
        <v>1</v>
      </c>
      <c r="AC1297">
        <v>23</v>
      </c>
      <c r="AD1297">
        <v>3</v>
      </c>
      <c r="AE1297">
        <v>4</v>
      </c>
      <c r="AF1297">
        <v>22</v>
      </c>
      <c r="AG1297">
        <v>14</v>
      </c>
      <c r="AH1297">
        <v>13</v>
      </c>
      <c r="AI1297">
        <v>5</v>
      </c>
      <c r="AJ1297">
        <f t="shared" si="200"/>
        <v>0</v>
      </c>
      <c r="AK1297">
        <f t="shared" si="201"/>
        <v>1</v>
      </c>
      <c r="AL1297">
        <f t="shared" si="202"/>
        <v>0</v>
      </c>
      <c r="AM1297">
        <f t="shared" si="203"/>
        <v>3.5</v>
      </c>
      <c r="AN1297">
        <f t="shared" si="204"/>
        <v>5450.608695652174</v>
      </c>
      <c r="AO1297">
        <f t="shared" si="205"/>
        <v>0.91666666666666663</v>
      </c>
      <c r="AP1297" t="str">
        <f t="shared" si="206"/>
        <v>40-49</v>
      </c>
      <c r="AQ1297" t="str">
        <f t="shared" si="207"/>
        <v>Very High</v>
      </c>
      <c r="AR1297" t="str">
        <f t="shared" si="208"/>
        <v>Short</v>
      </c>
      <c r="AS1297">
        <f t="shared" si="209"/>
        <v>0</v>
      </c>
    </row>
    <row r="1298" spans="1:4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s="20">
        <v>9667</v>
      </c>
      <c r="T1298">
        <v>2739</v>
      </c>
      <c r="U1298">
        <v>9</v>
      </c>
      <c r="V1298" t="s">
        <v>42</v>
      </c>
      <c r="W1298" t="s">
        <v>43</v>
      </c>
      <c r="X1298" s="19">
        <v>14</v>
      </c>
      <c r="Y1298">
        <v>3</v>
      </c>
      <c r="Z1298">
        <v>2</v>
      </c>
      <c r="AA1298">
        <v>80</v>
      </c>
      <c r="AB1298">
        <v>0</v>
      </c>
      <c r="AC1298">
        <v>9</v>
      </c>
      <c r="AD1298">
        <v>3</v>
      </c>
      <c r="AE1298">
        <v>3</v>
      </c>
      <c r="AF1298">
        <v>7</v>
      </c>
      <c r="AG1298">
        <v>7</v>
      </c>
      <c r="AH1298">
        <v>0</v>
      </c>
      <c r="AI1298">
        <v>2</v>
      </c>
      <c r="AJ1298">
        <f t="shared" si="200"/>
        <v>0</v>
      </c>
      <c r="AK1298">
        <f t="shared" si="201"/>
        <v>0</v>
      </c>
      <c r="AL1298">
        <f t="shared" si="202"/>
        <v>0</v>
      </c>
      <c r="AM1298">
        <f t="shared" si="203"/>
        <v>2.25</v>
      </c>
      <c r="AN1298">
        <f t="shared" si="204"/>
        <v>14500.5</v>
      </c>
      <c r="AO1298">
        <f t="shared" si="205"/>
        <v>0.7</v>
      </c>
      <c r="AP1298" t="str">
        <f t="shared" si="206"/>
        <v>30-39</v>
      </c>
      <c r="AQ1298" t="str">
        <f t="shared" si="207"/>
        <v>Very High</v>
      </c>
      <c r="AR1298" t="str">
        <f t="shared" si="208"/>
        <v>Medium</v>
      </c>
      <c r="AS1298">
        <f t="shared" si="209"/>
        <v>0</v>
      </c>
    </row>
    <row r="1299" spans="1:4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s="20">
        <v>2148</v>
      </c>
      <c r="T1299">
        <v>6889</v>
      </c>
      <c r="U1299">
        <v>0</v>
      </c>
      <c r="V1299" t="s">
        <v>42</v>
      </c>
      <c r="W1299" t="s">
        <v>35</v>
      </c>
      <c r="X1299" s="19">
        <v>11</v>
      </c>
      <c r="Y1299">
        <v>3</v>
      </c>
      <c r="Z1299">
        <v>3</v>
      </c>
      <c r="AA1299">
        <v>80</v>
      </c>
      <c r="AB1299">
        <v>0</v>
      </c>
      <c r="AC1299">
        <v>6</v>
      </c>
      <c r="AD1299">
        <v>3</v>
      </c>
      <c r="AE1299">
        <v>3</v>
      </c>
      <c r="AF1299">
        <v>5</v>
      </c>
      <c r="AG1299">
        <v>1</v>
      </c>
      <c r="AH1299">
        <v>1</v>
      </c>
      <c r="AI1299">
        <v>4</v>
      </c>
      <c r="AJ1299">
        <f t="shared" si="200"/>
        <v>1</v>
      </c>
      <c r="AK1299">
        <f t="shared" si="201"/>
        <v>1</v>
      </c>
      <c r="AL1299">
        <f t="shared" si="202"/>
        <v>0</v>
      </c>
      <c r="AM1299">
        <f t="shared" si="203"/>
        <v>3</v>
      </c>
      <c r="AN1299">
        <f t="shared" si="204"/>
        <v>4296</v>
      </c>
      <c r="AO1299">
        <f t="shared" si="205"/>
        <v>0.7142857142857143</v>
      </c>
      <c r="AP1299" t="str">
        <f t="shared" si="206"/>
        <v>Under 30</v>
      </c>
      <c r="AQ1299" t="str">
        <f t="shared" si="207"/>
        <v>Low</v>
      </c>
      <c r="AR1299" t="str">
        <f t="shared" si="208"/>
        <v>Long</v>
      </c>
      <c r="AS1299">
        <f t="shared" si="209"/>
        <v>0</v>
      </c>
    </row>
    <row r="1300" spans="1:4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s="20">
        <v>8926</v>
      </c>
      <c r="T1300">
        <v>10842</v>
      </c>
      <c r="U1300">
        <v>4</v>
      </c>
      <c r="V1300" t="s">
        <v>42</v>
      </c>
      <c r="W1300" t="s">
        <v>43</v>
      </c>
      <c r="X1300" s="19">
        <v>22</v>
      </c>
      <c r="Y1300">
        <v>4</v>
      </c>
      <c r="Z1300">
        <v>4</v>
      </c>
      <c r="AA1300">
        <v>80</v>
      </c>
      <c r="AB1300">
        <v>1</v>
      </c>
      <c r="AC1300">
        <v>13</v>
      </c>
      <c r="AD1300">
        <v>2</v>
      </c>
      <c r="AE1300">
        <v>4</v>
      </c>
      <c r="AF1300">
        <v>9</v>
      </c>
      <c r="AG1300">
        <v>7</v>
      </c>
      <c r="AH1300">
        <v>3</v>
      </c>
      <c r="AI1300">
        <v>7</v>
      </c>
      <c r="AJ1300">
        <f t="shared" si="200"/>
        <v>1</v>
      </c>
      <c r="AK1300">
        <f t="shared" si="201"/>
        <v>0</v>
      </c>
      <c r="AL1300">
        <f t="shared" si="202"/>
        <v>0</v>
      </c>
      <c r="AM1300">
        <f t="shared" si="203"/>
        <v>3.5</v>
      </c>
      <c r="AN1300">
        <f t="shared" si="204"/>
        <v>10711.2</v>
      </c>
      <c r="AO1300">
        <f t="shared" si="205"/>
        <v>0.6428571428571429</v>
      </c>
      <c r="AP1300" t="str">
        <f t="shared" si="206"/>
        <v>40-49</v>
      </c>
      <c r="AQ1300" t="str">
        <f t="shared" si="207"/>
        <v>Very High</v>
      </c>
      <c r="AR1300" t="str">
        <f t="shared" si="208"/>
        <v>Long</v>
      </c>
      <c r="AS1300">
        <f t="shared" si="209"/>
        <v>0</v>
      </c>
    </row>
    <row r="1301" spans="1:4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s="20">
        <v>6513</v>
      </c>
      <c r="T1301">
        <v>9060</v>
      </c>
      <c r="U1301">
        <v>4</v>
      </c>
      <c r="V1301" t="s">
        <v>42</v>
      </c>
      <c r="W1301" t="s">
        <v>43</v>
      </c>
      <c r="X1301" s="19">
        <v>17</v>
      </c>
      <c r="Y1301">
        <v>3</v>
      </c>
      <c r="Z1301">
        <v>4</v>
      </c>
      <c r="AA1301">
        <v>80</v>
      </c>
      <c r="AB1301">
        <v>1</v>
      </c>
      <c r="AC1301">
        <v>12</v>
      </c>
      <c r="AD1301">
        <v>3</v>
      </c>
      <c r="AE1301">
        <v>3</v>
      </c>
      <c r="AF1301">
        <v>5</v>
      </c>
      <c r="AG1301">
        <v>3</v>
      </c>
      <c r="AH1301">
        <v>0</v>
      </c>
      <c r="AI1301">
        <v>3</v>
      </c>
      <c r="AJ1301">
        <f t="shared" si="200"/>
        <v>0</v>
      </c>
      <c r="AK1301">
        <f t="shared" si="201"/>
        <v>0</v>
      </c>
      <c r="AL1301">
        <f t="shared" si="202"/>
        <v>0</v>
      </c>
      <c r="AM1301">
        <f t="shared" si="203"/>
        <v>3.5</v>
      </c>
      <c r="AN1301">
        <f t="shared" si="204"/>
        <v>13026</v>
      </c>
      <c r="AO1301">
        <f t="shared" si="205"/>
        <v>0.38461538461538464</v>
      </c>
      <c r="AP1301" t="str">
        <f t="shared" si="206"/>
        <v>40-49</v>
      </c>
      <c r="AQ1301" t="str">
        <f t="shared" si="207"/>
        <v>High</v>
      </c>
      <c r="AR1301" t="str">
        <f t="shared" si="208"/>
        <v>Short</v>
      </c>
      <c r="AS1301">
        <f t="shared" si="209"/>
        <v>0</v>
      </c>
    </row>
    <row r="1302" spans="1:4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s="20">
        <v>6799</v>
      </c>
      <c r="T1302">
        <v>22128</v>
      </c>
      <c r="U1302">
        <v>1</v>
      </c>
      <c r="V1302" t="s">
        <v>42</v>
      </c>
      <c r="W1302" t="s">
        <v>43</v>
      </c>
      <c r="X1302" s="19">
        <v>21</v>
      </c>
      <c r="Y1302">
        <v>4</v>
      </c>
      <c r="Z1302">
        <v>3</v>
      </c>
      <c r="AA1302">
        <v>80</v>
      </c>
      <c r="AB1302">
        <v>2</v>
      </c>
      <c r="AC1302">
        <v>10</v>
      </c>
      <c r="AD1302">
        <v>5</v>
      </c>
      <c r="AE1302">
        <v>3</v>
      </c>
      <c r="AF1302">
        <v>10</v>
      </c>
      <c r="AG1302">
        <v>8</v>
      </c>
      <c r="AH1302">
        <v>4</v>
      </c>
      <c r="AI1302">
        <v>8</v>
      </c>
      <c r="AJ1302">
        <f t="shared" si="200"/>
        <v>0</v>
      </c>
      <c r="AK1302">
        <f t="shared" si="201"/>
        <v>0</v>
      </c>
      <c r="AL1302">
        <f t="shared" si="202"/>
        <v>1</v>
      </c>
      <c r="AM1302">
        <f t="shared" si="203"/>
        <v>2.75</v>
      </c>
      <c r="AN1302">
        <f t="shared" si="204"/>
        <v>7417.090909090909</v>
      </c>
      <c r="AO1302">
        <f t="shared" si="205"/>
        <v>0.90909090909090906</v>
      </c>
      <c r="AP1302" t="str">
        <f t="shared" si="206"/>
        <v>30-39</v>
      </c>
      <c r="AQ1302" t="str">
        <f t="shared" si="207"/>
        <v>High</v>
      </c>
      <c r="AR1302" t="str">
        <f t="shared" si="208"/>
        <v>Medium</v>
      </c>
      <c r="AS1302">
        <f t="shared" si="209"/>
        <v>0</v>
      </c>
    </row>
    <row r="1303" spans="1:4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s="20">
        <v>16291</v>
      </c>
      <c r="T1303">
        <v>22577</v>
      </c>
      <c r="U1303">
        <v>4</v>
      </c>
      <c r="V1303" t="s">
        <v>42</v>
      </c>
      <c r="W1303" t="s">
        <v>43</v>
      </c>
      <c r="X1303" s="19">
        <v>22</v>
      </c>
      <c r="Y1303">
        <v>4</v>
      </c>
      <c r="Z1303">
        <v>4</v>
      </c>
      <c r="AA1303">
        <v>80</v>
      </c>
      <c r="AB1303">
        <v>1</v>
      </c>
      <c r="AC1303">
        <v>37</v>
      </c>
      <c r="AD1303">
        <v>0</v>
      </c>
      <c r="AE1303">
        <v>2</v>
      </c>
      <c r="AF1303">
        <v>16</v>
      </c>
      <c r="AG1303">
        <v>9</v>
      </c>
      <c r="AH1303">
        <v>14</v>
      </c>
      <c r="AI1303">
        <v>14</v>
      </c>
      <c r="AJ1303">
        <f t="shared" si="200"/>
        <v>0</v>
      </c>
      <c r="AK1303">
        <f t="shared" si="201"/>
        <v>0</v>
      </c>
      <c r="AL1303">
        <f t="shared" si="202"/>
        <v>1</v>
      </c>
      <c r="AM1303">
        <f t="shared" si="203"/>
        <v>2.5</v>
      </c>
      <c r="AN1303">
        <f t="shared" si="204"/>
        <v>11499.529411764706</v>
      </c>
      <c r="AO1303">
        <f t="shared" si="205"/>
        <v>0.42105263157894735</v>
      </c>
      <c r="AP1303" t="str">
        <f t="shared" si="206"/>
        <v>50+</v>
      </c>
      <c r="AQ1303" t="str">
        <f t="shared" si="207"/>
        <v>Very High</v>
      </c>
      <c r="AR1303" t="str">
        <f t="shared" si="208"/>
        <v>Short</v>
      </c>
      <c r="AS1303">
        <f t="shared" si="209"/>
        <v>0</v>
      </c>
    </row>
    <row r="1304" spans="1:4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s="20">
        <v>2705</v>
      </c>
      <c r="T1304">
        <v>9696</v>
      </c>
      <c r="U1304">
        <v>0</v>
      </c>
      <c r="V1304" t="s">
        <v>42</v>
      </c>
      <c r="W1304" t="s">
        <v>43</v>
      </c>
      <c r="X1304" s="19">
        <v>16</v>
      </c>
      <c r="Y1304">
        <v>3</v>
      </c>
      <c r="Z1304">
        <v>2</v>
      </c>
      <c r="AA1304">
        <v>80</v>
      </c>
      <c r="AB1304">
        <v>1</v>
      </c>
      <c r="AC1304">
        <v>6</v>
      </c>
      <c r="AD1304">
        <v>2</v>
      </c>
      <c r="AE1304">
        <v>4</v>
      </c>
      <c r="AF1304">
        <v>5</v>
      </c>
      <c r="AG1304">
        <v>4</v>
      </c>
      <c r="AH1304">
        <v>0</v>
      </c>
      <c r="AI1304">
        <v>3</v>
      </c>
      <c r="AJ1304">
        <f t="shared" si="200"/>
        <v>0</v>
      </c>
      <c r="AK1304">
        <f t="shared" si="201"/>
        <v>0</v>
      </c>
      <c r="AL1304">
        <f t="shared" si="202"/>
        <v>1</v>
      </c>
      <c r="AM1304">
        <f t="shared" si="203"/>
        <v>2.75</v>
      </c>
      <c r="AN1304">
        <f t="shared" si="204"/>
        <v>5410</v>
      </c>
      <c r="AO1304">
        <f t="shared" si="205"/>
        <v>0.7142857142857143</v>
      </c>
      <c r="AP1304" t="str">
        <f t="shared" si="206"/>
        <v>30-39</v>
      </c>
      <c r="AQ1304" t="str">
        <f t="shared" si="207"/>
        <v>Low</v>
      </c>
      <c r="AR1304" t="str">
        <f t="shared" si="208"/>
        <v>Long</v>
      </c>
      <c r="AS1304">
        <f t="shared" si="209"/>
        <v>0</v>
      </c>
    </row>
    <row r="1305" spans="1:4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s="20">
        <v>10333</v>
      </c>
      <c r="T1305">
        <v>19271</v>
      </c>
      <c r="U1305">
        <v>8</v>
      </c>
      <c r="V1305" t="s">
        <v>42</v>
      </c>
      <c r="W1305" t="s">
        <v>35</v>
      </c>
      <c r="X1305" s="19">
        <v>12</v>
      </c>
      <c r="Y1305">
        <v>3</v>
      </c>
      <c r="Z1305">
        <v>3</v>
      </c>
      <c r="AA1305">
        <v>80</v>
      </c>
      <c r="AB1305">
        <v>1</v>
      </c>
      <c r="AC1305">
        <v>28</v>
      </c>
      <c r="AD1305">
        <v>4</v>
      </c>
      <c r="AE1305">
        <v>3</v>
      </c>
      <c r="AF1305">
        <v>22</v>
      </c>
      <c r="AG1305">
        <v>11</v>
      </c>
      <c r="AH1305">
        <v>14</v>
      </c>
      <c r="AI1305">
        <v>10</v>
      </c>
      <c r="AJ1305">
        <f t="shared" si="200"/>
        <v>0</v>
      </c>
      <c r="AK1305">
        <f t="shared" si="201"/>
        <v>1</v>
      </c>
      <c r="AL1305">
        <f t="shared" si="202"/>
        <v>0</v>
      </c>
      <c r="AM1305">
        <f t="shared" si="203"/>
        <v>2.75</v>
      </c>
      <c r="AN1305">
        <f t="shared" si="204"/>
        <v>5391.130434782609</v>
      </c>
      <c r="AO1305">
        <f t="shared" si="205"/>
        <v>0.75862068965517238</v>
      </c>
      <c r="AP1305" t="str">
        <f t="shared" si="206"/>
        <v>40-49</v>
      </c>
      <c r="AQ1305" t="str">
        <f t="shared" si="207"/>
        <v>Very High</v>
      </c>
      <c r="AR1305" t="str">
        <f t="shared" si="208"/>
        <v>Short</v>
      </c>
      <c r="AS1305">
        <f t="shared" si="209"/>
        <v>0</v>
      </c>
    </row>
    <row r="1306" spans="1:4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s="20">
        <v>4448</v>
      </c>
      <c r="T1306">
        <v>10748</v>
      </c>
      <c r="U1306">
        <v>2</v>
      </c>
      <c r="V1306" t="s">
        <v>42</v>
      </c>
      <c r="W1306" t="s">
        <v>43</v>
      </c>
      <c r="X1306" s="19">
        <v>12</v>
      </c>
      <c r="Y1306">
        <v>3</v>
      </c>
      <c r="Z1306">
        <v>2</v>
      </c>
      <c r="AA1306">
        <v>80</v>
      </c>
      <c r="AB1306">
        <v>1</v>
      </c>
      <c r="AC1306">
        <v>15</v>
      </c>
      <c r="AD1306">
        <v>3</v>
      </c>
      <c r="AE1306">
        <v>3</v>
      </c>
      <c r="AF1306">
        <v>7</v>
      </c>
      <c r="AG1306">
        <v>4</v>
      </c>
      <c r="AH1306">
        <v>7</v>
      </c>
      <c r="AI1306">
        <v>7</v>
      </c>
      <c r="AJ1306">
        <f t="shared" si="200"/>
        <v>0</v>
      </c>
      <c r="AK1306">
        <f t="shared" si="201"/>
        <v>0</v>
      </c>
      <c r="AL1306">
        <f t="shared" si="202"/>
        <v>0</v>
      </c>
      <c r="AM1306">
        <f t="shared" si="203"/>
        <v>2</v>
      </c>
      <c r="AN1306">
        <f t="shared" si="204"/>
        <v>6672</v>
      </c>
      <c r="AO1306">
        <f t="shared" si="205"/>
        <v>0.4375</v>
      </c>
      <c r="AP1306" t="str">
        <f t="shared" si="206"/>
        <v>40-49</v>
      </c>
      <c r="AQ1306" t="str">
        <f t="shared" si="207"/>
        <v>Medium</v>
      </c>
      <c r="AR1306" t="str">
        <f t="shared" si="208"/>
        <v>Medium</v>
      </c>
      <c r="AS1306">
        <f t="shared" si="209"/>
        <v>0</v>
      </c>
    </row>
    <row r="1307" spans="1:4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s="20">
        <v>6854</v>
      </c>
      <c r="T1307">
        <v>15696</v>
      </c>
      <c r="U1307">
        <v>4</v>
      </c>
      <c r="V1307" t="s">
        <v>42</v>
      </c>
      <c r="W1307" t="s">
        <v>43</v>
      </c>
      <c r="X1307" s="19">
        <v>15</v>
      </c>
      <c r="Y1307">
        <v>3</v>
      </c>
      <c r="Z1307">
        <v>2</v>
      </c>
      <c r="AA1307">
        <v>80</v>
      </c>
      <c r="AB1307">
        <v>1</v>
      </c>
      <c r="AC1307">
        <v>14</v>
      </c>
      <c r="AD1307">
        <v>2</v>
      </c>
      <c r="AE1307">
        <v>2</v>
      </c>
      <c r="AF1307">
        <v>7</v>
      </c>
      <c r="AG1307">
        <v>1</v>
      </c>
      <c r="AH1307">
        <v>1</v>
      </c>
      <c r="AI1307">
        <v>7</v>
      </c>
      <c r="AJ1307">
        <f t="shared" si="200"/>
        <v>0</v>
      </c>
      <c r="AK1307">
        <f t="shared" si="201"/>
        <v>0</v>
      </c>
      <c r="AL1307">
        <f t="shared" si="202"/>
        <v>0</v>
      </c>
      <c r="AM1307">
        <f t="shared" si="203"/>
        <v>3</v>
      </c>
      <c r="AN1307">
        <f t="shared" si="204"/>
        <v>10281</v>
      </c>
      <c r="AO1307">
        <f t="shared" si="205"/>
        <v>0.46666666666666667</v>
      </c>
      <c r="AP1307" t="str">
        <f t="shared" si="206"/>
        <v>50+</v>
      </c>
      <c r="AQ1307" t="str">
        <f t="shared" si="207"/>
        <v>High</v>
      </c>
      <c r="AR1307" t="str">
        <f t="shared" si="208"/>
        <v>Medium</v>
      </c>
      <c r="AS1307">
        <f t="shared" si="209"/>
        <v>0</v>
      </c>
    </row>
    <row r="1308" spans="1:4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s="20">
        <v>9637</v>
      </c>
      <c r="T1308">
        <v>8277</v>
      </c>
      <c r="U1308">
        <v>2</v>
      </c>
      <c r="V1308" t="s">
        <v>42</v>
      </c>
      <c r="W1308" t="s">
        <v>43</v>
      </c>
      <c r="X1308" s="19">
        <v>14</v>
      </c>
      <c r="Y1308">
        <v>3</v>
      </c>
      <c r="Z1308">
        <v>4</v>
      </c>
      <c r="AA1308">
        <v>80</v>
      </c>
      <c r="AB1308">
        <v>2</v>
      </c>
      <c r="AC1308">
        <v>9</v>
      </c>
      <c r="AD1308">
        <v>3</v>
      </c>
      <c r="AE1308">
        <v>3</v>
      </c>
      <c r="AF1308">
        <v>3</v>
      </c>
      <c r="AG1308">
        <v>2</v>
      </c>
      <c r="AH1308">
        <v>2</v>
      </c>
      <c r="AI1308">
        <v>2</v>
      </c>
      <c r="AJ1308">
        <f t="shared" si="200"/>
        <v>0</v>
      </c>
      <c r="AK1308">
        <f t="shared" si="201"/>
        <v>0</v>
      </c>
      <c r="AL1308">
        <f t="shared" si="202"/>
        <v>0</v>
      </c>
      <c r="AM1308">
        <f t="shared" si="203"/>
        <v>2.25</v>
      </c>
      <c r="AN1308">
        <f t="shared" si="204"/>
        <v>28911</v>
      </c>
      <c r="AO1308">
        <f t="shared" si="205"/>
        <v>0.3</v>
      </c>
      <c r="AP1308" t="str">
        <f t="shared" si="206"/>
        <v>30-39</v>
      </c>
      <c r="AQ1308" t="str">
        <f t="shared" si="207"/>
        <v>Very High</v>
      </c>
      <c r="AR1308" t="str">
        <f t="shared" si="208"/>
        <v>Medium</v>
      </c>
      <c r="AS1308">
        <f t="shared" si="209"/>
        <v>1</v>
      </c>
    </row>
    <row r="1309" spans="1:4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s="20">
        <v>3591</v>
      </c>
      <c r="T1309">
        <v>12719</v>
      </c>
      <c r="U1309">
        <v>1</v>
      </c>
      <c r="V1309" t="s">
        <v>42</v>
      </c>
      <c r="W1309" t="s">
        <v>43</v>
      </c>
      <c r="X1309" s="19">
        <v>25</v>
      </c>
      <c r="Y1309">
        <v>4</v>
      </c>
      <c r="Z1309">
        <v>3</v>
      </c>
      <c r="AA1309">
        <v>80</v>
      </c>
      <c r="AB1309">
        <v>1</v>
      </c>
      <c r="AC1309">
        <v>3</v>
      </c>
      <c r="AD1309">
        <v>3</v>
      </c>
      <c r="AE1309">
        <v>3</v>
      </c>
      <c r="AF1309">
        <v>3</v>
      </c>
      <c r="AG1309">
        <v>2</v>
      </c>
      <c r="AH1309">
        <v>1</v>
      </c>
      <c r="AI1309">
        <v>2</v>
      </c>
      <c r="AJ1309">
        <f t="shared" si="200"/>
        <v>0</v>
      </c>
      <c r="AK1309">
        <f t="shared" si="201"/>
        <v>0</v>
      </c>
      <c r="AL1309">
        <f t="shared" si="202"/>
        <v>0</v>
      </c>
      <c r="AM1309">
        <f t="shared" si="203"/>
        <v>2.5</v>
      </c>
      <c r="AN1309">
        <f t="shared" si="204"/>
        <v>10773</v>
      </c>
      <c r="AO1309">
        <f t="shared" si="205"/>
        <v>0.75</v>
      </c>
      <c r="AP1309" t="str">
        <f t="shared" si="206"/>
        <v>Under 30</v>
      </c>
      <c r="AQ1309" t="str">
        <f t="shared" si="207"/>
        <v>Medium</v>
      </c>
      <c r="AR1309" t="str">
        <f t="shared" si="208"/>
        <v>Short</v>
      </c>
      <c r="AS1309">
        <f t="shared" si="209"/>
        <v>0</v>
      </c>
    </row>
    <row r="1310" spans="1:4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s="20">
        <v>5405</v>
      </c>
      <c r="T1310">
        <v>4244</v>
      </c>
      <c r="U1310">
        <v>2</v>
      </c>
      <c r="V1310" t="s">
        <v>42</v>
      </c>
      <c r="W1310" t="s">
        <v>35</v>
      </c>
      <c r="X1310" s="19">
        <v>20</v>
      </c>
      <c r="Y1310">
        <v>4</v>
      </c>
      <c r="Z1310">
        <v>1</v>
      </c>
      <c r="AA1310">
        <v>80</v>
      </c>
      <c r="AB1310">
        <v>2</v>
      </c>
      <c r="AC1310">
        <v>20</v>
      </c>
      <c r="AD1310">
        <v>4</v>
      </c>
      <c r="AE1310">
        <v>2</v>
      </c>
      <c r="AF1310">
        <v>4</v>
      </c>
      <c r="AG1310">
        <v>2</v>
      </c>
      <c r="AH1310">
        <v>0</v>
      </c>
      <c r="AI1310">
        <v>3</v>
      </c>
      <c r="AJ1310">
        <f t="shared" si="200"/>
        <v>0</v>
      </c>
      <c r="AK1310">
        <f t="shared" si="201"/>
        <v>1</v>
      </c>
      <c r="AL1310">
        <f t="shared" si="202"/>
        <v>0</v>
      </c>
      <c r="AM1310">
        <f t="shared" si="203"/>
        <v>2.25</v>
      </c>
      <c r="AN1310">
        <f t="shared" si="204"/>
        <v>12972</v>
      </c>
      <c r="AO1310">
        <f t="shared" si="205"/>
        <v>0.19047619047619047</v>
      </c>
      <c r="AP1310" t="str">
        <f t="shared" si="206"/>
        <v>30-39</v>
      </c>
      <c r="AQ1310" t="str">
        <f t="shared" si="207"/>
        <v>High</v>
      </c>
      <c r="AR1310" t="str">
        <f t="shared" si="208"/>
        <v>Short</v>
      </c>
      <c r="AS1310">
        <f t="shared" si="209"/>
        <v>0</v>
      </c>
    </row>
    <row r="1311" spans="1:4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s="20">
        <v>4684</v>
      </c>
      <c r="T1311">
        <v>9125</v>
      </c>
      <c r="U1311">
        <v>1</v>
      </c>
      <c r="V1311" t="s">
        <v>42</v>
      </c>
      <c r="W1311" t="s">
        <v>43</v>
      </c>
      <c r="X1311" s="19">
        <v>13</v>
      </c>
      <c r="Y1311">
        <v>3</v>
      </c>
      <c r="Z1311">
        <v>1</v>
      </c>
      <c r="AA1311">
        <v>80</v>
      </c>
      <c r="AB1311">
        <v>0</v>
      </c>
      <c r="AC1311">
        <v>5</v>
      </c>
      <c r="AD1311">
        <v>4</v>
      </c>
      <c r="AE1311">
        <v>3</v>
      </c>
      <c r="AF1311">
        <v>5</v>
      </c>
      <c r="AG1311">
        <v>3</v>
      </c>
      <c r="AH1311">
        <v>1</v>
      </c>
      <c r="AI1311">
        <v>2</v>
      </c>
      <c r="AJ1311">
        <f t="shared" si="200"/>
        <v>0</v>
      </c>
      <c r="AK1311">
        <f t="shared" si="201"/>
        <v>0</v>
      </c>
      <c r="AL1311">
        <f t="shared" si="202"/>
        <v>1</v>
      </c>
      <c r="AM1311">
        <f t="shared" si="203"/>
        <v>2.75</v>
      </c>
      <c r="AN1311">
        <f t="shared" si="204"/>
        <v>9368</v>
      </c>
      <c r="AO1311">
        <f t="shared" si="205"/>
        <v>0.83333333333333337</v>
      </c>
      <c r="AP1311" t="str">
        <f t="shared" si="206"/>
        <v>Under 30</v>
      </c>
      <c r="AQ1311" t="str">
        <f t="shared" si="207"/>
        <v>Medium</v>
      </c>
      <c r="AR1311" t="str">
        <f t="shared" si="208"/>
        <v>Medium</v>
      </c>
      <c r="AS1311">
        <f t="shared" si="209"/>
        <v>0</v>
      </c>
    </row>
    <row r="1312" spans="1:4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s="20">
        <v>15787</v>
      </c>
      <c r="T1312">
        <v>21624</v>
      </c>
      <c r="U1312">
        <v>2</v>
      </c>
      <c r="V1312" t="s">
        <v>42</v>
      </c>
      <c r="W1312" t="s">
        <v>35</v>
      </c>
      <c r="X1312" s="19">
        <v>14</v>
      </c>
      <c r="Y1312">
        <v>3</v>
      </c>
      <c r="Z1312">
        <v>2</v>
      </c>
      <c r="AA1312">
        <v>80</v>
      </c>
      <c r="AB1312">
        <v>0</v>
      </c>
      <c r="AC1312">
        <v>23</v>
      </c>
      <c r="AD1312">
        <v>3</v>
      </c>
      <c r="AE1312">
        <v>3</v>
      </c>
      <c r="AF1312">
        <v>2</v>
      </c>
      <c r="AG1312">
        <v>2</v>
      </c>
      <c r="AH1312">
        <v>2</v>
      </c>
      <c r="AI1312">
        <v>2</v>
      </c>
      <c r="AJ1312">
        <f t="shared" si="200"/>
        <v>0</v>
      </c>
      <c r="AK1312">
        <f t="shared" si="201"/>
        <v>1</v>
      </c>
      <c r="AL1312">
        <f t="shared" si="202"/>
        <v>1</v>
      </c>
      <c r="AM1312">
        <f t="shared" si="203"/>
        <v>2.25</v>
      </c>
      <c r="AN1312">
        <f t="shared" si="204"/>
        <v>63148</v>
      </c>
      <c r="AO1312">
        <f t="shared" si="205"/>
        <v>8.3333333333333329E-2</v>
      </c>
      <c r="AP1312" t="str">
        <f t="shared" si="206"/>
        <v>50+</v>
      </c>
      <c r="AQ1312" t="str">
        <f t="shared" si="207"/>
        <v>Very High</v>
      </c>
      <c r="AR1312" t="str">
        <f t="shared" si="208"/>
        <v>Medium</v>
      </c>
      <c r="AS1312">
        <f t="shared" si="209"/>
        <v>1</v>
      </c>
    </row>
    <row r="1313" spans="1:4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s="20">
        <v>1514</v>
      </c>
      <c r="T1313">
        <v>8018</v>
      </c>
      <c r="U1313">
        <v>1</v>
      </c>
      <c r="V1313" t="s">
        <v>42</v>
      </c>
      <c r="W1313" t="s">
        <v>43</v>
      </c>
      <c r="X1313" s="19">
        <v>16</v>
      </c>
      <c r="Y1313">
        <v>3</v>
      </c>
      <c r="Z1313">
        <v>3</v>
      </c>
      <c r="AA1313">
        <v>80</v>
      </c>
      <c r="AB1313">
        <v>0</v>
      </c>
      <c r="AC1313">
        <v>0</v>
      </c>
      <c r="AD1313">
        <v>4</v>
      </c>
      <c r="AE1313">
        <v>1</v>
      </c>
      <c r="AF1313">
        <v>0</v>
      </c>
      <c r="AG1313">
        <v>0</v>
      </c>
      <c r="AH1313">
        <v>0</v>
      </c>
      <c r="AI1313">
        <v>0</v>
      </c>
      <c r="AJ1313">
        <f t="shared" si="200"/>
        <v>0</v>
      </c>
      <c r="AK1313">
        <f t="shared" si="201"/>
        <v>0</v>
      </c>
      <c r="AL1313">
        <f t="shared" si="202"/>
        <v>0</v>
      </c>
      <c r="AM1313">
        <f t="shared" si="203"/>
        <v>2.25</v>
      </c>
      <c r="AN1313">
        <f t="shared" si="204"/>
        <v>18168</v>
      </c>
      <c r="AO1313">
        <f t="shared" si="205"/>
        <v>0</v>
      </c>
      <c r="AP1313" t="str">
        <f t="shared" si="206"/>
        <v>Under 30</v>
      </c>
      <c r="AQ1313" t="str">
        <f t="shared" si="207"/>
        <v>Low</v>
      </c>
      <c r="AR1313" t="str">
        <f t="shared" si="208"/>
        <v>Medium</v>
      </c>
      <c r="AS1313">
        <f t="shared" si="209"/>
        <v>0</v>
      </c>
    </row>
    <row r="1314" spans="1:4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s="20">
        <v>2956</v>
      </c>
      <c r="T1314">
        <v>21495</v>
      </c>
      <c r="U1314">
        <v>0</v>
      </c>
      <c r="V1314" t="s">
        <v>42</v>
      </c>
      <c r="W1314" t="s">
        <v>43</v>
      </c>
      <c r="X1314" s="19">
        <v>17</v>
      </c>
      <c r="Y1314">
        <v>3</v>
      </c>
      <c r="Z1314">
        <v>3</v>
      </c>
      <c r="AA1314">
        <v>80</v>
      </c>
      <c r="AB1314">
        <v>0</v>
      </c>
      <c r="AC1314">
        <v>2</v>
      </c>
      <c r="AD1314">
        <v>4</v>
      </c>
      <c r="AE1314">
        <v>3</v>
      </c>
      <c r="AF1314">
        <v>1</v>
      </c>
      <c r="AG1314">
        <v>0</v>
      </c>
      <c r="AH1314">
        <v>0</v>
      </c>
      <c r="AI1314">
        <v>0</v>
      </c>
      <c r="AJ1314">
        <f t="shared" si="200"/>
        <v>1</v>
      </c>
      <c r="AK1314">
        <f t="shared" si="201"/>
        <v>0</v>
      </c>
      <c r="AL1314">
        <f t="shared" si="202"/>
        <v>1</v>
      </c>
      <c r="AM1314">
        <f t="shared" si="203"/>
        <v>2.75</v>
      </c>
      <c r="AN1314">
        <f t="shared" si="204"/>
        <v>17736</v>
      </c>
      <c r="AO1314">
        <f t="shared" si="205"/>
        <v>0.33333333333333331</v>
      </c>
      <c r="AP1314" t="str">
        <f t="shared" si="206"/>
        <v>30-39</v>
      </c>
      <c r="AQ1314" t="str">
        <f t="shared" si="207"/>
        <v>Medium</v>
      </c>
      <c r="AR1314" t="str">
        <f t="shared" si="208"/>
        <v>Long</v>
      </c>
      <c r="AS1314">
        <f t="shared" si="209"/>
        <v>0</v>
      </c>
    </row>
    <row r="1315" spans="1:4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s="20">
        <v>2335</v>
      </c>
      <c r="T1315">
        <v>3157</v>
      </c>
      <c r="U1315">
        <v>4</v>
      </c>
      <c r="V1315" t="s">
        <v>42</v>
      </c>
      <c r="W1315" t="s">
        <v>35</v>
      </c>
      <c r="X1315" s="19">
        <v>15</v>
      </c>
      <c r="Y1315">
        <v>3</v>
      </c>
      <c r="Z1315">
        <v>4</v>
      </c>
      <c r="AA1315">
        <v>80</v>
      </c>
      <c r="AB1315">
        <v>3</v>
      </c>
      <c r="AC1315">
        <v>4</v>
      </c>
      <c r="AD1315">
        <v>3</v>
      </c>
      <c r="AE1315">
        <v>3</v>
      </c>
      <c r="AF1315">
        <v>2</v>
      </c>
      <c r="AG1315">
        <v>2</v>
      </c>
      <c r="AH1315">
        <v>2</v>
      </c>
      <c r="AI1315">
        <v>0</v>
      </c>
      <c r="AJ1315">
        <f t="shared" si="200"/>
        <v>1</v>
      </c>
      <c r="AK1315">
        <f t="shared" si="201"/>
        <v>1</v>
      </c>
      <c r="AL1315">
        <f t="shared" si="202"/>
        <v>1</v>
      </c>
      <c r="AM1315">
        <f t="shared" si="203"/>
        <v>2.25</v>
      </c>
      <c r="AN1315">
        <f t="shared" si="204"/>
        <v>9340</v>
      </c>
      <c r="AO1315">
        <f t="shared" si="205"/>
        <v>0.4</v>
      </c>
      <c r="AP1315" t="str">
        <f t="shared" si="206"/>
        <v>Under 30</v>
      </c>
      <c r="AQ1315" t="str">
        <f t="shared" si="207"/>
        <v>Low</v>
      </c>
      <c r="AR1315" t="str">
        <f t="shared" si="208"/>
        <v>Medium</v>
      </c>
      <c r="AS1315">
        <f t="shared" si="209"/>
        <v>0</v>
      </c>
    </row>
    <row r="1316" spans="1:4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s="20">
        <v>5154</v>
      </c>
      <c r="T1316">
        <v>19665</v>
      </c>
      <c r="U1316">
        <v>4</v>
      </c>
      <c r="V1316" t="s">
        <v>42</v>
      </c>
      <c r="W1316" t="s">
        <v>43</v>
      </c>
      <c r="X1316" s="19">
        <v>22</v>
      </c>
      <c r="Y1316">
        <v>4</v>
      </c>
      <c r="Z1316">
        <v>2</v>
      </c>
      <c r="AA1316">
        <v>80</v>
      </c>
      <c r="AB1316">
        <v>2</v>
      </c>
      <c r="AC1316">
        <v>10</v>
      </c>
      <c r="AD1316">
        <v>3</v>
      </c>
      <c r="AE1316">
        <v>4</v>
      </c>
      <c r="AF1316">
        <v>8</v>
      </c>
      <c r="AG1316">
        <v>7</v>
      </c>
      <c r="AH1316">
        <v>5</v>
      </c>
      <c r="AI1316">
        <v>7</v>
      </c>
      <c r="AJ1316">
        <f t="shared" si="200"/>
        <v>0</v>
      </c>
      <c r="AK1316">
        <f t="shared" si="201"/>
        <v>0</v>
      </c>
      <c r="AL1316">
        <f t="shared" si="202"/>
        <v>0</v>
      </c>
      <c r="AM1316">
        <f t="shared" si="203"/>
        <v>3</v>
      </c>
      <c r="AN1316">
        <f t="shared" si="204"/>
        <v>6872</v>
      </c>
      <c r="AO1316">
        <f t="shared" si="205"/>
        <v>0.72727272727272729</v>
      </c>
      <c r="AP1316" t="str">
        <f t="shared" si="206"/>
        <v>40-49</v>
      </c>
      <c r="AQ1316" t="str">
        <f t="shared" si="207"/>
        <v>High</v>
      </c>
      <c r="AR1316" t="str">
        <f t="shared" si="208"/>
        <v>Short</v>
      </c>
      <c r="AS1316">
        <f t="shared" si="209"/>
        <v>0</v>
      </c>
    </row>
    <row r="1317" spans="1:4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s="20">
        <v>6962</v>
      </c>
      <c r="T1317">
        <v>19573</v>
      </c>
      <c r="U1317">
        <v>4</v>
      </c>
      <c r="V1317" t="s">
        <v>42</v>
      </c>
      <c r="W1317" t="s">
        <v>35</v>
      </c>
      <c r="X1317" s="19">
        <v>22</v>
      </c>
      <c r="Y1317">
        <v>4</v>
      </c>
      <c r="Z1317">
        <v>4</v>
      </c>
      <c r="AA1317">
        <v>80</v>
      </c>
      <c r="AB1317">
        <v>1</v>
      </c>
      <c r="AC1317">
        <v>15</v>
      </c>
      <c r="AD1317">
        <v>2</v>
      </c>
      <c r="AE1317">
        <v>3</v>
      </c>
      <c r="AF1317">
        <v>1</v>
      </c>
      <c r="AG1317">
        <v>0</v>
      </c>
      <c r="AH1317">
        <v>0</v>
      </c>
      <c r="AI1317">
        <v>0</v>
      </c>
      <c r="AJ1317">
        <f t="shared" si="200"/>
        <v>0</v>
      </c>
      <c r="AK1317">
        <f t="shared" si="201"/>
        <v>1</v>
      </c>
      <c r="AL1317">
        <f t="shared" si="202"/>
        <v>0</v>
      </c>
      <c r="AM1317">
        <f t="shared" si="203"/>
        <v>3.25</v>
      </c>
      <c r="AN1317">
        <f t="shared" si="204"/>
        <v>41772</v>
      </c>
      <c r="AO1317">
        <f t="shared" si="205"/>
        <v>6.25E-2</v>
      </c>
      <c r="AP1317" t="str">
        <f t="shared" si="206"/>
        <v>30-39</v>
      </c>
      <c r="AQ1317" t="str">
        <f t="shared" si="207"/>
        <v>High</v>
      </c>
      <c r="AR1317" t="str">
        <f t="shared" si="208"/>
        <v>Short</v>
      </c>
      <c r="AS1317">
        <f t="shared" si="209"/>
        <v>0</v>
      </c>
    </row>
    <row r="1318" spans="1:4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s="20">
        <v>5675</v>
      </c>
      <c r="T1318">
        <v>19246</v>
      </c>
      <c r="U1318">
        <v>1</v>
      </c>
      <c r="V1318" t="s">
        <v>42</v>
      </c>
      <c r="W1318" t="s">
        <v>43</v>
      </c>
      <c r="X1318" s="19">
        <v>20</v>
      </c>
      <c r="Y1318">
        <v>4</v>
      </c>
      <c r="Z1318">
        <v>3</v>
      </c>
      <c r="AA1318">
        <v>80</v>
      </c>
      <c r="AB1318">
        <v>1</v>
      </c>
      <c r="AC1318">
        <v>7</v>
      </c>
      <c r="AD1318">
        <v>5</v>
      </c>
      <c r="AE1318">
        <v>3</v>
      </c>
      <c r="AF1318">
        <v>7</v>
      </c>
      <c r="AG1318">
        <v>7</v>
      </c>
      <c r="AH1318">
        <v>7</v>
      </c>
      <c r="AI1318">
        <v>7</v>
      </c>
      <c r="AJ1318">
        <f t="shared" si="200"/>
        <v>0</v>
      </c>
      <c r="AK1318">
        <f t="shared" si="201"/>
        <v>0</v>
      </c>
      <c r="AL1318">
        <f t="shared" si="202"/>
        <v>1</v>
      </c>
      <c r="AM1318">
        <f t="shared" si="203"/>
        <v>2.75</v>
      </c>
      <c r="AN1318">
        <f t="shared" si="204"/>
        <v>8512.5</v>
      </c>
      <c r="AO1318">
        <f t="shared" si="205"/>
        <v>0.875</v>
      </c>
      <c r="AP1318" t="str">
        <f t="shared" si="206"/>
        <v>40-49</v>
      </c>
      <c r="AQ1318" t="str">
        <f t="shared" si="207"/>
        <v>High</v>
      </c>
      <c r="AR1318" t="str">
        <f t="shared" si="208"/>
        <v>Short</v>
      </c>
      <c r="AS1318">
        <f t="shared" si="209"/>
        <v>1</v>
      </c>
    </row>
    <row r="1319" spans="1:4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s="20">
        <v>2379</v>
      </c>
      <c r="T1319">
        <v>19826</v>
      </c>
      <c r="U1319">
        <v>0</v>
      </c>
      <c r="V1319" t="s">
        <v>42</v>
      </c>
      <c r="W1319" t="s">
        <v>35</v>
      </c>
      <c r="X1319" s="19">
        <v>14</v>
      </c>
      <c r="Y1319">
        <v>3</v>
      </c>
      <c r="Z1319">
        <v>3</v>
      </c>
      <c r="AA1319">
        <v>80</v>
      </c>
      <c r="AB1319">
        <v>0</v>
      </c>
      <c r="AC1319">
        <v>6</v>
      </c>
      <c r="AD1319">
        <v>3</v>
      </c>
      <c r="AE1319">
        <v>2</v>
      </c>
      <c r="AF1319">
        <v>5</v>
      </c>
      <c r="AG1319">
        <v>4</v>
      </c>
      <c r="AH1319">
        <v>0</v>
      </c>
      <c r="AI1319">
        <v>2</v>
      </c>
      <c r="AJ1319">
        <f t="shared" si="200"/>
        <v>0</v>
      </c>
      <c r="AK1319">
        <f t="shared" si="201"/>
        <v>1</v>
      </c>
      <c r="AL1319">
        <f t="shared" si="202"/>
        <v>0</v>
      </c>
      <c r="AM1319">
        <f t="shared" si="203"/>
        <v>3.25</v>
      </c>
      <c r="AN1319">
        <f t="shared" si="204"/>
        <v>4758</v>
      </c>
      <c r="AO1319">
        <f t="shared" si="205"/>
        <v>0.7142857142857143</v>
      </c>
      <c r="AP1319" t="str">
        <f t="shared" si="206"/>
        <v>Under 30</v>
      </c>
      <c r="AQ1319" t="str">
        <f t="shared" si="207"/>
        <v>Low</v>
      </c>
      <c r="AR1319" t="str">
        <f t="shared" si="208"/>
        <v>Short</v>
      </c>
      <c r="AS1319">
        <f t="shared" si="209"/>
        <v>1</v>
      </c>
    </row>
    <row r="1320" spans="1:4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s="20">
        <v>3812</v>
      </c>
      <c r="T1320">
        <v>7003</v>
      </c>
      <c r="U1320">
        <v>1</v>
      </c>
      <c r="V1320" t="s">
        <v>42</v>
      </c>
      <c r="W1320" t="s">
        <v>43</v>
      </c>
      <c r="X1320" s="19">
        <v>13</v>
      </c>
      <c r="Y1320">
        <v>3</v>
      </c>
      <c r="Z1320">
        <v>2</v>
      </c>
      <c r="AA1320">
        <v>80</v>
      </c>
      <c r="AB1320">
        <v>0</v>
      </c>
      <c r="AC1320">
        <v>11</v>
      </c>
      <c r="AD1320">
        <v>3</v>
      </c>
      <c r="AE1320">
        <v>4</v>
      </c>
      <c r="AF1320">
        <v>11</v>
      </c>
      <c r="AG1320">
        <v>8</v>
      </c>
      <c r="AH1320">
        <v>3</v>
      </c>
      <c r="AI1320">
        <v>10</v>
      </c>
      <c r="AJ1320">
        <f t="shared" si="200"/>
        <v>0</v>
      </c>
      <c r="AK1320">
        <f t="shared" si="201"/>
        <v>0</v>
      </c>
      <c r="AL1320">
        <f t="shared" si="202"/>
        <v>1</v>
      </c>
      <c r="AM1320">
        <f t="shared" si="203"/>
        <v>3.5</v>
      </c>
      <c r="AN1320">
        <f t="shared" si="204"/>
        <v>3812</v>
      </c>
      <c r="AO1320">
        <f t="shared" si="205"/>
        <v>0.91666666666666663</v>
      </c>
      <c r="AP1320" t="str">
        <f t="shared" si="206"/>
        <v>Under 30</v>
      </c>
      <c r="AQ1320" t="str">
        <f t="shared" si="207"/>
        <v>Medium</v>
      </c>
      <c r="AR1320" t="str">
        <f t="shared" si="208"/>
        <v>Long</v>
      </c>
      <c r="AS1320">
        <f t="shared" si="209"/>
        <v>1</v>
      </c>
    </row>
    <row r="1321" spans="1:4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s="20">
        <v>4648</v>
      </c>
      <c r="T1321">
        <v>26075</v>
      </c>
      <c r="U1321">
        <v>8</v>
      </c>
      <c r="V1321" t="s">
        <v>42</v>
      </c>
      <c r="W1321" t="s">
        <v>43</v>
      </c>
      <c r="X1321" s="19">
        <v>13</v>
      </c>
      <c r="Y1321">
        <v>3</v>
      </c>
      <c r="Z1321">
        <v>3</v>
      </c>
      <c r="AA1321">
        <v>80</v>
      </c>
      <c r="AB1321">
        <v>0</v>
      </c>
      <c r="AC1321">
        <v>4</v>
      </c>
      <c r="AD1321">
        <v>2</v>
      </c>
      <c r="AE1321">
        <v>4</v>
      </c>
      <c r="AF1321">
        <v>0</v>
      </c>
      <c r="AG1321">
        <v>0</v>
      </c>
      <c r="AH1321">
        <v>0</v>
      </c>
      <c r="AI1321">
        <v>0</v>
      </c>
      <c r="AJ1321">
        <f t="shared" si="200"/>
        <v>0</v>
      </c>
      <c r="AK1321">
        <f t="shared" si="201"/>
        <v>0</v>
      </c>
      <c r="AL1321">
        <f t="shared" si="202"/>
        <v>1</v>
      </c>
      <c r="AM1321">
        <f t="shared" si="203"/>
        <v>3.75</v>
      </c>
      <c r="AN1321">
        <f t="shared" si="204"/>
        <v>55776</v>
      </c>
      <c r="AO1321">
        <f t="shared" si="205"/>
        <v>0</v>
      </c>
      <c r="AP1321" t="str">
        <f t="shared" si="206"/>
        <v>30-39</v>
      </c>
      <c r="AQ1321" t="str">
        <f t="shared" si="207"/>
        <v>Medium</v>
      </c>
      <c r="AR1321" t="str">
        <f t="shared" si="208"/>
        <v>Medium</v>
      </c>
      <c r="AS1321">
        <f t="shared" si="209"/>
        <v>1</v>
      </c>
    </row>
    <row r="1322" spans="1:4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s="20">
        <v>2936</v>
      </c>
      <c r="T1322">
        <v>6161</v>
      </c>
      <c r="U1322">
        <v>3</v>
      </c>
      <c r="V1322" t="s">
        <v>42</v>
      </c>
      <c r="W1322" t="s">
        <v>43</v>
      </c>
      <c r="X1322" s="19">
        <v>22</v>
      </c>
      <c r="Y1322">
        <v>4</v>
      </c>
      <c r="Z1322">
        <v>2</v>
      </c>
      <c r="AA1322">
        <v>80</v>
      </c>
      <c r="AB1322">
        <v>2</v>
      </c>
      <c r="AC1322">
        <v>10</v>
      </c>
      <c r="AD1322">
        <v>1</v>
      </c>
      <c r="AE1322">
        <v>2</v>
      </c>
      <c r="AF1322">
        <v>6</v>
      </c>
      <c r="AG1322">
        <v>3</v>
      </c>
      <c r="AH1322">
        <v>3</v>
      </c>
      <c r="AI1322">
        <v>3</v>
      </c>
      <c r="AJ1322">
        <f t="shared" si="200"/>
        <v>0</v>
      </c>
      <c r="AK1322">
        <f t="shared" si="201"/>
        <v>0</v>
      </c>
      <c r="AL1322">
        <f t="shared" si="202"/>
        <v>1</v>
      </c>
      <c r="AM1322">
        <f t="shared" si="203"/>
        <v>2.5</v>
      </c>
      <c r="AN1322">
        <f t="shared" si="204"/>
        <v>5033.1428571428569</v>
      </c>
      <c r="AO1322">
        <f t="shared" si="205"/>
        <v>0.54545454545454541</v>
      </c>
      <c r="AP1322" t="str">
        <f t="shared" si="206"/>
        <v>40-49</v>
      </c>
      <c r="AQ1322" t="str">
        <f t="shared" si="207"/>
        <v>Medium</v>
      </c>
      <c r="AR1322" t="str">
        <f t="shared" si="208"/>
        <v>Medium</v>
      </c>
      <c r="AS1322">
        <f t="shared" si="209"/>
        <v>0</v>
      </c>
    </row>
    <row r="1323" spans="1:4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s="20">
        <v>2105</v>
      </c>
      <c r="T1323">
        <v>5411</v>
      </c>
      <c r="U1323">
        <v>4</v>
      </c>
      <c r="V1323" t="s">
        <v>42</v>
      </c>
      <c r="W1323" t="s">
        <v>43</v>
      </c>
      <c r="X1323" s="19">
        <v>12</v>
      </c>
      <c r="Y1323">
        <v>3</v>
      </c>
      <c r="Z1323">
        <v>3</v>
      </c>
      <c r="AA1323">
        <v>80</v>
      </c>
      <c r="AB1323">
        <v>0</v>
      </c>
      <c r="AC1323">
        <v>7</v>
      </c>
      <c r="AD1323">
        <v>2</v>
      </c>
      <c r="AE1323">
        <v>3</v>
      </c>
      <c r="AF1323">
        <v>2</v>
      </c>
      <c r="AG1323">
        <v>2</v>
      </c>
      <c r="AH1323">
        <v>2</v>
      </c>
      <c r="AI1323">
        <v>0</v>
      </c>
      <c r="AJ1323">
        <f t="shared" si="200"/>
        <v>0</v>
      </c>
      <c r="AK1323">
        <f t="shared" si="201"/>
        <v>0</v>
      </c>
      <c r="AL1323">
        <f t="shared" si="202"/>
        <v>0</v>
      </c>
      <c r="AM1323">
        <f t="shared" si="203"/>
        <v>2.75</v>
      </c>
      <c r="AN1323">
        <f t="shared" si="204"/>
        <v>8420</v>
      </c>
      <c r="AO1323">
        <f t="shared" si="205"/>
        <v>0.25</v>
      </c>
      <c r="AP1323" t="str">
        <f t="shared" si="206"/>
        <v>40-49</v>
      </c>
      <c r="AQ1323" t="str">
        <f t="shared" si="207"/>
        <v>Low</v>
      </c>
      <c r="AR1323" t="str">
        <f t="shared" si="208"/>
        <v>Medium</v>
      </c>
      <c r="AS1323">
        <f t="shared" si="209"/>
        <v>0</v>
      </c>
    </row>
    <row r="1324" spans="1:4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s="20">
        <v>8578</v>
      </c>
      <c r="T1324">
        <v>19989</v>
      </c>
      <c r="U1324">
        <v>3</v>
      </c>
      <c r="V1324" t="s">
        <v>42</v>
      </c>
      <c r="W1324" t="s">
        <v>43</v>
      </c>
      <c r="X1324" s="19">
        <v>14</v>
      </c>
      <c r="Y1324">
        <v>3</v>
      </c>
      <c r="Z1324">
        <v>3</v>
      </c>
      <c r="AA1324">
        <v>80</v>
      </c>
      <c r="AB1324">
        <v>1</v>
      </c>
      <c r="AC1324">
        <v>12</v>
      </c>
      <c r="AD1324">
        <v>4</v>
      </c>
      <c r="AE1324">
        <v>2</v>
      </c>
      <c r="AF1324">
        <v>9</v>
      </c>
      <c r="AG1324">
        <v>8</v>
      </c>
      <c r="AH1324">
        <v>4</v>
      </c>
      <c r="AI1324">
        <v>7</v>
      </c>
      <c r="AJ1324">
        <f t="shared" si="200"/>
        <v>0</v>
      </c>
      <c r="AK1324">
        <f t="shared" si="201"/>
        <v>0</v>
      </c>
      <c r="AL1324">
        <f t="shared" si="202"/>
        <v>1</v>
      </c>
      <c r="AM1324">
        <f t="shared" si="203"/>
        <v>3.25</v>
      </c>
      <c r="AN1324">
        <f t="shared" si="204"/>
        <v>10293.6</v>
      </c>
      <c r="AO1324">
        <f t="shared" si="205"/>
        <v>0.69230769230769229</v>
      </c>
      <c r="AP1324" t="str">
        <f t="shared" si="206"/>
        <v>40-49</v>
      </c>
      <c r="AQ1324" t="str">
        <f t="shared" si="207"/>
        <v>Very High</v>
      </c>
      <c r="AR1324" t="str">
        <f t="shared" si="208"/>
        <v>Short</v>
      </c>
      <c r="AS1324">
        <f t="shared" si="209"/>
        <v>0</v>
      </c>
    </row>
    <row r="1325" spans="1:4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s="20">
        <v>2706</v>
      </c>
      <c r="T1325">
        <v>10494</v>
      </c>
      <c r="U1325">
        <v>1</v>
      </c>
      <c r="V1325" t="s">
        <v>42</v>
      </c>
      <c r="W1325" t="s">
        <v>43</v>
      </c>
      <c r="X1325" s="19">
        <v>15</v>
      </c>
      <c r="Y1325">
        <v>3</v>
      </c>
      <c r="Z1325">
        <v>2</v>
      </c>
      <c r="AA1325">
        <v>80</v>
      </c>
      <c r="AB1325">
        <v>1</v>
      </c>
      <c r="AC1325">
        <v>3</v>
      </c>
      <c r="AD1325">
        <v>2</v>
      </c>
      <c r="AE1325">
        <v>3</v>
      </c>
      <c r="AF1325">
        <v>3</v>
      </c>
      <c r="AG1325">
        <v>2</v>
      </c>
      <c r="AH1325">
        <v>2</v>
      </c>
      <c r="AI1325">
        <v>2</v>
      </c>
      <c r="AJ1325">
        <f t="shared" si="200"/>
        <v>0</v>
      </c>
      <c r="AK1325">
        <f t="shared" si="201"/>
        <v>0</v>
      </c>
      <c r="AL1325">
        <f t="shared" si="202"/>
        <v>1</v>
      </c>
      <c r="AM1325">
        <f t="shared" si="203"/>
        <v>3</v>
      </c>
      <c r="AN1325">
        <f t="shared" si="204"/>
        <v>8118</v>
      </c>
      <c r="AO1325">
        <f t="shared" si="205"/>
        <v>0.75</v>
      </c>
      <c r="AP1325" t="str">
        <f t="shared" si="206"/>
        <v>Under 30</v>
      </c>
      <c r="AQ1325" t="str">
        <f t="shared" si="207"/>
        <v>Low</v>
      </c>
      <c r="AR1325" t="str">
        <f t="shared" si="208"/>
        <v>Short</v>
      </c>
      <c r="AS1325">
        <f t="shared" si="209"/>
        <v>0</v>
      </c>
    </row>
    <row r="1326" spans="1:4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s="20">
        <v>6384</v>
      </c>
      <c r="T1326">
        <v>21143</v>
      </c>
      <c r="U1326">
        <v>8</v>
      </c>
      <c r="V1326" t="s">
        <v>42</v>
      </c>
      <c r="W1326" t="s">
        <v>43</v>
      </c>
      <c r="X1326" s="19">
        <v>17</v>
      </c>
      <c r="Y1326">
        <v>3</v>
      </c>
      <c r="Z1326">
        <v>4</v>
      </c>
      <c r="AA1326">
        <v>80</v>
      </c>
      <c r="AB1326">
        <v>2</v>
      </c>
      <c r="AC1326">
        <v>11</v>
      </c>
      <c r="AD1326">
        <v>3</v>
      </c>
      <c r="AE1326">
        <v>3</v>
      </c>
      <c r="AF1326">
        <v>7</v>
      </c>
      <c r="AG1326">
        <v>0</v>
      </c>
      <c r="AH1326">
        <v>1</v>
      </c>
      <c r="AI1326">
        <v>6</v>
      </c>
      <c r="AJ1326">
        <f t="shared" si="200"/>
        <v>0</v>
      </c>
      <c r="AK1326">
        <f t="shared" si="201"/>
        <v>0</v>
      </c>
      <c r="AL1326">
        <f t="shared" si="202"/>
        <v>1</v>
      </c>
      <c r="AM1326">
        <f t="shared" si="203"/>
        <v>3.5</v>
      </c>
      <c r="AN1326">
        <f t="shared" si="204"/>
        <v>9576</v>
      </c>
      <c r="AO1326">
        <f t="shared" si="205"/>
        <v>0.58333333333333337</v>
      </c>
      <c r="AP1326" t="str">
        <f t="shared" si="206"/>
        <v>Under 30</v>
      </c>
      <c r="AQ1326" t="str">
        <f t="shared" si="207"/>
        <v>High</v>
      </c>
      <c r="AR1326" t="str">
        <f t="shared" si="208"/>
        <v>Long</v>
      </c>
      <c r="AS1326">
        <f t="shared" si="209"/>
        <v>0</v>
      </c>
    </row>
    <row r="1327" spans="1:4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s="20">
        <v>3968</v>
      </c>
      <c r="T1327">
        <v>13624</v>
      </c>
      <c r="U1327">
        <v>4</v>
      </c>
      <c r="V1327" t="s">
        <v>42</v>
      </c>
      <c r="W1327" t="s">
        <v>43</v>
      </c>
      <c r="X1327" s="19">
        <v>13</v>
      </c>
      <c r="Y1327">
        <v>3</v>
      </c>
      <c r="Z1327">
        <v>4</v>
      </c>
      <c r="AA1327">
        <v>80</v>
      </c>
      <c r="AB1327">
        <v>0</v>
      </c>
      <c r="AC1327">
        <v>8</v>
      </c>
      <c r="AD1327">
        <v>3</v>
      </c>
      <c r="AE1327">
        <v>3</v>
      </c>
      <c r="AF1327">
        <v>0</v>
      </c>
      <c r="AG1327">
        <v>0</v>
      </c>
      <c r="AH1327">
        <v>0</v>
      </c>
      <c r="AI1327">
        <v>0</v>
      </c>
      <c r="AJ1327">
        <f t="shared" si="200"/>
        <v>0</v>
      </c>
      <c r="AK1327">
        <f t="shared" si="201"/>
        <v>0</v>
      </c>
      <c r="AL1327">
        <f t="shared" si="202"/>
        <v>1</v>
      </c>
      <c r="AM1327">
        <f t="shared" si="203"/>
        <v>3.5</v>
      </c>
      <c r="AN1327">
        <f t="shared" si="204"/>
        <v>47616</v>
      </c>
      <c r="AO1327">
        <f t="shared" si="205"/>
        <v>0</v>
      </c>
      <c r="AP1327" t="str">
        <f t="shared" si="206"/>
        <v>40-49</v>
      </c>
      <c r="AQ1327" t="str">
        <f t="shared" si="207"/>
        <v>Medium</v>
      </c>
      <c r="AR1327" t="str">
        <f t="shared" si="208"/>
        <v>Medium</v>
      </c>
      <c r="AS1327">
        <f t="shared" si="209"/>
        <v>0</v>
      </c>
    </row>
    <row r="1328" spans="1:4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s="20">
        <v>9907</v>
      </c>
      <c r="T1328">
        <v>26186</v>
      </c>
      <c r="U1328">
        <v>7</v>
      </c>
      <c r="V1328" t="s">
        <v>42</v>
      </c>
      <c r="W1328" t="s">
        <v>35</v>
      </c>
      <c r="X1328" s="19">
        <v>12</v>
      </c>
      <c r="Y1328">
        <v>3</v>
      </c>
      <c r="Z1328">
        <v>3</v>
      </c>
      <c r="AA1328">
        <v>80</v>
      </c>
      <c r="AB1328">
        <v>0</v>
      </c>
      <c r="AC1328">
        <v>7</v>
      </c>
      <c r="AD1328">
        <v>3</v>
      </c>
      <c r="AE1328">
        <v>2</v>
      </c>
      <c r="AF1328">
        <v>2</v>
      </c>
      <c r="AG1328">
        <v>2</v>
      </c>
      <c r="AH1328">
        <v>2</v>
      </c>
      <c r="AI1328">
        <v>2</v>
      </c>
      <c r="AJ1328">
        <f t="shared" si="200"/>
        <v>1</v>
      </c>
      <c r="AK1328">
        <f t="shared" si="201"/>
        <v>1</v>
      </c>
      <c r="AL1328">
        <f t="shared" si="202"/>
        <v>1</v>
      </c>
      <c r="AM1328">
        <f t="shared" si="203"/>
        <v>2.5</v>
      </c>
      <c r="AN1328">
        <f t="shared" si="204"/>
        <v>39628</v>
      </c>
      <c r="AO1328">
        <f t="shared" si="205"/>
        <v>0.25</v>
      </c>
      <c r="AP1328" t="str">
        <f t="shared" si="206"/>
        <v>30-39</v>
      </c>
      <c r="AQ1328" t="str">
        <f t="shared" si="207"/>
        <v>Very High</v>
      </c>
      <c r="AR1328" t="str">
        <f t="shared" si="208"/>
        <v>Short</v>
      </c>
      <c r="AS1328">
        <f t="shared" si="209"/>
        <v>0</v>
      </c>
    </row>
    <row r="1329" spans="1:4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s="20">
        <v>13225</v>
      </c>
      <c r="T1329">
        <v>7739</v>
      </c>
      <c r="U1329">
        <v>2</v>
      </c>
      <c r="V1329" t="s">
        <v>42</v>
      </c>
      <c r="W1329" t="s">
        <v>43</v>
      </c>
      <c r="X1329" s="19">
        <v>12</v>
      </c>
      <c r="Y1329">
        <v>3</v>
      </c>
      <c r="Z1329">
        <v>4</v>
      </c>
      <c r="AA1329">
        <v>80</v>
      </c>
      <c r="AB1329">
        <v>1</v>
      </c>
      <c r="AC1329">
        <v>25</v>
      </c>
      <c r="AD1329">
        <v>5</v>
      </c>
      <c r="AE1329">
        <v>3</v>
      </c>
      <c r="AF1329">
        <v>19</v>
      </c>
      <c r="AG1329">
        <v>17</v>
      </c>
      <c r="AH1329">
        <v>2</v>
      </c>
      <c r="AI1329">
        <v>8</v>
      </c>
      <c r="AJ1329">
        <f t="shared" si="200"/>
        <v>0</v>
      </c>
      <c r="AK1329">
        <f t="shared" si="201"/>
        <v>0</v>
      </c>
      <c r="AL1329">
        <f t="shared" si="202"/>
        <v>0</v>
      </c>
      <c r="AM1329">
        <f t="shared" si="203"/>
        <v>2.25</v>
      </c>
      <c r="AN1329">
        <f t="shared" si="204"/>
        <v>7935</v>
      </c>
      <c r="AO1329">
        <f t="shared" si="205"/>
        <v>0.73076923076923073</v>
      </c>
      <c r="AP1329" t="str">
        <f t="shared" si="206"/>
        <v>40-49</v>
      </c>
      <c r="AQ1329" t="str">
        <f t="shared" si="207"/>
        <v>Very High</v>
      </c>
      <c r="AR1329" t="str">
        <f t="shared" si="208"/>
        <v>Short</v>
      </c>
      <c r="AS1329">
        <f t="shared" si="209"/>
        <v>0</v>
      </c>
    </row>
    <row r="1330" spans="1:4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s="20">
        <v>3540</v>
      </c>
      <c r="T1330">
        <v>7018</v>
      </c>
      <c r="U1330">
        <v>1</v>
      </c>
      <c r="V1330" t="s">
        <v>42</v>
      </c>
      <c r="W1330" t="s">
        <v>43</v>
      </c>
      <c r="X1330" s="19">
        <v>21</v>
      </c>
      <c r="Y1330">
        <v>4</v>
      </c>
      <c r="Z1330">
        <v>4</v>
      </c>
      <c r="AA1330">
        <v>80</v>
      </c>
      <c r="AB1330">
        <v>1</v>
      </c>
      <c r="AC1330">
        <v>9</v>
      </c>
      <c r="AD1330">
        <v>5</v>
      </c>
      <c r="AE1330">
        <v>3</v>
      </c>
      <c r="AF1330">
        <v>9</v>
      </c>
      <c r="AG1330">
        <v>8</v>
      </c>
      <c r="AH1330">
        <v>5</v>
      </c>
      <c r="AI1330">
        <v>8</v>
      </c>
      <c r="AJ1330">
        <f t="shared" si="200"/>
        <v>0</v>
      </c>
      <c r="AK1330">
        <f t="shared" si="201"/>
        <v>0</v>
      </c>
      <c r="AL1330">
        <f t="shared" si="202"/>
        <v>0</v>
      </c>
      <c r="AM1330">
        <f t="shared" si="203"/>
        <v>3</v>
      </c>
      <c r="AN1330">
        <f t="shared" si="204"/>
        <v>4248</v>
      </c>
      <c r="AO1330">
        <f t="shared" si="205"/>
        <v>0.9</v>
      </c>
      <c r="AP1330" t="str">
        <f t="shared" si="206"/>
        <v>Under 30</v>
      </c>
      <c r="AQ1330" t="str">
        <f t="shared" si="207"/>
        <v>Medium</v>
      </c>
      <c r="AR1330" t="str">
        <f t="shared" si="208"/>
        <v>Long</v>
      </c>
      <c r="AS1330">
        <f t="shared" si="209"/>
        <v>0</v>
      </c>
    </row>
    <row r="1331" spans="1:4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s="20">
        <v>2804</v>
      </c>
      <c r="T1331">
        <v>15434</v>
      </c>
      <c r="U1331">
        <v>1</v>
      </c>
      <c r="V1331" t="s">
        <v>42</v>
      </c>
      <c r="W1331" t="s">
        <v>43</v>
      </c>
      <c r="X1331" s="19">
        <v>11</v>
      </c>
      <c r="Y1331">
        <v>3</v>
      </c>
      <c r="Z1331">
        <v>4</v>
      </c>
      <c r="AA1331">
        <v>80</v>
      </c>
      <c r="AB1331">
        <v>0</v>
      </c>
      <c r="AC1331">
        <v>1</v>
      </c>
      <c r="AD1331">
        <v>3</v>
      </c>
      <c r="AE1331">
        <v>3</v>
      </c>
      <c r="AF1331">
        <v>1</v>
      </c>
      <c r="AG1331">
        <v>0</v>
      </c>
      <c r="AH1331">
        <v>0</v>
      </c>
      <c r="AI1331">
        <v>0</v>
      </c>
      <c r="AJ1331">
        <f t="shared" si="200"/>
        <v>0</v>
      </c>
      <c r="AK1331">
        <f t="shared" si="201"/>
        <v>0</v>
      </c>
      <c r="AL1331">
        <f t="shared" si="202"/>
        <v>1</v>
      </c>
      <c r="AM1331">
        <f t="shared" si="203"/>
        <v>3.25</v>
      </c>
      <c r="AN1331">
        <f t="shared" si="204"/>
        <v>16824</v>
      </c>
      <c r="AO1331">
        <f t="shared" si="205"/>
        <v>0.5</v>
      </c>
      <c r="AP1331" t="str">
        <f t="shared" si="206"/>
        <v>Under 30</v>
      </c>
      <c r="AQ1331" t="str">
        <f t="shared" si="207"/>
        <v>Low</v>
      </c>
      <c r="AR1331" t="str">
        <f t="shared" si="208"/>
        <v>Medium</v>
      </c>
      <c r="AS1331">
        <f t="shared" si="209"/>
        <v>0</v>
      </c>
    </row>
    <row r="1332" spans="1:4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s="20">
        <v>19392</v>
      </c>
      <c r="T1332">
        <v>22539</v>
      </c>
      <c r="U1332">
        <v>7</v>
      </c>
      <c r="V1332" t="s">
        <v>42</v>
      </c>
      <c r="W1332" t="s">
        <v>43</v>
      </c>
      <c r="X1332" s="19">
        <v>13</v>
      </c>
      <c r="Y1332">
        <v>3</v>
      </c>
      <c r="Z1332">
        <v>4</v>
      </c>
      <c r="AA1332">
        <v>80</v>
      </c>
      <c r="AB1332">
        <v>0</v>
      </c>
      <c r="AC1332">
        <v>21</v>
      </c>
      <c r="AD1332">
        <v>2</v>
      </c>
      <c r="AE1332">
        <v>3</v>
      </c>
      <c r="AF1332">
        <v>16</v>
      </c>
      <c r="AG1332">
        <v>12</v>
      </c>
      <c r="AH1332">
        <v>6</v>
      </c>
      <c r="AI1332">
        <v>14</v>
      </c>
      <c r="AJ1332">
        <f t="shared" si="200"/>
        <v>0</v>
      </c>
      <c r="AK1332">
        <f t="shared" si="201"/>
        <v>0</v>
      </c>
      <c r="AL1332">
        <f t="shared" si="202"/>
        <v>0</v>
      </c>
      <c r="AM1332">
        <f t="shared" si="203"/>
        <v>2.75</v>
      </c>
      <c r="AN1332">
        <f t="shared" si="204"/>
        <v>13688.470588235294</v>
      </c>
      <c r="AO1332">
        <f t="shared" si="205"/>
        <v>0.72727272727272729</v>
      </c>
      <c r="AP1332" t="str">
        <f t="shared" si="206"/>
        <v>40-49</v>
      </c>
      <c r="AQ1332" t="str">
        <f t="shared" si="207"/>
        <v>Very High</v>
      </c>
      <c r="AR1332" t="str">
        <f t="shared" si="208"/>
        <v>Medium</v>
      </c>
      <c r="AS1332">
        <f t="shared" si="209"/>
        <v>0</v>
      </c>
    </row>
    <row r="1333" spans="1:4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s="20">
        <v>19665</v>
      </c>
      <c r="T1333">
        <v>13583</v>
      </c>
      <c r="U1333">
        <v>4</v>
      </c>
      <c r="V1333" t="s">
        <v>42</v>
      </c>
      <c r="W1333" t="s">
        <v>43</v>
      </c>
      <c r="X1333" s="19">
        <v>12</v>
      </c>
      <c r="Y1333">
        <v>3</v>
      </c>
      <c r="Z1333">
        <v>4</v>
      </c>
      <c r="AA1333">
        <v>80</v>
      </c>
      <c r="AB1333">
        <v>0</v>
      </c>
      <c r="AC1333">
        <v>29</v>
      </c>
      <c r="AD1333">
        <v>3</v>
      </c>
      <c r="AE1333">
        <v>3</v>
      </c>
      <c r="AF1333">
        <v>22</v>
      </c>
      <c r="AG1333">
        <v>10</v>
      </c>
      <c r="AH1333">
        <v>12</v>
      </c>
      <c r="AI1333">
        <v>9</v>
      </c>
      <c r="AJ1333">
        <f t="shared" si="200"/>
        <v>0</v>
      </c>
      <c r="AK1333">
        <f t="shared" si="201"/>
        <v>0</v>
      </c>
      <c r="AL1333">
        <f t="shared" si="202"/>
        <v>1</v>
      </c>
      <c r="AM1333">
        <f t="shared" si="203"/>
        <v>3.25</v>
      </c>
      <c r="AN1333">
        <f t="shared" si="204"/>
        <v>10260</v>
      </c>
      <c r="AO1333">
        <f t="shared" si="205"/>
        <v>0.73333333333333328</v>
      </c>
      <c r="AP1333" t="str">
        <f t="shared" si="206"/>
        <v>40-49</v>
      </c>
      <c r="AQ1333" t="str">
        <f t="shared" si="207"/>
        <v>Very High</v>
      </c>
      <c r="AR1333" t="str">
        <f t="shared" si="208"/>
        <v>Medium</v>
      </c>
      <c r="AS1333">
        <f t="shared" si="209"/>
        <v>0</v>
      </c>
    </row>
    <row r="1334" spans="1:4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s="20">
        <v>2439</v>
      </c>
      <c r="T1334">
        <v>14753</v>
      </c>
      <c r="U1334">
        <v>1</v>
      </c>
      <c r="V1334" t="s">
        <v>42</v>
      </c>
      <c r="W1334" t="s">
        <v>35</v>
      </c>
      <c r="X1334" s="19">
        <v>24</v>
      </c>
      <c r="Y1334">
        <v>4</v>
      </c>
      <c r="Z1334">
        <v>2</v>
      </c>
      <c r="AA1334">
        <v>80</v>
      </c>
      <c r="AB1334">
        <v>0</v>
      </c>
      <c r="AC1334">
        <v>1</v>
      </c>
      <c r="AD1334">
        <v>3</v>
      </c>
      <c r="AE1334">
        <v>2</v>
      </c>
      <c r="AF1334">
        <v>1</v>
      </c>
      <c r="AG1334">
        <v>0</v>
      </c>
      <c r="AH1334">
        <v>1</v>
      </c>
      <c r="AI1334">
        <v>0</v>
      </c>
      <c r="AJ1334">
        <f t="shared" si="200"/>
        <v>1</v>
      </c>
      <c r="AK1334">
        <f t="shared" si="201"/>
        <v>1</v>
      </c>
      <c r="AL1334">
        <f t="shared" si="202"/>
        <v>1</v>
      </c>
      <c r="AM1334">
        <f t="shared" si="203"/>
        <v>3</v>
      </c>
      <c r="AN1334">
        <f t="shared" si="204"/>
        <v>14634</v>
      </c>
      <c r="AO1334">
        <f t="shared" si="205"/>
        <v>0.5</v>
      </c>
      <c r="AP1334" t="str">
        <f t="shared" si="206"/>
        <v>Under 30</v>
      </c>
      <c r="AQ1334" t="str">
        <f t="shared" si="207"/>
        <v>Low</v>
      </c>
      <c r="AR1334" t="str">
        <f t="shared" si="208"/>
        <v>Long</v>
      </c>
      <c r="AS1334">
        <f t="shared" si="209"/>
        <v>1</v>
      </c>
    </row>
    <row r="1335" spans="1:4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s="20">
        <v>7314</v>
      </c>
      <c r="T1335">
        <v>14011</v>
      </c>
      <c r="U1335">
        <v>5</v>
      </c>
      <c r="V1335" t="s">
        <v>42</v>
      </c>
      <c r="W1335" t="s">
        <v>43</v>
      </c>
      <c r="X1335" s="19">
        <v>21</v>
      </c>
      <c r="Y1335">
        <v>4</v>
      </c>
      <c r="Z1335">
        <v>3</v>
      </c>
      <c r="AA1335">
        <v>80</v>
      </c>
      <c r="AB1335">
        <v>3</v>
      </c>
      <c r="AC1335">
        <v>14</v>
      </c>
      <c r="AD1335">
        <v>2</v>
      </c>
      <c r="AE1335">
        <v>3</v>
      </c>
      <c r="AF1335">
        <v>8</v>
      </c>
      <c r="AG1335">
        <v>7</v>
      </c>
      <c r="AH1335">
        <v>0</v>
      </c>
      <c r="AI1335">
        <v>7</v>
      </c>
      <c r="AJ1335">
        <f t="shared" si="200"/>
        <v>1</v>
      </c>
      <c r="AK1335">
        <f t="shared" si="201"/>
        <v>0</v>
      </c>
      <c r="AL1335">
        <f t="shared" si="202"/>
        <v>0</v>
      </c>
      <c r="AM1335">
        <f t="shared" si="203"/>
        <v>2.75</v>
      </c>
      <c r="AN1335">
        <f t="shared" si="204"/>
        <v>9752</v>
      </c>
      <c r="AO1335">
        <f t="shared" si="205"/>
        <v>0.53333333333333333</v>
      </c>
      <c r="AP1335" t="str">
        <f t="shared" si="206"/>
        <v>40-49</v>
      </c>
      <c r="AQ1335" t="str">
        <f t="shared" si="207"/>
        <v>High</v>
      </c>
      <c r="AR1335" t="str">
        <f t="shared" si="208"/>
        <v>Medium</v>
      </c>
      <c r="AS1335">
        <f t="shared" si="209"/>
        <v>0</v>
      </c>
    </row>
    <row r="1336" spans="1:4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s="20">
        <v>4774</v>
      </c>
      <c r="T1336">
        <v>23844</v>
      </c>
      <c r="U1336">
        <v>0</v>
      </c>
      <c r="V1336" t="s">
        <v>42</v>
      </c>
      <c r="W1336" t="s">
        <v>43</v>
      </c>
      <c r="X1336" s="19">
        <v>19</v>
      </c>
      <c r="Y1336">
        <v>3</v>
      </c>
      <c r="Z1336">
        <v>4</v>
      </c>
      <c r="AA1336">
        <v>80</v>
      </c>
      <c r="AB1336">
        <v>1</v>
      </c>
      <c r="AC1336">
        <v>8</v>
      </c>
      <c r="AD1336">
        <v>2</v>
      </c>
      <c r="AE1336">
        <v>2</v>
      </c>
      <c r="AF1336">
        <v>7</v>
      </c>
      <c r="AG1336">
        <v>6</v>
      </c>
      <c r="AH1336">
        <v>7</v>
      </c>
      <c r="AI1336">
        <v>3</v>
      </c>
      <c r="AJ1336">
        <f t="shared" si="200"/>
        <v>0</v>
      </c>
      <c r="AK1336">
        <f t="shared" si="201"/>
        <v>0</v>
      </c>
      <c r="AL1336">
        <f t="shared" si="202"/>
        <v>0</v>
      </c>
      <c r="AM1336">
        <f t="shared" si="203"/>
        <v>2.75</v>
      </c>
      <c r="AN1336">
        <f t="shared" si="204"/>
        <v>7161</v>
      </c>
      <c r="AO1336">
        <f t="shared" si="205"/>
        <v>0.77777777777777779</v>
      </c>
      <c r="AP1336" t="str">
        <f t="shared" si="206"/>
        <v>Under 30</v>
      </c>
      <c r="AQ1336" t="str">
        <f t="shared" si="207"/>
        <v>Medium</v>
      </c>
      <c r="AR1336" t="str">
        <f t="shared" si="208"/>
        <v>Medium</v>
      </c>
      <c r="AS1336">
        <f t="shared" si="209"/>
        <v>1</v>
      </c>
    </row>
    <row r="1337" spans="1:4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s="20">
        <v>3902</v>
      </c>
      <c r="T1337">
        <v>5141</v>
      </c>
      <c r="U1337">
        <v>8</v>
      </c>
      <c r="V1337" t="s">
        <v>42</v>
      </c>
      <c r="W1337" t="s">
        <v>43</v>
      </c>
      <c r="X1337" s="19">
        <v>14</v>
      </c>
      <c r="Y1337">
        <v>3</v>
      </c>
      <c r="Z1337">
        <v>2</v>
      </c>
      <c r="AA1337">
        <v>80</v>
      </c>
      <c r="AB1337">
        <v>3</v>
      </c>
      <c r="AC1337">
        <v>7</v>
      </c>
      <c r="AD1337">
        <v>2</v>
      </c>
      <c r="AE1337">
        <v>3</v>
      </c>
      <c r="AF1337">
        <v>2</v>
      </c>
      <c r="AG1337">
        <v>2</v>
      </c>
      <c r="AH1337">
        <v>2</v>
      </c>
      <c r="AI1337">
        <v>2</v>
      </c>
      <c r="AJ1337">
        <f t="shared" si="200"/>
        <v>0</v>
      </c>
      <c r="AK1337">
        <f t="shared" si="201"/>
        <v>0</v>
      </c>
      <c r="AL1337">
        <f t="shared" si="202"/>
        <v>1</v>
      </c>
      <c r="AM1337">
        <f t="shared" si="203"/>
        <v>3.25</v>
      </c>
      <c r="AN1337">
        <f t="shared" si="204"/>
        <v>15608</v>
      </c>
      <c r="AO1337">
        <f t="shared" si="205"/>
        <v>0.25</v>
      </c>
      <c r="AP1337" t="str">
        <f t="shared" si="206"/>
        <v>30-39</v>
      </c>
      <c r="AQ1337" t="str">
        <f t="shared" si="207"/>
        <v>Medium</v>
      </c>
      <c r="AR1337" t="str">
        <f t="shared" si="208"/>
        <v>Long</v>
      </c>
      <c r="AS1337">
        <f t="shared" si="209"/>
        <v>0</v>
      </c>
    </row>
    <row r="1338" spans="1:4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s="20">
        <v>2662</v>
      </c>
      <c r="T1338">
        <v>7975</v>
      </c>
      <c r="U1338">
        <v>8</v>
      </c>
      <c r="V1338" t="s">
        <v>42</v>
      </c>
      <c r="W1338" t="s">
        <v>43</v>
      </c>
      <c r="X1338" s="19">
        <v>20</v>
      </c>
      <c r="Y1338">
        <v>4</v>
      </c>
      <c r="Z1338">
        <v>2</v>
      </c>
      <c r="AA1338">
        <v>80</v>
      </c>
      <c r="AB1338">
        <v>1</v>
      </c>
      <c r="AC1338">
        <v>19</v>
      </c>
      <c r="AD1338">
        <v>2</v>
      </c>
      <c r="AE1338">
        <v>4</v>
      </c>
      <c r="AF1338">
        <v>5</v>
      </c>
      <c r="AG1338">
        <v>2</v>
      </c>
      <c r="AH1338">
        <v>0</v>
      </c>
      <c r="AI1338">
        <v>4</v>
      </c>
      <c r="AJ1338">
        <f t="shared" si="200"/>
        <v>0</v>
      </c>
      <c r="AK1338">
        <f t="shared" si="201"/>
        <v>0</v>
      </c>
      <c r="AL1338">
        <f t="shared" si="202"/>
        <v>1</v>
      </c>
      <c r="AM1338">
        <f t="shared" si="203"/>
        <v>3</v>
      </c>
      <c r="AN1338">
        <f t="shared" si="204"/>
        <v>5324</v>
      </c>
      <c r="AO1338">
        <f t="shared" si="205"/>
        <v>0.25</v>
      </c>
      <c r="AP1338" t="str">
        <f t="shared" si="206"/>
        <v>50+</v>
      </c>
      <c r="AQ1338" t="str">
        <f t="shared" si="207"/>
        <v>Low</v>
      </c>
      <c r="AR1338" t="str">
        <f t="shared" si="208"/>
        <v>Short</v>
      </c>
      <c r="AS1338">
        <f t="shared" si="209"/>
        <v>0</v>
      </c>
    </row>
    <row r="1339" spans="1:4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s="20">
        <v>2856</v>
      </c>
      <c r="T1339">
        <v>3692</v>
      </c>
      <c r="U1339">
        <v>1</v>
      </c>
      <c r="V1339" t="s">
        <v>42</v>
      </c>
      <c r="W1339" t="s">
        <v>43</v>
      </c>
      <c r="X1339" s="19">
        <v>19</v>
      </c>
      <c r="Y1339">
        <v>3</v>
      </c>
      <c r="Z1339">
        <v>4</v>
      </c>
      <c r="AA1339">
        <v>80</v>
      </c>
      <c r="AB1339">
        <v>1</v>
      </c>
      <c r="AC1339">
        <v>1</v>
      </c>
      <c r="AD1339">
        <v>3</v>
      </c>
      <c r="AE1339">
        <v>3</v>
      </c>
      <c r="AF1339">
        <v>1</v>
      </c>
      <c r="AG1339">
        <v>0</v>
      </c>
      <c r="AH1339">
        <v>0</v>
      </c>
      <c r="AI1339">
        <v>0</v>
      </c>
      <c r="AJ1339">
        <f t="shared" si="200"/>
        <v>0</v>
      </c>
      <c r="AK1339">
        <f t="shared" si="201"/>
        <v>0</v>
      </c>
      <c r="AL1339">
        <f t="shared" si="202"/>
        <v>0</v>
      </c>
      <c r="AM1339">
        <f t="shared" si="203"/>
        <v>2.75</v>
      </c>
      <c r="AN1339">
        <f t="shared" si="204"/>
        <v>17136</v>
      </c>
      <c r="AO1339">
        <f t="shared" si="205"/>
        <v>0.5</v>
      </c>
      <c r="AP1339" t="str">
        <f t="shared" si="206"/>
        <v>Under 30</v>
      </c>
      <c r="AQ1339" t="str">
        <f t="shared" si="207"/>
        <v>Low</v>
      </c>
      <c r="AR1339" t="str">
        <f t="shared" si="208"/>
        <v>Short</v>
      </c>
      <c r="AS1339">
        <f t="shared" si="209"/>
        <v>0</v>
      </c>
    </row>
    <row r="1340" spans="1:4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s="20">
        <v>1081</v>
      </c>
      <c r="T1340">
        <v>16019</v>
      </c>
      <c r="U1340">
        <v>1</v>
      </c>
      <c r="V1340" t="s">
        <v>42</v>
      </c>
      <c r="W1340" t="s">
        <v>43</v>
      </c>
      <c r="X1340" s="19">
        <v>13</v>
      </c>
      <c r="Y1340">
        <v>3</v>
      </c>
      <c r="Z1340">
        <v>3</v>
      </c>
      <c r="AA1340">
        <v>80</v>
      </c>
      <c r="AB1340">
        <v>0</v>
      </c>
      <c r="AC1340">
        <v>1</v>
      </c>
      <c r="AD1340">
        <v>3</v>
      </c>
      <c r="AE1340">
        <v>2</v>
      </c>
      <c r="AF1340">
        <v>1</v>
      </c>
      <c r="AG1340">
        <v>0</v>
      </c>
      <c r="AH1340">
        <v>0</v>
      </c>
      <c r="AI1340">
        <v>0</v>
      </c>
      <c r="AJ1340">
        <f t="shared" si="200"/>
        <v>1</v>
      </c>
      <c r="AK1340">
        <f t="shared" si="201"/>
        <v>0</v>
      </c>
      <c r="AL1340">
        <f t="shared" si="202"/>
        <v>1</v>
      </c>
      <c r="AM1340">
        <f t="shared" si="203"/>
        <v>2.75</v>
      </c>
      <c r="AN1340">
        <f t="shared" si="204"/>
        <v>6486</v>
      </c>
      <c r="AO1340">
        <f t="shared" si="205"/>
        <v>0.5</v>
      </c>
      <c r="AP1340" t="str">
        <f t="shared" si="206"/>
        <v>30-39</v>
      </c>
      <c r="AQ1340" t="str">
        <f t="shared" si="207"/>
        <v>Low</v>
      </c>
      <c r="AR1340" t="str">
        <f t="shared" si="208"/>
        <v>Medium</v>
      </c>
      <c r="AS1340">
        <f t="shared" si="209"/>
        <v>0</v>
      </c>
    </row>
    <row r="1341" spans="1:4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s="20">
        <v>2472</v>
      </c>
      <c r="T1341">
        <v>26092</v>
      </c>
      <c r="U1341">
        <v>1</v>
      </c>
      <c r="V1341" t="s">
        <v>42</v>
      </c>
      <c r="W1341" t="s">
        <v>35</v>
      </c>
      <c r="X1341" s="19">
        <v>23</v>
      </c>
      <c r="Y1341">
        <v>4</v>
      </c>
      <c r="Z1341">
        <v>1</v>
      </c>
      <c r="AA1341">
        <v>80</v>
      </c>
      <c r="AB1341">
        <v>0</v>
      </c>
      <c r="AC1341">
        <v>1</v>
      </c>
      <c r="AD1341">
        <v>2</v>
      </c>
      <c r="AE1341">
        <v>3</v>
      </c>
      <c r="AF1341">
        <v>1</v>
      </c>
      <c r="AG1341">
        <v>0</v>
      </c>
      <c r="AH1341">
        <v>0</v>
      </c>
      <c r="AI1341">
        <v>0</v>
      </c>
      <c r="AJ1341">
        <f t="shared" si="200"/>
        <v>1</v>
      </c>
      <c r="AK1341">
        <f t="shared" si="201"/>
        <v>1</v>
      </c>
      <c r="AL1341">
        <f t="shared" si="202"/>
        <v>1</v>
      </c>
      <c r="AM1341">
        <f t="shared" si="203"/>
        <v>2.5</v>
      </c>
      <c r="AN1341">
        <f t="shared" si="204"/>
        <v>14832</v>
      </c>
      <c r="AO1341">
        <f t="shared" si="205"/>
        <v>0.5</v>
      </c>
      <c r="AP1341" t="str">
        <f t="shared" si="206"/>
        <v>Under 30</v>
      </c>
      <c r="AQ1341" t="str">
        <f t="shared" si="207"/>
        <v>Low</v>
      </c>
      <c r="AR1341" t="str">
        <f t="shared" si="208"/>
        <v>Medium</v>
      </c>
      <c r="AS1341">
        <f t="shared" si="209"/>
        <v>0</v>
      </c>
    </row>
    <row r="1342" spans="1:4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s="20">
        <v>5673</v>
      </c>
      <c r="T1342">
        <v>6060</v>
      </c>
      <c r="U1342">
        <v>1</v>
      </c>
      <c r="V1342" t="s">
        <v>42</v>
      </c>
      <c r="W1342" t="s">
        <v>35</v>
      </c>
      <c r="X1342" s="19">
        <v>13</v>
      </c>
      <c r="Y1342">
        <v>3</v>
      </c>
      <c r="Z1342">
        <v>1</v>
      </c>
      <c r="AA1342">
        <v>80</v>
      </c>
      <c r="AB1342">
        <v>1</v>
      </c>
      <c r="AC1342">
        <v>10</v>
      </c>
      <c r="AD1342">
        <v>4</v>
      </c>
      <c r="AE1342">
        <v>3</v>
      </c>
      <c r="AF1342">
        <v>10</v>
      </c>
      <c r="AG1342">
        <v>9</v>
      </c>
      <c r="AH1342">
        <v>1</v>
      </c>
      <c r="AI1342">
        <v>7</v>
      </c>
      <c r="AJ1342">
        <f t="shared" si="200"/>
        <v>0</v>
      </c>
      <c r="AK1342">
        <f t="shared" si="201"/>
        <v>1</v>
      </c>
      <c r="AL1342">
        <f t="shared" si="202"/>
        <v>0</v>
      </c>
      <c r="AM1342">
        <f t="shared" si="203"/>
        <v>2.25</v>
      </c>
      <c r="AN1342">
        <f t="shared" si="204"/>
        <v>6188.727272727273</v>
      </c>
      <c r="AO1342">
        <f t="shared" si="205"/>
        <v>0.90909090909090906</v>
      </c>
      <c r="AP1342" t="str">
        <f t="shared" si="206"/>
        <v>30-39</v>
      </c>
      <c r="AQ1342" t="str">
        <f t="shared" si="207"/>
        <v>High</v>
      </c>
      <c r="AR1342" t="str">
        <f t="shared" si="208"/>
        <v>Medium</v>
      </c>
      <c r="AS1342">
        <f t="shared" si="209"/>
        <v>0</v>
      </c>
    </row>
    <row r="1343" spans="1:4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s="20">
        <v>4197</v>
      </c>
      <c r="T1343">
        <v>18624</v>
      </c>
      <c r="U1343">
        <v>1</v>
      </c>
      <c r="V1343" t="s">
        <v>42</v>
      </c>
      <c r="W1343" t="s">
        <v>43</v>
      </c>
      <c r="X1343" s="19">
        <v>11</v>
      </c>
      <c r="Y1343">
        <v>3</v>
      </c>
      <c r="Z1343">
        <v>1</v>
      </c>
      <c r="AA1343">
        <v>80</v>
      </c>
      <c r="AB1343">
        <v>1</v>
      </c>
      <c r="AC1343">
        <v>10</v>
      </c>
      <c r="AD1343">
        <v>2</v>
      </c>
      <c r="AE1343">
        <v>3</v>
      </c>
      <c r="AF1343">
        <v>10</v>
      </c>
      <c r="AG1343">
        <v>8</v>
      </c>
      <c r="AH1343">
        <v>0</v>
      </c>
      <c r="AI1343">
        <v>2</v>
      </c>
      <c r="AJ1343">
        <f t="shared" si="200"/>
        <v>0</v>
      </c>
      <c r="AK1343">
        <f t="shared" si="201"/>
        <v>0</v>
      </c>
      <c r="AL1343">
        <f t="shared" si="202"/>
        <v>1</v>
      </c>
      <c r="AM1343">
        <f t="shared" si="203"/>
        <v>2.25</v>
      </c>
      <c r="AN1343">
        <f t="shared" si="204"/>
        <v>4578.545454545455</v>
      </c>
      <c r="AO1343">
        <f t="shared" si="205"/>
        <v>0.90909090909090906</v>
      </c>
      <c r="AP1343" t="str">
        <f t="shared" si="206"/>
        <v>30-39</v>
      </c>
      <c r="AQ1343" t="str">
        <f t="shared" si="207"/>
        <v>Medium</v>
      </c>
      <c r="AR1343" t="str">
        <f t="shared" si="208"/>
        <v>Long</v>
      </c>
      <c r="AS1343">
        <f t="shared" si="209"/>
        <v>0</v>
      </c>
    </row>
    <row r="1344" spans="1:4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s="20">
        <v>9713</v>
      </c>
      <c r="T1344">
        <v>24444</v>
      </c>
      <c r="U1344">
        <v>2</v>
      </c>
      <c r="V1344" t="s">
        <v>42</v>
      </c>
      <c r="W1344" t="s">
        <v>35</v>
      </c>
      <c r="X1344" s="19">
        <v>13</v>
      </c>
      <c r="Y1344">
        <v>3</v>
      </c>
      <c r="Z1344">
        <v>4</v>
      </c>
      <c r="AA1344">
        <v>80</v>
      </c>
      <c r="AB1344">
        <v>3</v>
      </c>
      <c r="AC1344">
        <v>9</v>
      </c>
      <c r="AD1344">
        <v>3</v>
      </c>
      <c r="AE1344">
        <v>3</v>
      </c>
      <c r="AF1344">
        <v>5</v>
      </c>
      <c r="AG1344">
        <v>3</v>
      </c>
      <c r="AH1344">
        <v>1</v>
      </c>
      <c r="AI1344">
        <v>0</v>
      </c>
      <c r="AJ1344">
        <f t="shared" si="200"/>
        <v>0</v>
      </c>
      <c r="AK1344">
        <f t="shared" si="201"/>
        <v>1</v>
      </c>
      <c r="AL1344">
        <f t="shared" si="202"/>
        <v>1</v>
      </c>
      <c r="AM1344">
        <f t="shared" si="203"/>
        <v>3.5</v>
      </c>
      <c r="AN1344">
        <f t="shared" si="204"/>
        <v>19426</v>
      </c>
      <c r="AO1344">
        <f t="shared" si="205"/>
        <v>0.5</v>
      </c>
      <c r="AP1344" t="str">
        <f t="shared" si="206"/>
        <v>30-39</v>
      </c>
      <c r="AQ1344" t="str">
        <f t="shared" si="207"/>
        <v>Very High</v>
      </c>
      <c r="AR1344" t="str">
        <f t="shared" si="208"/>
        <v>Short</v>
      </c>
      <c r="AS1344">
        <f t="shared" si="209"/>
        <v>0</v>
      </c>
    </row>
    <row r="1345" spans="1:4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s="20">
        <v>2062</v>
      </c>
      <c r="T1345">
        <v>19384</v>
      </c>
      <c r="U1345">
        <v>3</v>
      </c>
      <c r="V1345" t="s">
        <v>42</v>
      </c>
      <c r="W1345" t="s">
        <v>43</v>
      </c>
      <c r="X1345" s="19">
        <v>14</v>
      </c>
      <c r="Y1345">
        <v>3</v>
      </c>
      <c r="Z1345">
        <v>2</v>
      </c>
      <c r="AA1345">
        <v>80</v>
      </c>
      <c r="AB1345">
        <v>0</v>
      </c>
      <c r="AC1345">
        <v>11</v>
      </c>
      <c r="AD1345">
        <v>2</v>
      </c>
      <c r="AE1345">
        <v>3</v>
      </c>
      <c r="AF1345">
        <v>3</v>
      </c>
      <c r="AG1345">
        <v>2</v>
      </c>
      <c r="AH1345">
        <v>1</v>
      </c>
      <c r="AI1345">
        <v>2</v>
      </c>
      <c r="AJ1345">
        <f t="shared" si="200"/>
        <v>0</v>
      </c>
      <c r="AK1345">
        <f t="shared" si="201"/>
        <v>0</v>
      </c>
      <c r="AL1345">
        <f t="shared" si="202"/>
        <v>1</v>
      </c>
      <c r="AM1345">
        <f t="shared" si="203"/>
        <v>2.5</v>
      </c>
      <c r="AN1345">
        <f t="shared" si="204"/>
        <v>6186</v>
      </c>
      <c r="AO1345">
        <f t="shared" si="205"/>
        <v>0.25</v>
      </c>
      <c r="AP1345" t="str">
        <f t="shared" si="206"/>
        <v>Under 30</v>
      </c>
      <c r="AQ1345" t="str">
        <f t="shared" si="207"/>
        <v>Low</v>
      </c>
      <c r="AR1345" t="str">
        <f t="shared" si="208"/>
        <v>Medium</v>
      </c>
      <c r="AS1345">
        <f t="shared" si="209"/>
        <v>0</v>
      </c>
    </row>
    <row r="1346" spans="1:4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s="20">
        <v>4284</v>
      </c>
      <c r="T1346">
        <v>13588</v>
      </c>
      <c r="U1346">
        <v>5</v>
      </c>
      <c r="V1346" t="s">
        <v>42</v>
      </c>
      <c r="W1346" t="s">
        <v>35</v>
      </c>
      <c r="X1346" s="19">
        <v>22</v>
      </c>
      <c r="Y1346">
        <v>4</v>
      </c>
      <c r="Z1346">
        <v>3</v>
      </c>
      <c r="AA1346">
        <v>80</v>
      </c>
      <c r="AB1346">
        <v>1</v>
      </c>
      <c r="AC1346">
        <v>16</v>
      </c>
      <c r="AD1346">
        <v>2</v>
      </c>
      <c r="AE1346">
        <v>3</v>
      </c>
      <c r="AF1346">
        <v>5</v>
      </c>
      <c r="AG1346">
        <v>3</v>
      </c>
      <c r="AH1346">
        <v>0</v>
      </c>
      <c r="AI1346">
        <v>4</v>
      </c>
      <c r="AJ1346">
        <f t="shared" si="200"/>
        <v>0</v>
      </c>
      <c r="AK1346">
        <f t="shared" si="201"/>
        <v>1</v>
      </c>
      <c r="AL1346">
        <f t="shared" si="202"/>
        <v>1</v>
      </c>
      <c r="AM1346">
        <f t="shared" si="203"/>
        <v>2.75</v>
      </c>
      <c r="AN1346">
        <f t="shared" si="204"/>
        <v>8568</v>
      </c>
      <c r="AO1346">
        <f t="shared" si="205"/>
        <v>0.29411764705882354</v>
      </c>
      <c r="AP1346" t="str">
        <f t="shared" si="206"/>
        <v>30-39</v>
      </c>
      <c r="AQ1346" t="str">
        <f t="shared" si="207"/>
        <v>Medium</v>
      </c>
      <c r="AR1346" t="str">
        <f t="shared" si="208"/>
        <v>Medium</v>
      </c>
      <c r="AS1346">
        <f t="shared" si="209"/>
        <v>0</v>
      </c>
    </row>
    <row r="1347" spans="1:4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s="20">
        <v>4788</v>
      </c>
      <c r="T1347">
        <v>25388</v>
      </c>
      <c r="U1347">
        <v>0</v>
      </c>
      <c r="V1347" t="s">
        <v>42</v>
      </c>
      <c r="W1347" t="s">
        <v>35</v>
      </c>
      <c r="X1347" s="19">
        <v>11</v>
      </c>
      <c r="Y1347">
        <v>3</v>
      </c>
      <c r="Z1347">
        <v>4</v>
      </c>
      <c r="AA1347">
        <v>80</v>
      </c>
      <c r="AB1347">
        <v>0</v>
      </c>
      <c r="AC1347">
        <v>4</v>
      </c>
      <c r="AD1347">
        <v>2</v>
      </c>
      <c r="AE1347">
        <v>3</v>
      </c>
      <c r="AF1347">
        <v>3</v>
      </c>
      <c r="AG1347">
        <v>2</v>
      </c>
      <c r="AH1347">
        <v>0</v>
      </c>
      <c r="AI1347">
        <v>2</v>
      </c>
      <c r="AJ1347">
        <f t="shared" ref="AJ1347:AJ1410" si="210">IF(B1347="Yes",1,0)</f>
        <v>0</v>
      </c>
      <c r="AK1347">
        <f t="shared" ref="AK1347:AK1410" si="211">IF(W1347="Yes",1,0)</f>
        <v>1</v>
      </c>
      <c r="AL1347">
        <f t="shared" ref="AL1347:AL1410" si="212">IF(L1347="Male",1,0)</f>
        <v>0</v>
      </c>
      <c r="AM1347">
        <f t="shared" ref="AM1347:AM1410" si="213">AVERAGE(K1347,Q1347,Z1347,AE1347)</f>
        <v>3.25</v>
      </c>
      <c r="AN1347">
        <f t="shared" ref="AN1347:AN1410" si="214">(S1347*12)/(AF1347+1)</f>
        <v>14364</v>
      </c>
      <c r="AO1347">
        <f t="shared" ref="AO1347:AO1410" si="215">AF1347/(AC1347+1)</f>
        <v>0.6</v>
      </c>
      <c r="AP1347" t="str">
        <f t="shared" ref="AP1347:AP1410" si="216">IF(A1347&lt;30,"Under 30",IF(A1347&lt;40,"30-39",IF(A1347&lt;50,"40-49","50+")))</f>
        <v>30-39</v>
      </c>
      <c r="AQ1347" t="str">
        <f t="shared" ref="AQ1347:AQ1410" si="217">IF(S1347&lt;=$AV$1,"Low",IF(S1347&lt;=$AV$2,"Medium",IF(S1347&lt;=$AV$3,"High","Very High")))</f>
        <v>Medium</v>
      </c>
      <c r="AR1347" t="str">
        <f t="shared" ref="AR1347:AR1410" si="218">IF(F1347&lt;=5,"Short",IF(F1347&lt;=15,"Medium","Long"))</f>
        <v>Long</v>
      </c>
      <c r="AS1347">
        <f t="shared" ref="AS1347:AS1410" si="219">IF(C1347="Travel_Frequently",1,0)</f>
        <v>0</v>
      </c>
    </row>
    <row r="1348" spans="1:4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s="20">
        <v>5906</v>
      </c>
      <c r="T1348">
        <v>23888</v>
      </c>
      <c r="U1348">
        <v>0</v>
      </c>
      <c r="V1348" t="s">
        <v>42</v>
      </c>
      <c r="W1348" t="s">
        <v>43</v>
      </c>
      <c r="X1348" s="19">
        <v>13</v>
      </c>
      <c r="Y1348">
        <v>3</v>
      </c>
      <c r="Z1348">
        <v>4</v>
      </c>
      <c r="AA1348">
        <v>80</v>
      </c>
      <c r="AB1348">
        <v>2</v>
      </c>
      <c r="AC1348">
        <v>10</v>
      </c>
      <c r="AD1348">
        <v>2</v>
      </c>
      <c r="AE1348">
        <v>2</v>
      </c>
      <c r="AF1348">
        <v>9</v>
      </c>
      <c r="AG1348">
        <v>8</v>
      </c>
      <c r="AH1348">
        <v>3</v>
      </c>
      <c r="AI1348">
        <v>8</v>
      </c>
      <c r="AJ1348">
        <f t="shared" si="210"/>
        <v>0</v>
      </c>
      <c r="AK1348">
        <f t="shared" si="211"/>
        <v>0</v>
      </c>
      <c r="AL1348">
        <f t="shared" si="212"/>
        <v>0</v>
      </c>
      <c r="AM1348">
        <f t="shared" si="213"/>
        <v>3</v>
      </c>
      <c r="AN1348">
        <f t="shared" si="214"/>
        <v>7087.2</v>
      </c>
      <c r="AO1348">
        <f t="shared" si="215"/>
        <v>0.81818181818181823</v>
      </c>
      <c r="AP1348" t="str">
        <f t="shared" si="216"/>
        <v>40-49</v>
      </c>
      <c r="AQ1348" t="str">
        <f t="shared" si="217"/>
        <v>High</v>
      </c>
      <c r="AR1348" t="str">
        <f t="shared" si="218"/>
        <v>Long</v>
      </c>
      <c r="AS1348">
        <f t="shared" si="219"/>
        <v>0</v>
      </c>
    </row>
    <row r="1349" spans="1:4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s="20">
        <v>3886</v>
      </c>
      <c r="T1349">
        <v>4223</v>
      </c>
      <c r="U1349">
        <v>1</v>
      </c>
      <c r="V1349" t="s">
        <v>42</v>
      </c>
      <c r="W1349" t="s">
        <v>43</v>
      </c>
      <c r="X1349" s="19">
        <v>21</v>
      </c>
      <c r="Y1349">
        <v>4</v>
      </c>
      <c r="Z1349">
        <v>4</v>
      </c>
      <c r="AA1349">
        <v>80</v>
      </c>
      <c r="AB1349">
        <v>0</v>
      </c>
      <c r="AC1349">
        <v>10</v>
      </c>
      <c r="AD1349">
        <v>2</v>
      </c>
      <c r="AE1349">
        <v>2</v>
      </c>
      <c r="AF1349">
        <v>10</v>
      </c>
      <c r="AG1349">
        <v>1</v>
      </c>
      <c r="AH1349">
        <v>0</v>
      </c>
      <c r="AI1349">
        <v>8</v>
      </c>
      <c r="AJ1349">
        <f t="shared" si="210"/>
        <v>0</v>
      </c>
      <c r="AK1349">
        <f t="shared" si="211"/>
        <v>0</v>
      </c>
      <c r="AL1349">
        <f t="shared" si="212"/>
        <v>1</v>
      </c>
      <c r="AM1349">
        <f t="shared" si="213"/>
        <v>3</v>
      </c>
      <c r="AN1349">
        <f t="shared" si="214"/>
        <v>4239.272727272727</v>
      </c>
      <c r="AO1349">
        <f t="shared" si="215"/>
        <v>0.90909090909090906</v>
      </c>
      <c r="AP1349" t="str">
        <f t="shared" si="216"/>
        <v>30-39</v>
      </c>
      <c r="AQ1349" t="str">
        <f t="shared" si="217"/>
        <v>Medium</v>
      </c>
      <c r="AR1349" t="str">
        <f t="shared" si="218"/>
        <v>Short</v>
      </c>
      <c r="AS1349">
        <f t="shared" si="219"/>
        <v>1</v>
      </c>
    </row>
    <row r="1350" spans="1:4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s="20">
        <v>16823</v>
      </c>
      <c r="T1350">
        <v>18991</v>
      </c>
      <c r="U1350">
        <v>2</v>
      </c>
      <c r="V1350" t="s">
        <v>42</v>
      </c>
      <c r="W1350" t="s">
        <v>43</v>
      </c>
      <c r="X1350" s="19">
        <v>11</v>
      </c>
      <c r="Y1350">
        <v>3</v>
      </c>
      <c r="Z1350">
        <v>1</v>
      </c>
      <c r="AA1350">
        <v>80</v>
      </c>
      <c r="AB1350">
        <v>1</v>
      </c>
      <c r="AC1350">
        <v>22</v>
      </c>
      <c r="AD1350">
        <v>3</v>
      </c>
      <c r="AE1350">
        <v>3</v>
      </c>
      <c r="AF1350">
        <v>19</v>
      </c>
      <c r="AG1350">
        <v>7</v>
      </c>
      <c r="AH1350">
        <v>11</v>
      </c>
      <c r="AI1350">
        <v>16</v>
      </c>
      <c r="AJ1350">
        <f t="shared" si="210"/>
        <v>0</v>
      </c>
      <c r="AK1350">
        <f t="shared" si="211"/>
        <v>0</v>
      </c>
      <c r="AL1350">
        <f t="shared" si="212"/>
        <v>1</v>
      </c>
      <c r="AM1350">
        <f t="shared" si="213"/>
        <v>1.5</v>
      </c>
      <c r="AN1350">
        <f t="shared" si="214"/>
        <v>10093.799999999999</v>
      </c>
      <c r="AO1350">
        <f t="shared" si="215"/>
        <v>0.82608695652173914</v>
      </c>
      <c r="AP1350" t="str">
        <f t="shared" si="216"/>
        <v>40-49</v>
      </c>
      <c r="AQ1350" t="str">
        <f t="shared" si="217"/>
        <v>Very High</v>
      </c>
      <c r="AR1350" t="str">
        <f t="shared" si="218"/>
        <v>Short</v>
      </c>
      <c r="AS1350">
        <f t="shared" si="219"/>
        <v>0</v>
      </c>
    </row>
    <row r="1351" spans="1:4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s="20">
        <v>2933</v>
      </c>
      <c r="T1351">
        <v>14908</v>
      </c>
      <c r="U1351">
        <v>1</v>
      </c>
      <c r="V1351" t="s">
        <v>42</v>
      </c>
      <c r="W1351" t="s">
        <v>35</v>
      </c>
      <c r="X1351" s="19">
        <v>13</v>
      </c>
      <c r="Y1351">
        <v>3</v>
      </c>
      <c r="Z1351">
        <v>3</v>
      </c>
      <c r="AA1351">
        <v>80</v>
      </c>
      <c r="AB1351">
        <v>1</v>
      </c>
      <c r="AC1351">
        <v>1</v>
      </c>
      <c r="AD1351">
        <v>3</v>
      </c>
      <c r="AE1351">
        <v>2</v>
      </c>
      <c r="AF1351">
        <v>1</v>
      </c>
      <c r="AG1351">
        <v>0</v>
      </c>
      <c r="AH1351">
        <v>1</v>
      </c>
      <c r="AI1351">
        <v>0</v>
      </c>
      <c r="AJ1351">
        <f t="shared" si="210"/>
        <v>0</v>
      </c>
      <c r="AK1351">
        <f t="shared" si="211"/>
        <v>1</v>
      </c>
      <c r="AL1351">
        <f t="shared" si="212"/>
        <v>0</v>
      </c>
      <c r="AM1351">
        <f t="shared" si="213"/>
        <v>2.5</v>
      </c>
      <c r="AN1351">
        <f t="shared" si="214"/>
        <v>17598</v>
      </c>
      <c r="AO1351">
        <f t="shared" si="215"/>
        <v>0.5</v>
      </c>
      <c r="AP1351" t="str">
        <f t="shared" si="216"/>
        <v>Under 30</v>
      </c>
      <c r="AQ1351" t="str">
        <f t="shared" si="217"/>
        <v>Medium</v>
      </c>
      <c r="AR1351" t="str">
        <f t="shared" si="218"/>
        <v>Short</v>
      </c>
      <c r="AS1351">
        <f t="shared" si="219"/>
        <v>0</v>
      </c>
    </row>
    <row r="1352" spans="1:4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s="20">
        <v>6500</v>
      </c>
      <c r="T1352">
        <v>26997</v>
      </c>
      <c r="U1352">
        <v>0</v>
      </c>
      <c r="V1352" t="s">
        <v>42</v>
      </c>
      <c r="W1352" t="s">
        <v>43</v>
      </c>
      <c r="X1352" s="19">
        <v>14</v>
      </c>
      <c r="Y1352">
        <v>3</v>
      </c>
      <c r="Z1352">
        <v>2</v>
      </c>
      <c r="AA1352">
        <v>80</v>
      </c>
      <c r="AB1352">
        <v>0</v>
      </c>
      <c r="AC1352">
        <v>9</v>
      </c>
      <c r="AD1352">
        <v>5</v>
      </c>
      <c r="AE1352">
        <v>2</v>
      </c>
      <c r="AF1352">
        <v>8</v>
      </c>
      <c r="AG1352">
        <v>7</v>
      </c>
      <c r="AH1352">
        <v>0</v>
      </c>
      <c r="AI1352">
        <v>7</v>
      </c>
      <c r="AJ1352">
        <f t="shared" si="210"/>
        <v>0</v>
      </c>
      <c r="AK1352">
        <f t="shared" si="211"/>
        <v>0</v>
      </c>
      <c r="AL1352">
        <f t="shared" si="212"/>
        <v>0</v>
      </c>
      <c r="AM1352">
        <f t="shared" si="213"/>
        <v>2</v>
      </c>
      <c r="AN1352">
        <f t="shared" si="214"/>
        <v>8666.6666666666661</v>
      </c>
      <c r="AO1352">
        <f t="shared" si="215"/>
        <v>0.8</v>
      </c>
      <c r="AP1352" t="str">
        <f t="shared" si="216"/>
        <v>Under 30</v>
      </c>
      <c r="AQ1352" t="str">
        <f t="shared" si="217"/>
        <v>High</v>
      </c>
      <c r="AR1352" t="str">
        <f t="shared" si="218"/>
        <v>Short</v>
      </c>
      <c r="AS1352">
        <f t="shared" si="219"/>
        <v>0</v>
      </c>
    </row>
    <row r="1353" spans="1:4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s="20">
        <v>17174</v>
      </c>
      <c r="T1353">
        <v>2437</v>
      </c>
      <c r="U1353">
        <v>3</v>
      </c>
      <c r="V1353" t="s">
        <v>42</v>
      </c>
      <c r="W1353" t="s">
        <v>43</v>
      </c>
      <c r="X1353" s="19">
        <v>11</v>
      </c>
      <c r="Y1353">
        <v>3</v>
      </c>
      <c r="Z1353">
        <v>2</v>
      </c>
      <c r="AA1353">
        <v>80</v>
      </c>
      <c r="AB1353">
        <v>1</v>
      </c>
      <c r="AC1353">
        <v>24</v>
      </c>
      <c r="AD1353">
        <v>3</v>
      </c>
      <c r="AE1353">
        <v>3</v>
      </c>
      <c r="AF1353">
        <v>22</v>
      </c>
      <c r="AG1353">
        <v>17</v>
      </c>
      <c r="AH1353">
        <v>4</v>
      </c>
      <c r="AI1353">
        <v>7</v>
      </c>
      <c r="AJ1353">
        <f t="shared" si="210"/>
        <v>0</v>
      </c>
      <c r="AK1353">
        <f t="shared" si="211"/>
        <v>0</v>
      </c>
      <c r="AL1353">
        <f t="shared" si="212"/>
        <v>0</v>
      </c>
      <c r="AM1353">
        <f t="shared" si="213"/>
        <v>3.25</v>
      </c>
      <c r="AN1353">
        <f t="shared" si="214"/>
        <v>8960.347826086956</v>
      </c>
      <c r="AO1353">
        <f t="shared" si="215"/>
        <v>0.88</v>
      </c>
      <c r="AP1353" t="str">
        <f t="shared" si="216"/>
        <v>40-49</v>
      </c>
      <c r="AQ1353" t="str">
        <f t="shared" si="217"/>
        <v>Very High</v>
      </c>
      <c r="AR1353" t="str">
        <f t="shared" si="218"/>
        <v>Long</v>
      </c>
      <c r="AS1353">
        <f t="shared" si="219"/>
        <v>1</v>
      </c>
    </row>
    <row r="1354" spans="1:4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s="20">
        <v>5033</v>
      </c>
      <c r="T1354">
        <v>9364</v>
      </c>
      <c r="U1354">
        <v>2</v>
      </c>
      <c r="V1354" t="s">
        <v>42</v>
      </c>
      <c r="W1354" t="s">
        <v>43</v>
      </c>
      <c r="X1354" s="19">
        <v>15</v>
      </c>
      <c r="Y1354">
        <v>3</v>
      </c>
      <c r="Z1354">
        <v>4</v>
      </c>
      <c r="AA1354">
        <v>80</v>
      </c>
      <c r="AB1354">
        <v>1</v>
      </c>
      <c r="AC1354">
        <v>10</v>
      </c>
      <c r="AD1354">
        <v>5</v>
      </c>
      <c r="AE1354">
        <v>3</v>
      </c>
      <c r="AF1354">
        <v>2</v>
      </c>
      <c r="AG1354">
        <v>0</v>
      </c>
      <c r="AH1354">
        <v>2</v>
      </c>
      <c r="AI1354">
        <v>2</v>
      </c>
      <c r="AJ1354">
        <f t="shared" si="210"/>
        <v>0</v>
      </c>
      <c r="AK1354">
        <f t="shared" si="211"/>
        <v>0</v>
      </c>
      <c r="AL1354">
        <f t="shared" si="212"/>
        <v>1</v>
      </c>
      <c r="AM1354">
        <f t="shared" si="213"/>
        <v>2.5</v>
      </c>
      <c r="AN1354">
        <f t="shared" si="214"/>
        <v>20132</v>
      </c>
      <c r="AO1354">
        <f t="shared" si="215"/>
        <v>0.18181818181818182</v>
      </c>
      <c r="AP1354" t="str">
        <f t="shared" si="216"/>
        <v>40-49</v>
      </c>
      <c r="AQ1354" t="str">
        <f t="shared" si="217"/>
        <v>High</v>
      </c>
      <c r="AR1354" t="str">
        <f t="shared" si="218"/>
        <v>Short</v>
      </c>
      <c r="AS1354">
        <f t="shared" si="219"/>
        <v>0</v>
      </c>
    </row>
    <row r="1355" spans="1:4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s="20">
        <v>2307</v>
      </c>
      <c r="T1355">
        <v>14460</v>
      </c>
      <c r="U1355">
        <v>1</v>
      </c>
      <c r="V1355" t="s">
        <v>42</v>
      </c>
      <c r="W1355" t="s">
        <v>35</v>
      </c>
      <c r="X1355" s="19">
        <v>23</v>
      </c>
      <c r="Y1355">
        <v>4</v>
      </c>
      <c r="Z1355">
        <v>2</v>
      </c>
      <c r="AA1355">
        <v>80</v>
      </c>
      <c r="AB1355">
        <v>1</v>
      </c>
      <c r="AC1355">
        <v>5</v>
      </c>
      <c r="AD1355">
        <v>2</v>
      </c>
      <c r="AE1355">
        <v>3</v>
      </c>
      <c r="AF1355">
        <v>5</v>
      </c>
      <c r="AG1355">
        <v>2</v>
      </c>
      <c r="AH1355">
        <v>3</v>
      </c>
      <c r="AI1355">
        <v>0</v>
      </c>
      <c r="AJ1355">
        <f t="shared" si="210"/>
        <v>1</v>
      </c>
      <c r="AK1355">
        <f t="shared" si="211"/>
        <v>1</v>
      </c>
      <c r="AL1355">
        <f t="shared" si="212"/>
        <v>1</v>
      </c>
      <c r="AM1355">
        <f t="shared" si="213"/>
        <v>2.5</v>
      </c>
      <c r="AN1355">
        <f t="shared" si="214"/>
        <v>4614</v>
      </c>
      <c r="AO1355">
        <f t="shared" si="215"/>
        <v>0.83333333333333337</v>
      </c>
      <c r="AP1355" t="str">
        <f t="shared" si="216"/>
        <v>30-39</v>
      </c>
      <c r="AQ1355" t="str">
        <f t="shared" si="217"/>
        <v>Low</v>
      </c>
      <c r="AR1355" t="str">
        <f t="shared" si="218"/>
        <v>Long</v>
      </c>
      <c r="AS1355">
        <f t="shared" si="219"/>
        <v>0</v>
      </c>
    </row>
    <row r="1356" spans="1:4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s="20">
        <v>2587</v>
      </c>
      <c r="T1356">
        <v>10261</v>
      </c>
      <c r="U1356">
        <v>1</v>
      </c>
      <c r="V1356" t="s">
        <v>42</v>
      </c>
      <c r="W1356" t="s">
        <v>43</v>
      </c>
      <c r="X1356" s="19">
        <v>16</v>
      </c>
      <c r="Y1356">
        <v>3</v>
      </c>
      <c r="Z1356">
        <v>4</v>
      </c>
      <c r="AA1356">
        <v>80</v>
      </c>
      <c r="AB1356">
        <v>0</v>
      </c>
      <c r="AC1356">
        <v>5</v>
      </c>
      <c r="AD1356">
        <v>3</v>
      </c>
      <c r="AE1356">
        <v>3</v>
      </c>
      <c r="AF1356">
        <v>4</v>
      </c>
      <c r="AG1356">
        <v>2</v>
      </c>
      <c r="AH1356">
        <v>1</v>
      </c>
      <c r="AI1356">
        <v>0</v>
      </c>
      <c r="AJ1356">
        <f t="shared" si="210"/>
        <v>1</v>
      </c>
      <c r="AK1356">
        <f t="shared" si="211"/>
        <v>0</v>
      </c>
      <c r="AL1356">
        <f t="shared" si="212"/>
        <v>1</v>
      </c>
      <c r="AM1356">
        <f t="shared" si="213"/>
        <v>3</v>
      </c>
      <c r="AN1356">
        <f t="shared" si="214"/>
        <v>6208.8</v>
      </c>
      <c r="AO1356">
        <f t="shared" si="215"/>
        <v>0.66666666666666663</v>
      </c>
      <c r="AP1356" t="str">
        <f t="shared" si="216"/>
        <v>50+</v>
      </c>
      <c r="AQ1356" t="str">
        <f t="shared" si="217"/>
        <v>Low</v>
      </c>
      <c r="AR1356" t="str">
        <f t="shared" si="218"/>
        <v>Long</v>
      </c>
      <c r="AS1356">
        <f t="shared" si="219"/>
        <v>0</v>
      </c>
    </row>
    <row r="1357" spans="1:4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s="20">
        <v>5507</v>
      </c>
      <c r="T1357">
        <v>16822</v>
      </c>
      <c r="U1357">
        <v>2</v>
      </c>
      <c r="V1357" t="s">
        <v>42</v>
      </c>
      <c r="W1357" t="s">
        <v>43</v>
      </c>
      <c r="X1357" s="19">
        <v>16</v>
      </c>
      <c r="Y1357">
        <v>3</v>
      </c>
      <c r="Z1357">
        <v>3</v>
      </c>
      <c r="AA1357">
        <v>80</v>
      </c>
      <c r="AB1357">
        <v>2</v>
      </c>
      <c r="AC1357">
        <v>12</v>
      </c>
      <c r="AD1357">
        <v>1</v>
      </c>
      <c r="AE1357">
        <v>1</v>
      </c>
      <c r="AF1357">
        <v>4</v>
      </c>
      <c r="AG1357">
        <v>2</v>
      </c>
      <c r="AH1357">
        <v>1</v>
      </c>
      <c r="AI1357">
        <v>3</v>
      </c>
      <c r="AJ1357">
        <f t="shared" si="210"/>
        <v>0</v>
      </c>
      <c r="AK1357">
        <f t="shared" si="211"/>
        <v>0</v>
      </c>
      <c r="AL1357">
        <f t="shared" si="212"/>
        <v>1</v>
      </c>
      <c r="AM1357">
        <f t="shared" si="213"/>
        <v>2.25</v>
      </c>
      <c r="AN1357">
        <f t="shared" si="214"/>
        <v>13216.8</v>
      </c>
      <c r="AO1357">
        <f t="shared" si="215"/>
        <v>0.30769230769230771</v>
      </c>
      <c r="AP1357" t="str">
        <f t="shared" si="216"/>
        <v>30-39</v>
      </c>
      <c r="AQ1357" t="str">
        <f t="shared" si="217"/>
        <v>High</v>
      </c>
      <c r="AR1357" t="str">
        <f t="shared" si="218"/>
        <v>Long</v>
      </c>
      <c r="AS1357">
        <f t="shared" si="219"/>
        <v>0</v>
      </c>
    </row>
    <row r="1358" spans="1:4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s="20">
        <v>4393</v>
      </c>
      <c r="T1358">
        <v>26841</v>
      </c>
      <c r="U1358">
        <v>5</v>
      </c>
      <c r="V1358" t="s">
        <v>42</v>
      </c>
      <c r="W1358" t="s">
        <v>43</v>
      </c>
      <c r="X1358" s="19">
        <v>21</v>
      </c>
      <c r="Y1358">
        <v>4</v>
      </c>
      <c r="Z1358">
        <v>3</v>
      </c>
      <c r="AA1358">
        <v>80</v>
      </c>
      <c r="AB1358">
        <v>1</v>
      </c>
      <c r="AC1358">
        <v>14</v>
      </c>
      <c r="AD1358">
        <v>3</v>
      </c>
      <c r="AE1358">
        <v>3</v>
      </c>
      <c r="AF1358">
        <v>5</v>
      </c>
      <c r="AG1358">
        <v>4</v>
      </c>
      <c r="AH1358">
        <v>1</v>
      </c>
      <c r="AI1358">
        <v>4</v>
      </c>
      <c r="AJ1358">
        <f t="shared" si="210"/>
        <v>0</v>
      </c>
      <c r="AK1358">
        <f t="shared" si="211"/>
        <v>0</v>
      </c>
      <c r="AL1358">
        <f t="shared" si="212"/>
        <v>0</v>
      </c>
      <c r="AM1358">
        <f t="shared" si="213"/>
        <v>2.75</v>
      </c>
      <c r="AN1358">
        <f t="shared" si="214"/>
        <v>8786</v>
      </c>
      <c r="AO1358">
        <f t="shared" si="215"/>
        <v>0.33333333333333331</v>
      </c>
      <c r="AP1358" t="str">
        <f t="shared" si="216"/>
        <v>40-49</v>
      </c>
      <c r="AQ1358" t="str">
        <f t="shared" si="217"/>
        <v>Medium</v>
      </c>
      <c r="AR1358" t="str">
        <f t="shared" si="218"/>
        <v>Medium</v>
      </c>
      <c r="AS1358">
        <f t="shared" si="219"/>
        <v>0</v>
      </c>
    </row>
    <row r="1359" spans="1:4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s="20">
        <v>13348</v>
      </c>
      <c r="T1359">
        <v>14842</v>
      </c>
      <c r="U1359">
        <v>9</v>
      </c>
      <c r="V1359" t="s">
        <v>42</v>
      </c>
      <c r="W1359" t="s">
        <v>43</v>
      </c>
      <c r="X1359" s="19">
        <v>13</v>
      </c>
      <c r="Y1359">
        <v>3</v>
      </c>
      <c r="Z1359">
        <v>2</v>
      </c>
      <c r="AA1359">
        <v>80</v>
      </c>
      <c r="AB1359">
        <v>1</v>
      </c>
      <c r="AC1359">
        <v>18</v>
      </c>
      <c r="AD1359">
        <v>3</v>
      </c>
      <c r="AE1359">
        <v>4</v>
      </c>
      <c r="AF1359">
        <v>13</v>
      </c>
      <c r="AG1359">
        <v>7</v>
      </c>
      <c r="AH1359">
        <v>5</v>
      </c>
      <c r="AI1359">
        <v>7</v>
      </c>
      <c r="AJ1359">
        <f t="shared" si="210"/>
        <v>0</v>
      </c>
      <c r="AK1359">
        <f t="shared" si="211"/>
        <v>0</v>
      </c>
      <c r="AL1359">
        <f t="shared" si="212"/>
        <v>1</v>
      </c>
      <c r="AM1359">
        <f t="shared" si="213"/>
        <v>2.5</v>
      </c>
      <c r="AN1359">
        <f t="shared" si="214"/>
        <v>11441.142857142857</v>
      </c>
      <c r="AO1359">
        <f t="shared" si="215"/>
        <v>0.68421052631578949</v>
      </c>
      <c r="AP1359" t="str">
        <f t="shared" si="216"/>
        <v>40-49</v>
      </c>
      <c r="AQ1359" t="str">
        <f t="shared" si="217"/>
        <v>Very High</v>
      </c>
      <c r="AR1359" t="str">
        <f t="shared" si="218"/>
        <v>Medium</v>
      </c>
      <c r="AS1359">
        <f t="shared" si="219"/>
        <v>0</v>
      </c>
    </row>
    <row r="1360" spans="1:4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s="20">
        <v>6583</v>
      </c>
      <c r="T1360">
        <v>20115</v>
      </c>
      <c r="U1360">
        <v>2</v>
      </c>
      <c r="V1360" t="s">
        <v>42</v>
      </c>
      <c r="W1360" t="s">
        <v>35</v>
      </c>
      <c r="X1360" s="19">
        <v>11</v>
      </c>
      <c r="Y1360">
        <v>3</v>
      </c>
      <c r="Z1360">
        <v>4</v>
      </c>
      <c r="AA1360">
        <v>80</v>
      </c>
      <c r="AB1360">
        <v>1</v>
      </c>
      <c r="AC1360">
        <v>8</v>
      </c>
      <c r="AD1360">
        <v>2</v>
      </c>
      <c r="AE1360">
        <v>3</v>
      </c>
      <c r="AF1360">
        <v>5</v>
      </c>
      <c r="AG1360">
        <v>2</v>
      </c>
      <c r="AH1360">
        <v>1</v>
      </c>
      <c r="AI1360">
        <v>4</v>
      </c>
      <c r="AJ1360">
        <f t="shared" si="210"/>
        <v>0</v>
      </c>
      <c r="AK1360">
        <f t="shared" si="211"/>
        <v>1</v>
      </c>
      <c r="AL1360">
        <f t="shared" si="212"/>
        <v>0</v>
      </c>
      <c r="AM1360">
        <f t="shared" si="213"/>
        <v>3.5</v>
      </c>
      <c r="AN1360">
        <f t="shared" si="214"/>
        <v>13166</v>
      </c>
      <c r="AO1360">
        <f t="shared" si="215"/>
        <v>0.55555555555555558</v>
      </c>
      <c r="AP1360" t="str">
        <f t="shared" si="216"/>
        <v>30-39</v>
      </c>
      <c r="AQ1360" t="str">
        <f t="shared" si="217"/>
        <v>High</v>
      </c>
      <c r="AR1360" t="str">
        <f t="shared" si="218"/>
        <v>Medium</v>
      </c>
      <c r="AS1360">
        <f t="shared" si="219"/>
        <v>0</v>
      </c>
    </row>
    <row r="1361" spans="1:4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s="20">
        <v>8103</v>
      </c>
      <c r="T1361">
        <v>16495</v>
      </c>
      <c r="U1361">
        <v>3</v>
      </c>
      <c r="V1361" t="s">
        <v>42</v>
      </c>
      <c r="W1361" t="s">
        <v>35</v>
      </c>
      <c r="X1361" s="19">
        <v>12</v>
      </c>
      <c r="Y1361">
        <v>3</v>
      </c>
      <c r="Z1361">
        <v>3</v>
      </c>
      <c r="AA1361">
        <v>80</v>
      </c>
      <c r="AB1361">
        <v>0</v>
      </c>
      <c r="AC1361">
        <v>9</v>
      </c>
      <c r="AD1361">
        <v>3</v>
      </c>
      <c r="AE1361">
        <v>2</v>
      </c>
      <c r="AF1361">
        <v>4</v>
      </c>
      <c r="AG1361">
        <v>2</v>
      </c>
      <c r="AH1361">
        <v>0</v>
      </c>
      <c r="AI1361">
        <v>1</v>
      </c>
      <c r="AJ1361">
        <f t="shared" si="210"/>
        <v>0</v>
      </c>
      <c r="AK1361">
        <f t="shared" si="211"/>
        <v>1</v>
      </c>
      <c r="AL1361">
        <f t="shared" si="212"/>
        <v>0</v>
      </c>
      <c r="AM1361">
        <f t="shared" si="213"/>
        <v>3.25</v>
      </c>
      <c r="AN1361">
        <f t="shared" si="214"/>
        <v>19447.2</v>
      </c>
      <c r="AO1361">
        <f t="shared" si="215"/>
        <v>0.4</v>
      </c>
      <c r="AP1361" t="str">
        <f t="shared" si="216"/>
        <v>30-39</v>
      </c>
      <c r="AQ1361" t="str">
        <f t="shared" si="217"/>
        <v>High</v>
      </c>
      <c r="AR1361" t="str">
        <f t="shared" si="218"/>
        <v>Short</v>
      </c>
      <c r="AS1361">
        <f t="shared" si="219"/>
        <v>0</v>
      </c>
    </row>
    <row r="1362" spans="1:4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s="20">
        <v>3978</v>
      </c>
      <c r="T1362">
        <v>16031</v>
      </c>
      <c r="U1362">
        <v>8</v>
      </c>
      <c r="V1362" t="s">
        <v>42</v>
      </c>
      <c r="W1362" t="s">
        <v>43</v>
      </c>
      <c r="X1362" s="19">
        <v>12</v>
      </c>
      <c r="Y1362">
        <v>3</v>
      </c>
      <c r="Z1362">
        <v>2</v>
      </c>
      <c r="AA1362">
        <v>80</v>
      </c>
      <c r="AB1362">
        <v>1</v>
      </c>
      <c r="AC1362">
        <v>4</v>
      </c>
      <c r="AD1362">
        <v>0</v>
      </c>
      <c r="AE1362">
        <v>2</v>
      </c>
      <c r="AF1362">
        <v>2</v>
      </c>
      <c r="AG1362">
        <v>2</v>
      </c>
      <c r="AH1362">
        <v>2</v>
      </c>
      <c r="AI1362">
        <v>2</v>
      </c>
      <c r="AJ1362">
        <f t="shared" si="210"/>
        <v>0</v>
      </c>
      <c r="AK1362">
        <f t="shared" si="211"/>
        <v>0</v>
      </c>
      <c r="AL1362">
        <f t="shared" si="212"/>
        <v>0</v>
      </c>
      <c r="AM1362">
        <f t="shared" si="213"/>
        <v>2</v>
      </c>
      <c r="AN1362">
        <f t="shared" si="214"/>
        <v>15912</v>
      </c>
      <c r="AO1362">
        <f t="shared" si="215"/>
        <v>0.4</v>
      </c>
      <c r="AP1362" t="str">
        <f t="shared" si="216"/>
        <v>30-39</v>
      </c>
      <c r="AQ1362" t="str">
        <f t="shared" si="217"/>
        <v>Medium</v>
      </c>
      <c r="AR1362" t="str">
        <f t="shared" si="218"/>
        <v>Short</v>
      </c>
      <c r="AS1362">
        <f t="shared" si="219"/>
        <v>0</v>
      </c>
    </row>
    <row r="1363" spans="1:4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s="20">
        <v>2544</v>
      </c>
      <c r="T1363">
        <v>7102</v>
      </c>
      <c r="U1363">
        <v>0</v>
      </c>
      <c r="V1363" t="s">
        <v>42</v>
      </c>
      <c r="W1363" t="s">
        <v>43</v>
      </c>
      <c r="X1363" s="19">
        <v>18</v>
      </c>
      <c r="Y1363">
        <v>3</v>
      </c>
      <c r="Z1363">
        <v>1</v>
      </c>
      <c r="AA1363">
        <v>80</v>
      </c>
      <c r="AB1363">
        <v>1</v>
      </c>
      <c r="AC1363">
        <v>8</v>
      </c>
      <c r="AD1363">
        <v>3</v>
      </c>
      <c r="AE1363">
        <v>3</v>
      </c>
      <c r="AF1363">
        <v>7</v>
      </c>
      <c r="AG1363">
        <v>7</v>
      </c>
      <c r="AH1363">
        <v>7</v>
      </c>
      <c r="AI1363">
        <v>7</v>
      </c>
      <c r="AJ1363">
        <f t="shared" si="210"/>
        <v>0</v>
      </c>
      <c r="AK1363">
        <f t="shared" si="211"/>
        <v>0</v>
      </c>
      <c r="AL1363">
        <f t="shared" si="212"/>
        <v>1</v>
      </c>
      <c r="AM1363">
        <f t="shared" si="213"/>
        <v>2.75</v>
      </c>
      <c r="AN1363">
        <f t="shared" si="214"/>
        <v>3816</v>
      </c>
      <c r="AO1363">
        <f t="shared" si="215"/>
        <v>0.77777777777777779</v>
      </c>
      <c r="AP1363" t="str">
        <f t="shared" si="216"/>
        <v>Under 30</v>
      </c>
      <c r="AQ1363" t="str">
        <f t="shared" si="217"/>
        <v>Low</v>
      </c>
      <c r="AR1363" t="str">
        <f t="shared" si="218"/>
        <v>Medium</v>
      </c>
      <c r="AS1363">
        <f t="shared" si="219"/>
        <v>1</v>
      </c>
    </row>
    <row r="1364" spans="1:4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s="20">
        <v>5399</v>
      </c>
      <c r="T1364">
        <v>14511</v>
      </c>
      <c r="U1364">
        <v>4</v>
      </c>
      <c r="V1364" t="s">
        <v>42</v>
      </c>
      <c r="W1364" t="s">
        <v>43</v>
      </c>
      <c r="X1364" s="19">
        <v>12</v>
      </c>
      <c r="Y1364">
        <v>3</v>
      </c>
      <c r="Z1364">
        <v>3</v>
      </c>
      <c r="AA1364">
        <v>80</v>
      </c>
      <c r="AB1364">
        <v>0</v>
      </c>
      <c r="AC1364">
        <v>12</v>
      </c>
      <c r="AD1364">
        <v>3</v>
      </c>
      <c r="AE1364">
        <v>3</v>
      </c>
      <c r="AF1364">
        <v>4</v>
      </c>
      <c r="AG1364">
        <v>2</v>
      </c>
      <c r="AH1364">
        <v>0</v>
      </c>
      <c r="AI1364">
        <v>3</v>
      </c>
      <c r="AJ1364">
        <f t="shared" si="210"/>
        <v>0</v>
      </c>
      <c r="AK1364">
        <f t="shared" si="211"/>
        <v>0</v>
      </c>
      <c r="AL1364">
        <f t="shared" si="212"/>
        <v>1</v>
      </c>
      <c r="AM1364">
        <f t="shared" si="213"/>
        <v>2.75</v>
      </c>
      <c r="AN1364">
        <f t="shared" si="214"/>
        <v>12957.6</v>
      </c>
      <c r="AO1364">
        <f t="shared" si="215"/>
        <v>0.30769230769230771</v>
      </c>
      <c r="AP1364" t="str">
        <f t="shared" si="216"/>
        <v>40-49</v>
      </c>
      <c r="AQ1364" t="str">
        <f t="shared" si="217"/>
        <v>High</v>
      </c>
      <c r="AR1364" t="str">
        <f t="shared" si="218"/>
        <v>Short</v>
      </c>
      <c r="AS1364">
        <f t="shared" si="219"/>
        <v>1</v>
      </c>
    </row>
    <row r="1365" spans="1:4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s="20">
        <v>5487</v>
      </c>
      <c r="T1365">
        <v>10410</v>
      </c>
      <c r="U1365">
        <v>1</v>
      </c>
      <c r="V1365" t="s">
        <v>42</v>
      </c>
      <c r="W1365" t="s">
        <v>43</v>
      </c>
      <c r="X1365" s="19">
        <v>14</v>
      </c>
      <c r="Y1365">
        <v>3</v>
      </c>
      <c r="Z1365">
        <v>2</v>
      </c>
      <c r="AA1365">
        <v>80</v>
      </c>
      <c r="AB1365">
        <v>0</v>
      </c>
      <c r="AC1365">
        <v>10</v>
      </c>
      <c r="AD1365">
        <v>2</v>
      </c>
      <c r="AE1365">
        <v>2</v>
      </c>
      <c r="AF1365">
        <v>10</v>
      </c>
      <c r="AG1365">
        <v>4</v>
      </c>
      <c r="AH1365">
        <v>0</v>
      </c>
      <c r="AI1365">
        <v>9</v>
      </c>
      <c r="AJ1365">
        <f t="shared" si="210"/>
        <v>0</v>
      </c>
      <c r="AK1365">
        <f t="shared" si="211"/>
        <v>0</v>
      </c>
      <c r="AL1365">
        <f t="shared" si="212"/>
        <v>1</v>
      </c>
      <c r="AM1365">
        <f t="shared" si="213"/>
        <v>2.25</v>
      </c>
      <c r="AN1365">
        <f t="shared" si="214"/>
        <v>5985.818181818182</v>
      </c>
      <c r="AO1365">
        <f t="shared" si="215"/>
        <v>0.90909090909090906</v>
      </c>
      <c r="AP1365" t="str">
        <f t="shared" si="216"/>
        <v>30-39</v>
      </c>
      <c r="AQ1365" t="str">
        <f t="shared" si="217"/>
        <v>High</v>
      </c>
      <c r="AR1365" t="str">
        <f t="shared" si="218"/>
        <v>Medium</v>
      </c>
      <c r="AS1365">
        <f t="shared" si="219"/>
        <v>0</v>
      </c>
    </row>
    <row r="1366" spans="1:4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s="20">
        <v>6834</v>
      </c>
      <c r="T1366">
        <v>19255</v>
      </c>
      <c r="U1366">
        <v>1</v>
      </c>
      <c r="V1366" t="s">
        <v>42</v>
      </c>
      <c r="W1366" t="s">
        <v>35</v>
      </c>
      <c r="X1366" s="19">
        <v>12</v>
      </c>
      <c r="Y1366">
        <v>3</v>
      </c>
      <c r="Z1366">
        <v>3</v>
      </c>
      <c r="AA1366">
        <v>80</v>
      </c>
      <c r="AB1366">
        <v>1</v>
      </c>
      <c r="AC1366">
        <v>7</v>
      </c>
      <c r="AD1366">
        <v>2</v>
      </c>
      <c r="AE1366">
        <v>3</v>
      </c>
      <c r="AF1366">
        <v>7</v>
      </c>
      <c r="AG1366">
        <v>7</v>
      </c>
      <c r="AH1366">
        <v>0</v>
      </c>
      <c r="AI1366">
        <v>7</v>
      </c>
      <c r="AJ1366">
        <f t="shared" si="210"/>
        <v>0</v>
      </c>
      <c r="AK1366">
        <f t="shared" si="211"/>
        <v>1</v>
      </c>
      <c r="AL1366">
        <f t="shared" si="212"/>
        <v>1</v>
      </c>
      <c r="AM1366">
        <f t="shared" si="213"/>
        <v>3.25</v>
      </c>
      <c r="AN1366">
        <f t="shared" si="214"/>
        <v>10251</v>
      </c>
      <c r="AO1366">
        <f t="shared" si="215"/>
        <v>0.875</v>
      </c>
      <c r="AP1366" t="str">
        <f t="shared" si="216"/>
        <v>Under 30</v>
      </c>
      <c r="AQ1366" t="str">
        <f t="shared" si="217"/>
        <v>High</v>
      </c>
      <c r="AR1366" t="str">
        <f t="shared" si="218"/>
        <v>Short</v>
      </c>
      <c r="AS1366">
        <f t="shared" si="219"/>
        <v>1</v>
      </c>
    </row>
    <row r="1367" spans="1:4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s="20">
        <v>1091</v>
      </c>
      <c r="T1367">
        <v>10642</v>
      </c>
      <c r="U1367">
        <v>1</v>
      </c>
      <c r="V1367" t="s">
        <v>42</v>
      </c>
      <c r="W1367" t="s">
        <v>43</v>
      </c>
      <c r="X1367" s="19">
        <v>17</v>
      </c>
      <c r="Y1367">
        <v>3</v>
      </c>
      <c r="Z1367">
        <v>4</v>
      </c>
      <c r="AA1367">
        <v>80</v>
      </c>
      <c r="AB1367">
        <v>0</v>
      </c>
      <c r="AC1367">
        <v>1</v>
      </c>
      <c r="AD1367">
        <v>3</v>
      </c>
      <c r="AE1367">
        <v>3</v>
      </c>
      <c r="AF1367">
        <v>1</v>
      </c>
      <c r="AG1367">
        <v>0</v>
      </c>
      <c r="AH1367">
        <v>0</v>
      </c>
      <c r="AI1367">
        <v>0</v>
      </c>
      <c r="AJ1367">
        <f t="shared" si="210"/>
        <v>1</v>
      </c>
      <c r="AK1367">
        <f t="shared" si="211"/>
        <v>0</v>
      </c>
      <c r="AL1367">
        <f t="shared" si="212"/>
        <v>1</v>
      </c>
      <c r="AM1367">
        <f t="shared" si="213"/>
        <v>2.75</v>
      </c>
      <c r="AN1367">
        <f t="shared" si="214"/>
        <v>6546</v>
      </c>
      <c r="AO1367">
        <f t="shared" si="215"/>
        <v>0.5</v>
      </c>
      <c r="AP1367" t="str">
        <f t="shared" si="216"/>
        <v>Under 30</v>
      </c>
      <c r="AQ1367" t="str">
        <f t="shared" si="217"/>
        <v>Low</v>
      </c>
      <c r="AR1367" t="str">
        <f t="shared" si="218"/>
        <v>Long</v>
      </c>
      <c r="AS1367">
        <f t="shared" si="219"/>
        <v>1</v>
      </c>
    </row>
    <row r="1368" spans="1:4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s="20">
        <v>5736</v>
      </c>
      <c r="T1368">
        <v>3987</v>
      </c>
      <c r="U1368">
        <v>6</v>
      </c>
      <c r="V1368" t="s">
        <v>42</v>
      </c>
      <c r="W1368" t="s">
        <v>43</v>
      </c>
      <c r="X1368" s="19">
        <v>19</v>
      </c>
      <c r="Y1368">
        <v>3</v>
      </c>
      <c r="Z1368">
        <v>3</v>
      </c>
      <c r="AA1368">
        <v>80</v>
      </c>
      <c r="AB1368">
        <v>1</v>
      </c>
      <c r="AC1368">
        <v>10</v>
      </c>
      <c r="AD1368">
        <v>1</v>
      </c>
      <c r="AE1368">
        <v>3</v>
      </c>
      <c r="AF1368">
        <v>3</v>
      </c>
      <c r="AG1368">
        <v>2</v>
      </c>
      <c r="AH1368">
        <v>1</v>
      </c>
      <c r="AI1368">
        <v>2</v>
      </c>
      <c r="AJ1368">
        <f t="shared" si="210"/>
        <v>0</v>
      </c>
      <c r="AK1368">
        <f t="shared" si="211"/>
        <v>0</v>
      </c>
      <c r="AL1368">
        <f t="shared" si="212"/>
        <v>0</v>
      </c>
      <c r="AM1368">
        <f t="shared" si="213"/>
        <v>2.5</v>
      </c>
      <c r="AN1368">
        <f t="shared" si="214"/>
        <v>17208</v>
      </c>
      <c r="AO1368">
        <f t="shared" si="215"/>
        <v>0.27272727272727271</v>
      </c>
      <c r="AP1368" t="str">
        <f t="shared" si="216"/>
        <v>30-39</v>
      </c>
      <c r="AQ1368" t="str">
        <f t="shared" si="217"/>
        <v>High</v>
      </c>
      <c r="AR1368" t="str">
        <f t="shared" si="218"/>
        <v>Long</v>
      </c>
      <c r="AS1368">
        <f t="shared" si="219"/>
        <v>0</v>
      </c>
    </row>
    <row r="1369" spans="1:4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s="20">
        <v>2226</v>
      </c>
      <c r="T1369">
        <v>6073</v>
      </c>
      <c r="U1369">
        <v>1</v>
      </c>
      <c r="V1369" t="s">
        <v>42</v>
      </c>
      <c r="W1369" t="s">
        <v>43</v>
      </c>
      <c r="X1369" s="19">
        <v>11</v>
      </c>
      <c r="Y1369">
        <v>3</v>
      </c>
      <c r="Z1369">
        <v>3</v>
      </c>
      <c r="AA1369">
        <v>80</v>
      </c>
      <c r="AB1369">
        <v>1</v>
      </c>
      <c r="AC1369">
        <v>6</v>
      </c>
      <c r="AD1369">
        <v>3</v>
      </c>
      <c r="AE1369">
        <v>2</v>
      </c>
      <c r="AF1369">
        <v>5</v>
      </c>
      <c r="AG1369">
        <v>3</v>
      </c>
      <c r="AH1369">
        <v>1</v>
      </c>
      <c r="AI1369">
        <v>2</v>
      </c>
      <c r="AJ1369">
        <f t="shared" si="210"/>
        <v>0</v>
      </c>
      <c r="AK1369">
        <f t="shared" si="211"/>
        <v>0</v>
      </c>
      <c r="AL1369">
        <f t="shared" si="212"/>
        <v>1</v>
      </c>
      <c r="AM1369">
        <f t="shared" si="213"/>
        <v>2.25</v>
      </c>
      <c r="AN1369">
        <f t="shared" si="214"/>
        <v>4452</v>
      </c>
      <c r="AO1369">
        <f t="shared" si="215"/>
        <v>0.7142857142857143</v>
      </c>
      <c r="AP1369" t="str">
        <f t="shared" si="216"/>
        <v>Under 30</v>
      </c>
      <c r="AQ1369" t="str">
        <f t="shared" si="217"/>
        <v>Low</v>
      </c>
      <c r="AR1369" t="str">
        <f t="shared" si="218"/>
        <v>Short</v>
      </c>
      <c r="AS1369">
        <f t="shared" si="219"/>
        <v>0</v>
      </c>
    </row>
    <row r="1370" spans="1:4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s="20">
        <v>5747</v>
      </c>
      <c r="T1370">
        <v>26496</v>
      </c>
      <c r="U1370">
        <v>1</v>
      </c>
      <c r="V1370" t="s">
        <v>42</v>
      </c>
      <c r="W1370" t="s">
        <v>35</v>
      </c>
      <c r="X1370" s="19">
        <v>15</v>
      </c>
      <c r="Y1370">
        <v>3</v>
      </c>
      <c r="Z1370">
        <v>2</v>
      </c>
      <c r="AA1370">
        <v>80</v>
      </c>
      <c r="AB1370">
        <v>0</v>
      </c>
      <c r="AC1370">
        <v>16</v>
      </c>
      <c r="AD1370">
        <v>3</v>
      </c>
      <c r="AE1370">
        <v>3</v>
      </c>
      <c r="AF1370">
        <v>15</v>
      </c>
      <c r="AG1370">
        <v>10</v>
      </c>
      <c r="AH1370">
        <v>6</v>
      </c>
      <c r="AI1370">
        <v>11</v>
      </c>
      <c r="AJ1370">
        <f t="shared" si="210"/>
        <v>0</v>
      </c>
      <c r="AK1370">
        <f t="shared" si="211"/>
        <v>1</v>
      </c>
      <c r="AL1370">
        <f t="shared" si="212"/>
        <v>1</v>
      </c>
      <c r="AM1370">
        <f t="shared" si="213"/>
        <v>3</v>
      </c>
      <c r="AN1370">
        <f t="shared" si="214"/>
        <v>4310.25</v>
      </c>
      <c r="AO1370">
        <f t="shared" si="215"/>
        <v>0.88235294117647056</v>
      </c>
      <c r="AP1370" t="str">
        <f t="shared" si="216"/>
        <v>30-39</v>
      </c>
      <c r="AQ1370" t="str">
        <f t="shared" si="217"/>
        <v>High</v>
      </c>
      <c r="AR1370" t="str">
        <f t="shared" si="218"/>
        <v>Long</v>
      </c>
      <c r="AS1370">
        <f t="shared" si="219"/>
        <v>1</v>
      </c>
    </row>
    <row r="1371" spans="1:4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s="20">
        <v>9854</v>
      </c>
      <c r="T1371">
        <v>23352</v>
      </c>
      <c r="U1371">
        <v>3</v>
      </c>
      <c r="V1371" t="s">
        <v>42</v>
      </c>
      <c r="W1371" t="s">
        <v>35</v>
      </c>
      <c r="X1371" s="19">
        <v>11</v>
      </c>
      <c r="Y1371">
        <v>3</v>
      </c>
      <c r="Z1371">
        <v>4</v>
      </c>
      <c r="AA1371">
        <v>80</v>
      </c>
      <c r="AB1371">
        <v>0</v>
      </c>
      <c r="AC1371">
        <v>6</v>
      </c>
      <c r="AD1371">
        <v>0</v>
      </c>
      <c r="AE1371">
        <v>3</v>
      </c>
      <c r="AF1371">
        <v>2</v>
      </c>
      <c r="AG1371">
        <v>0</v>
      </c>
      <c r="AH1371">
        <v>2</v>
      </c>
      <c r="AI1371">
        <v>2</v>
      </c>
      <c r="AJ1371">
        <f t="shared" si="210"/>
        <v>1</v>
      </c>
      <c r="AK1371">
        <f t="shared" si="211"/>
        <v>1</v>
      </c>
      <c r="AL1371">
        <f t="shared" si="212"/>
        <v>0</v>
      </c>
      <c r="AM1371">
        <f t="shared" si="213"/>
        <v>3.5</v>
      </c>
      <c r="AN1371">
        <f t="shared" si="214"/>
        <v>39416</v>
      </c>
      <c r="AO1371">
        <f t="shared" si="215"/>
        <v>0.2857142857142857</v>
      </c>
      <c r="AP1371" t="str">
        <f t="shared" si="216"/>
        <v>Under 30</v>
      </c>
      <c r="AQ1371" t="str">
        <f t="shared" si="217"/>
        <v>Very High</v>
      </c>
      <c r="AR1371" t="str">
        <f t="shared" si="218"/>
        <v>Medium</v>
      </c>
      <c r="AS1371">
        <f t="shared" si="219"/>
        <v>0</v>
      </c>
    </row>
    <row r="1372" spans="1:4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s="20">
        <v>5467</v>
      </c>
      <c r="T1372">
        <v>2125</v>
      </c>
      <c r="U1372">
        <v>8</v>
      </c>
      <c r="V1372" t="s">
        <v>42</v>
      </c>
      <c r="W1372" t="s">
        <v>43</v>
      </c>
      <c r="X1372" s="19">
        <v>18</v>
      </c>
      <c r="Y1372">
        <v>3</v>
      </c>
      <c r="Z1372">
        <v>3</v>
      </c>
      <c r="AA1372">
        <v>80</v>
      </c>
      <c r="AB1372">
        <v>1</v>
      </c>
      <c r="AC1372">
        <v>16</v>
      </c>
      <c r="AD1372">
        <v>4</v>
      </c>
      <c r="AE1372">
        <v>4</v>
      </c>
      <c r="AF1372">
        <v>8</v>
      </c>
      <c r="AG1372">
        <v>7</v>
      </c>
      <c r="AH1372">
        <v>1</v>
      </c>
      <c r="AI1372">
        <v>7</v>
      </c>
      <c r="AJ1372">
        <f t="shared" si="210"/>
        <v>0</v>
      </c>
      <c r="AK1372">
        <f t="shared" si="211"/>
        <v>0</v>
      </c>
      <c r="AL1372">
        <f t="shared" si="212"/>
        <v>1</v>
      </c>
      <c r="AM1372">
        <f t="shared" si="213"/>
        <v>3</v>
      </c>
      <c r="AN1372">
        <f t="shared" si="214"/>
        <v>7289.333333333333</v>
      </c>
      <c r="AO1372">
        <f t="shared" si="215"/>
        <v>0.47058823529411764</v>
      </c>
      <c r="AP1372" t="str">
        <f t="shared" si="216"/>
        <v>40-49</v>
      </c>
      <c r="AQ1372" t="str">
        <f t="shared" si="217"/>
        <v>High</v>
      </c>
      <c r="AR1372" t="str">
        <f t="shared" si="218"/>
        <v>Medium</v>
      </c>
      <c r="AS1372">
        <f t="shared" si="219"/>
        <v>0</v>
      </c>
    </row>
    <row r="1373" spans="1:4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s="20">
        <v>5380</v>
      </c>
      <c r="T1373">
        <v>20328</v>
      </c>
      <c r="U1373">
        <v>4</v>
      </c>
      <c r="V1373" t="s">
        <v>42</v>
      </c>
      <c r="W1373" t="s">
        <v>43</v>
      </c>
      <c r="X1373" s="19">
        <v>16</v>
      </c>
      <c r="Y1373">
        <v>3</v>
      </c>
      <c r="Z1373">
        <v>3</v>
      </c>
      <c r="AA1373">
        <v>80</v>
      </c>
      <c r="AB1373">
        <v>1</v>
      </c>
      <c r="AC1373">
        <v>6</v>
      </c>
      <c r="AD1373">
        <v>3</v>
      </c>
      <c r="AE1373">
        <v>3</v>
      </c>
      <c r="AF1373">
        <v>0</v>
      </c>
      <c r="AG1373">
        <v>0</v>
      </c>
      <c r="AH1373">
        <v>0</v>
      </c>
      <c r="AI1373">
        <v>0</v>
      </c>
      <c r="AJ1373">
        <f t="shared" si="210"/>
        <v>0</v>
      </c>
      <c r="AK1373">
        <f t="shared" si="211"/>
        <v>0</v>
      </c>
      <c r="AL1373">
        <f t="shared" si="212"/>
        <v>0</v>
      </c>
      <c r="AM1373">
        <f t="shared" si="213"/>
        <v>2.75</v>
      </c>
      <c r="AN1373">
        <f t="shared" si="214"/>
        <v>64560</v>
      </c>
      <c r="AO1373">
        <f t="shared" si="215"/>
        <v>0</v>
      </c>
      <c r="AP1373" t="str">
        <f t="shared" si="216"/>
        <v>50+</v>
      </c>
      <c r="AQ1373" t="str">
        <f t="shared" si="217"/>
        <v>High</v>
      </c>
      <c r="AR1373" t="str">
        <f t="shared" si="218"/>
        <v>Medium</v>
      </c>
      <c r="AS1373">
        <f t="shared" si="219"/>
        <v>0</v>
      </c>
    </row>
    <row r="1374" spans="1:4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s="20">
        <v>5151</v>
      </c>
      <c r="T1374">
        <v>12315</v>
      </c>
      <c r="U1374">
        <v>1</v>
      </c>
      <c r="V1374" t="s">
        <v>42</v>
      </c>
      <c r="W1374" t="s">
        <v>43</v>
      </c>
      <c r="X1374" s="19">
        <v>25</v>
      </c>
      <c r="Y1374">
        <v>4</v>
      </c>
      <c r="Z1374">
        <v>4</v>
      </c>
      <c r="AA1374">
        <v>80</v>
      </c>
      <c r="AB1374">
        <v>1</v>
      </c>
      <c r="AC1374">
        <v>10</v>
      </c>
      <c r="AD1374">
        <v>3</v>
      </c>
      <c r="AE1374">
        <v>3</v>
      </c>
      <c r="AF1374">
        <v>10</v>
      </c>
      <c r="AG1374">
        <v>0</v>
      </c>
      <c r="AH1374">
        <v>7</v>
      </c>
      <c r="AI1374">
        <v>9</v>
      </c>
      <c r="AJ1374">
        <f t="shared" si="210"/>
        <v>0</v>
      </c>
      <c r="AK1374">
        <f t="shared" si="211"/>
        <v>0</v>
      </c>
      <c r="AL1374">
        <f t="shared" si="212"/>
        <v>1</v>
      </c>
      <c r="AM1374">
        <f t="shared" si="213"/>
        <v>2.25</v>
      </c>
      <c r="AN1374">
        <f t="shared" si="214"/>
        <v>5619.272727272727</v>
      </c>
      <c r="AO1374">
        <f t="shared" si="215"/>
        <v>0.90909090909090906</v>
      </c>
      <c r="AP1374" t="str">
        <f t="shared" si="216"/>
        <v>30-39</v>
      </c>
      <c r="AQ1374" t="str">
        <f t="shared" si="217"/>
        <v>High</v>
      </c>
      <c r="AR1374" t="str">
        <f t="shared" si="218"/>
        <v>Medium</v>
      </c>
      <c r="AS1374">
        <f t="shared" si="219"/>
        <v>0</v>
      </c>
    </row>
    <row r="1375" spans="1:4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s="20">
        <v>2133</v>
      </c>
      <c r="T1375">
        <v>18115</v>
      </c>
      <c r="U1375">
        <v>1</v>
      </c>
      <c r="V1375" t="s">
        <v>42</v>
      </c>
      <c r="W1375" t="s">
        <v>35</v>
      </c>
      <c r="X1375" s="19">
        <v>16</v>
      </c>
      <c r="Y1375">
        <v>3</v>
      </c>
      <c r="Z1375">
        <v>3</v>
      </c>
      <c r="AA1375">
        <v>80</v>
      </c>
      <c r="AB1375">
        <v>1</v>
      </c>
      <c r="AC1375">
        <v>20</v>
      </c>
      <c r="AD1375">
        <v>3</v>
      </c>
      <c r="AE1375">
        <v>3</v>
      </c>
      <c r="AF1375">
        <v>20</v>
      </c>
      <c r="AG1375">
        <v>11</v>
      </c>
      <c r="AH1375">
        <v>0</v>
      </c>
      <c r="AI1375">
        <v>7</v>
      </c>
      <c r="AJ1375">
        <f t="shared" si="210"/>
        <v>0</v>
      </c>
      <c r="AK1375">
        <f t="shared" si="211"/>
        <v>1</v>
      </c>
      <c r="AL1375">
        <f t="shared" si="212"/>
        <v>0</v>
      </c>
      <c r="AM1375">
        <f t="shared" si="213"/>
        <v>3</v>
      </c>
      <c r="AN1375">
        <f t="shared" si="214"/>
        <v>1218.8571428571429</v>
      </c>
      <c r="AO1375">
        <f t="shared" si="215"/>
        <v>0.95238095238095233</v>
      </c>
      <c r="AP1375" t="str">
        <f t="shared" si="216"/>
        <v>30-39</v>
      </c>
      <c r="AQ1375" t="str">
        <f t="shared" si="217"/>
        <v>Low</v>
      </c>
      <c r="AR1375" t="str">
        <f t="shared" si="218"/>
        <v>Medium</v>
      </c>
      <c r="AS1375">
        <f t="shared" si="219"/>
        <v>1</v>
      </c>
    </row>
    <row r="1376" spans="1:4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s="20">
        <v>17875</v>
      </c>
      <c r="T1376">
        <v>11761</v>
      </c>
      <c r="U1376">
        <v>4</v>
      </c>
      <c r="V1376" t="s">
        <v>42</v>
      </c>
      <c r="W1376" t="s">
        <v>35</v>
      </c>
      <c r="X1376" s="19">
        <v>13</v>
      </c>
      <c r="Y1376">
        <v>3</v>
      </c>
      <c r="Z1376">
        <v>3</v>
      </c>
      <c r="AA1376">
        <v>80</v>
      </c>
      <c r="AB1376">
        <v>1</v>
      </c>
      <c r="AC1376">
        <v>29</v>
      </c>
      <c r="AD1376">
        <v>2</v>
      </c>
      <c r="AE1376">
        <v>2</v>
      </c>
      <c r="AF1376">
        <v>1</v>
      </c>
      <c r="AG1376">
        <v>0</v>
      </c>
      <c r="AH1376">
        <v>0</v>
      </c>
      <c r="AI1376">
        <v>0</v>
      </c>
      <c r="AJ1376">
        <f t="shared" si="210"/>
        <v>0</v>
      </c>
      <c r="AK1376">
        <f t="shared" si="211"/>
        <v>1</v>
      </c>
      <c r="AL1376">
        <f t="shared" si="212"/>
        <v>0</v>
      </c>
      <c r="AM1376">
        <f t="shared" si="213"/>
        <v>3.25</v>
      </c>
      <c r="AN1376">
        <f t="shared" si="214"/>
        <v>107250</v>
      </c>
      <c r="AO1376">
        <f t="shared" si="215"/>
        <v>3.3333333333333333E-2</v>
      </c>
      <c r="AP1376" t="str">
        <f t="shared" si="216"/>
        <v>50+</v>
      </c>
      <c r="AQ1376" t="str">
        <f t="shared" si="217"/>
        <v>Very High</v>
      </c>
      <c r="AR1376" t="str">
        <f t="shared" si="218"/>
        <v>Long</v>
      </c>
      <c r="AS1376">
        <f t="shared" si="219"/>
        <v>0</v>
      </c>
    </row>
    <row r="1377" spans="1:4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s="20">
        <v>2432</v>
      </c>
      <c r="T1377">
        <v>15318</v>
      </c>
      <c r="U1377">
        <v>3</v>
      </c>
      <c r="V1377" t="s">
        <v>42</v>
      </c>
      <c r="W1377" t="s">
        <v>35</v>
      </c>
      <c r="X1377" s="19">
        <v>14</v>
      </c>
      <c r="Y1377">
        <v>3</v>
      </c>
      <c r="Z1377">
        <v>1</v>
      </c>
      <c r="AA1377">
        <v>80</v>
      </c>
      <c r="AB1377">
        <v>0</v>
      </c>
      <c r="AC1377">
        <v>8</v>
      </c>
      <c r="AD1377">
        <v>2</v>
      </c>
      <c r="AE1377">
        <v>3</v>
      </c>
      <c r="AF1377">
        <v>4</v>
      </c>
      <c r="AG1377">
        <v>1</v>
      </c>
      <c r="AH1377">
        <v>0</v>
      </c>
      <c r="AI1377">
        <v>3</v>
      </c>
      <c r="AJ1377">
        <f t="shared" si="210"/>
        <v>1</v>
      </c>
      <c r="AK1377">
        <f t="shared" si="211"/>
        <v>1</v>
      </c>
      <c r="AL1377">
        <f t="shared" si="212"/>
        <v>0</v>
      </c>
      <c r="AM1377">
        <f t="shared" si="213"/>
        <v>2</v>
      </c>
      <c r="AN1377">
        <f t="shared" si="214"/>
        <v>5836.8</v>
      </c>
      <c r="AO1377">
        <f t="shared" si="215"/>
        <v>0.44444444444444442</v>
      </c>
      <c r="AP1377" t="str">
        <f t="shared" si="216"/>
        <v>30-39</v>
      </c>
      <c r="AQ1377" t="str">
        <f t="shared" si="217"/>
        <v>Low</v>
      </c>
      <c r="AR1377" t="str">
        <f t="shared" si="218"/>
        <v>Short</v>
      </c>
      <c r="AS1377">
        <f t="shared" si="219"/>
        <v>1</v>
      </c>
    </row>
    <row r="1378" spans="1:4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s="20">
        <v>4771</v>
      </c>
      <c r="T1378">
        <v>14293</v>
      </c>
      <c r="U1378">
        <v>2</v>
      </c>
      <c r="V1378" t="s">
        <v>42</v>
      </c>
      <c r="W1378" t="s">
        <v>43</v>
      </c>
      <c r="X1378" s="19">
        <v>19</v>
      </c>
      <c r="Y1378">
        <v>3</v>
      </c>
      <c r="Z1378">
        <v>4</v>
      </c>
      <c r="AA1378">
        <v>80</v>
      </c>
      <c r="AB1378">
        <v>2</v>
      </c>
      <c r="AC1378">
        <v>10</v>
      </c>
      <c r="AD1378">
        <v>0</v>
      </c>
      <c r="AE1378">
        <v>4</v>
      </c>
      <c r="AF1378">
        <v>5</v>
      </c>
      <c r="AG1378">
        <v>2</v>
      </c>
      <c r="AH1378">
        <v>0</v>
      </c>
      <c r="AI1378">
        <v>3</v>
      </c>
      <c r="AJ1378">
        <f t="shared" si="210"/>
        <v>0</v>
      </c>
      <c r="AK1378">
        <f t="shared" si="211"/>
        <v>0</v>
      </c>
      <c r="AL1378">
        <f t="shared" si="212"/>
        <v>1</v>
      </c>
      <c r="AM1378">
        <f t="shared" si="213"/>
        <v>3.5</v>
      </c>
      <c r="AN1378">
        <f t="shared" si="214"/>
        <v>9542</v>
      </c>
      <c r="AO1378">
        <f t="shared" si="215"/>
        <v>0.45454545454545453</v>
      </c>
      <c r="AP1378" t="str">
        <f t="shared" si="216"/>
        <v>30-39</v>
      </c>
      <c r="AQ1378" t="str">
        <f t="shared" si="217"/>
        <v>Medium</v>
      </c>
      <c r="AR1378" t="str">
        <f t="shared" si="218"/>
        <v>Medium</v>
      </c>
      <c r="AS1378">
        <f t="shared" si="219"/>
        <v>0</v>
      </c>
    </row>
    <row r="1379" spans="1:4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s="20">
        <v>19161</v>
      </c>
      <c r="T1379">
        <v>13738</v>
      </c>
      <c r="U1379">
        <v>3</v>
      </c>
      <c r="V1379" t="s">
        <v>42</v>
      </c>
      <c r="W1379" t="s">
        <v>43</v>
      </c>
      <c r="X1379" s="19">
        <v>15</v>
      </c>
      <c r="Y1379">
        <v>3</v>
      </c>
      <c r="Z1379">
        <v>4</v>
      </c>
      <c r="AA1379">
        <v>80</v>
      </c>
      <c r="AB1379">
        <v>0</v>
      </c>
      <c r="AC1379">
        <v>28</v>
      </c>
      <c r="AD1379">
        <v>3</v>
      </c>
      <c r="AE1379">
        <v>3</v>
      </c>
      <c r="AF1379">
        <v>5</v>
      </c>
      <c r="AG1379">
        <v>4</v>
      </c>
      <c r="AH1379">
        <v>4</v>
      </c>
      <c r="AI1379">
        <v>3</v>
      </c>
      <c r="AJ1379">
        <f t="shared" si="210"/>
        <v>0</v>
      </c>
      <c r="AK1379">
        <f t="shared" si="211"/>
        <v>0</v>
      </c>
      <c r="AL1379">
        <f t="shared" si="212"/>
        <v>1</v>
      </c>
      <c r="AM1379">
        <f t="shared" si="213"/>
        <v>3.25</v>
      </c>
      <c r="AN1379">
        <f t="shared" si="214"/>
        <v>38322</v>
      </c>
      <c r="AO1379">
        <f t="shared" si="215"/>
        <v>0.17241379310344829</v>
      </c>
      <c r="AP1379" t="str">
        <f t="shared" si="216"/>
        <v>40-49</v>
      </c>
      <c r="AQ1379" t="str">
        <f t="shared" si="217"/>
        <v>Very High</v>
      </c>
      <c r="AR1379" t="str">
        <f t="shared" si="218"/>
        <v>Short</v>
      </c>
      <c r="AS1379">
        <f t="shared" si="219"/>
        <v>1</v>
      </c>
    </row>
    <row r="1380" spans="1:4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s="20">
        <v>5087</v>
      </c>
      <c r="T1380">
        <v>2900</v>
      </c>
      <c r="U1380">
        <v>3</v>
      </c>
      <c r="V1380" t="s">
        <v>42</v>
      </c>
      <c r="W1380" t="s">
        <v>35</v>
      </c>
      <c r="X1380" s="19">
        <v>12</v>
      </c>
      <c r="Y1380">
        <v>3</v>
      </c>
      <c r="Z1380">
        <v>3</v>
      </c>
      <c r="AA1380">
        <v>80</v>
      </c>
      <c r="AB1380">
        <v>2</v>
      </c>
      <c r="AC1380">
        <v>14</v>
      </c>
      <c r="AD1380">
        <v>4</v>
      </c>
      <c r="AE1380">
        <v>3</v>
      </c>
      <c r="AF1380">
        <v>0</v>
      </c>
      <c r="AG1380">
        <v>0</v>
      </c>
      <c r="AH1380">
        <v>0</v>
      </c>
      <c r="AI1380">
        <v>0</v>
      </c>
      <c r="AJ1380">
        <f t="shared" si="210"/>
        <v>0</v>
      </c>
      <c r="AK1380">
        <f t="shared" si="211"/>
        <v>1</v>
      </c>
      <c r="AL1380">
        <f t="shared" si="212"/>
        <v>1</v>
      </c>
      <c r="AM1380">
        <f t="shared" si="213"/>
        <v>3</v>
      </c>
      <c r="AN1380">
        <f t="shared" si="214"/>
        <v>61044</v>
      </c>
      <c r="AO1380">
        <f t="shared" si="215"/>
        <v>0</v>
      </c>
      <c r="AP1380" t="str">
        <f t="shared" si="216"/>
        <v>40-49</v>
      </c>
      <c r="AQ1380" t="str">
        <f t="shared" si="217"/>
        <v>High</v>
      </c>
      <c r="AR1380" t="str">
        <f t="shared" si="218"/>
        <v>Medium</v>
      </c>
      <c r="AS1380">
        <f t="shared" si="219"/>
        <v>0</v>
      </c>
    </row>
    <row r="1381" spans="1:4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s="20">
        <v>2863</v>
      </c>
      <c r="T1381">
        <v>19555</v>
      </c>
      <c r="U1381">
        <v>1</v>
      </c>
      <c r="V1381" t="s">
        <v>42</v>
      </c>
      <c r="W1381" t="s">
        <v>43</v>
      </c>
      <c r="X1381" s="19">
        <v>12</v>
      </c>
      <c r="Y1381">
        <v>3</v>
      </c>
      <c r="Z1381">
        <v>1</v>
      </c>
      <c r="AA1381">
        <v>80</v>
      </c>
      <c r="AB1381">
        <v>0</v>
      </c>
      <c r="AC1381">
        <v>1</v>
      </c>
      <c r="AD1381">
        <v>2</v>
      </c>
      <c r="AE1381">
        <v>3</v>
      </c>
      <c r="AF1381">
        <v>1</v>
      </c>
      <c r="AG1381">
        <v>0</v>
      </c>
      <c r="AH1381">
        <v>0</v>
      </c>
      <c r="AI1381">
        <v>0</v>
      </c>
      <c r="AJ1381">
        <f t="shared" si="210"/>
        <v>1</v>
      </c>
      <c r="AK1381">
        <f t="shared" si="211"/>
        <v>0</v>
      </c>
      <c r="AL1381">
        <f t="shared" si="212"/>
        <v>0</v>
      </c>
      <c r="AM1381">
        <f t="shared" si="213"/>
        <v>1.75</v>
      </c>
      <c r="AN1381">
        <f t="shared" si="214"/>
        <v>17178</v>
      </c>
      <c r="AO1381">
        <f t="shared" si="215"/>
        <v>0.5</v>
      </c>
      <c r="AP1381" t="str">
        <f t="shared" si="216"/>
        <v>Under 30</v>
      </c>
      <c r="AQ1381" t="str">
        <f t="shared" si="217"/>
        <v>Low</v>
      </c>
      <c r="AR1381" t="str">
        <f t="shared" si="218"/>
        <v>Long</v>
      </c>
      <c r="AS1381">
        <f t="shared" si="219"/>
        <v>1</v>
      </c>
    </row>
    <row r="1382" spans="1:4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s="20">
        <v>5561</v>
      </c>
      <c r="T1382">
        <v>15975</v>
      </c>
      <c r="U1382">
        <v>0</v>
      </c>
      <c r="V1382" t="s">
        <v>42</v>
      </c>
      <c r="W1382" t="s">
        <v>43</v>
      </c>
      <c r="X1382" s="19">
        <v>16</v>
      </c>
      <c r="Y1382">
        <v>3</v>
      </c>
      <c r="Z1382">
        <v>4</v>
      </c>
      <c r="AA1382">
        <v>80</v>
      </c>
      <c r="AB1382">
        <v>1</v>
      </c>
      <c r="AC1382">
        <v>6</v>
      </c>
      <c r="AD1382">
        <v>2</v>
      </c>
      <c r="AE1382">
        <v>1</v>
      </c>
      <c r="AF1382">
        <v>5</v>
      </c>
      <c r="AG1382">
        <v>3</v>
      </c>
      <c r="AH1382">
        <v>0</v>
      </c>
      <c r="AI1382">
        <v>4</v>
      </c>
      <c r="AJ1382">
        <f t="shared" si="210"/>
        <v>0</v>
      </c>
      <c r="AK1382">
        <f t="shared" si="211"/>
        <v>0</v>
      </c>
      <c r="AL1382">
        <f t="shared" si="212"/>
        <v>1</v>
      </c>
      <c r="AM1382">
        <f t="shared" si="213"/>
        <v>2</v>
      </c>
      <c r="AN1382">
        <f t="shared" si="214"/>
        <v>11122</v>
      </c>
      <c r="AO1382">
        <f t="shared" si="215"/>
        <v>0.7142857142857143</v>
      </c>
      <c r="AP1382" t="str">
        <f t="shared" si="216"/>
        <v>30-39</v>
      </c>
      <c r="AQ1382" t="str">
        <f t="shared" si="217"/>
        <v>High</v>
      </c>
      <c r="AR1382" t="str">
        <f t="shared" si="218"/>
        <v>Long</v>
      </c>
      <c r="AS1382">
        <f t="shared" si="219"/>
        <v>0</v>
      </c>
    </row>
    <row r="1383" spans="1:4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s="20">
        <v>2144</v>
      </c>
      <c r="T1383">
        <v>2122</v>
      </c>
      <c r="U1383">
        <v>1</v>
      </c>
      <c r="V1383" t="s">
        <v>42</v>
      </c>
      <c r="W1383" t="s">
        <v>43</v>
      </c>
      <c r="X1383" s="19">
        <v>14</v>
      </c>
      <c r="Y1383">
        <v>3</v>
      </c>
      <c r="Z1383">
        <v>3</v>
      </c>
      <c r="AA1383">
        <v>80</v>
      </c>
      <c r="AB1383">
        <v>0</v>
      </c>
      <c r="AC1383">
        <v>5</v>
      </c>
      <c r="AD1383">
        <v>3</v>
      </c>
      <c r="AE1383">
        <v>2</v>
      </c>
      <c r="AF1383">
        <v>5</v>
      </c>
      <c r="AG1383">
        <v>3</v>
      </c>
      <c r="AH1383">
        <v>1</v>
      </c>
      <c r="AI1383">
        <v>4</v>
      </c>
      <c r="AJ1383">
        <f t="shared" si="210"/>
        <v>0</v>
      </c>
      <c r="AK1383">
        <f t="shared" si="211"/>
        <v>0</v>
      </c>
      <c r="AL1383">
        <f t="shared" si="212"/>
        <v>1</v>
      </c>
      <c r="AM1383">
        <f t="shared" si="213"/>
        <v>2.75</v>
      </c>
      <c r="AN1383">
        <f t="shared" si="214"/>
        <v>4288</v>
      </c>
      <c r="AO1383">
        <f t="shared" si="215"/>
        <v>0.83333333333333337</v>
      </c>
      <c r="AP1383" t="str">
        <f t="shared" si="216"/>
        <v>Under 30</v>
      </c>
      <c r="AQ1383" t="str">
        <f t="shared" si="217"/>
        <v>Low</v>
      </c>
      <c r="AR1383" t="str">
        <f t="shared" si="218"/>
        <v>Long</v>
      </c>
      <c r="AS1383">
        <f t="shared" si="219"/>
        <v>0</v>
      </c>
    </row>
    <row r="1384" spans="1:4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s="20">
        <v>3065</v>
      </c>
      <c r="T1384">
        <v>3995</v>
      </c>
      <c r="U1384">
        <v>1</v>
      </c>
      <c r="V1384" t="s">
        <v>42</v>
      </c>
      <c r="W1384" t="s">
        <v>35</v>
      </c>
      <c r="X1384" s="19">
        <v>13</v>
      </c>
      <c r="Y1384">
        <v>3</v>
      </c>
      <c r="Z1384">
        <v>4</v>
      </c>
      <c r="AA1384">
        <v>80</v>
      </c>
      <c r="AB1384">
        <v>1</v>
      </c>
      <c r="AC1384">
        <v>4</v>
      </c>
      <c r="AD1384">
        <v>3</v>
      </c>
      <c r="AE1384">
        <v>4</v>
      </c>
      <c r="AF1384">
        <v>4</v>
      </c>
      <c r="AG1384">
        <v>2</v>
      </c>
      <c r="AH1384">
        <v>2</v>
      </c>
      <c r="AI1384">
        <v>3</v>
      </c>
      <c r="AJ1384">
        <f t="shared" si="210"/>
        <v>0</v>
      </c>
      <c r="AK1384">
        <f t="shared" si="211"/>
        <v>1</v>
      </c>
      <c r="AL1384">
        <f t="shared" si="212"/>
        <v>1</v>
      </c>
      <c r="AM1384">
        <f t="shared" si="213"/>
        <v>3</v>
      </c>
      <c r="AN1384">
        <f t="shared" si="214"/>
        <v>7356</v>
      </c>
      <c r="AO1384">
        <f t="shared" si="215"/>
        <v>0.8</v>
      </c>
      <c r="AP1384" t="str">
        <f t="shared" si="216"/>
        <v>30-39</v>
      </c>
      <c r="AQ1384" t="str">
        <f t="shared" si="217"/>
        <v>Medium</v>
      </c>
      <c r="AR1384" t="str">
        <f t="shared" si="218"/>
        <v>Short</v>
      </c>
      <c r="AS1384">
        <f t="shared" si="219"/>
        <v>0</v>
      </c>
    </row>
    <row r="1385" spans="1:4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s="20">
        <v>2810</v>
      </c>
      <c r="T1385">
        <v>9238</v>
      </c>
      <c r="U1385">
        <v>1</v>
      </c>
      <c r="V1385" t="s">
        <v>42</v>
      </c>
      <c r="W1385" t="s">
        <v>43</v>
      </c>
      <c r="X1385" s="19">
        <v>22</v>
      </c>
      <c r="Y1385">
        <v>4</v>
      </c>
      <c r="Z1385">
        <v>2</v>
      </c>
      <c r="AA1385">
        <v>80</v>
      </c>
      <c r="AB1385">
        <v>0</v>
      </c>
      <c r="AC1385">
        <v>5</v>
      </c>
      <c r="AD1385">
        <v>3</v>
      </c>
      <c r="AE1385">
        <v>3</v>
      </c>
      <c r="AF1385">
        <v>5</v>
      </c>
      <c r="AG1385">
        <v>4</v>
      </c>
      <c r="AH1385">
        <v>0</v>
      </c>
      <c r="AI1385">
        <v>2</v>
      </c>
      <c r="AJ1385">
        <f t="shared" si="210"/>
        <v>0</v>
      </c>
      <c r="AK1385">
        <f t="shared" si="211"/>
        <v>0</v>
      </c>
      <c r="AL1385">
        <f t="shared" si="212"/>
        <v>1</v>
      </c>
      <c r="AM1385">
        <f t="shared" si="213"/>
        <v>2</v>
      </c>
      <c r="AN1385">
        <f t="shared" si="214"/>
        <v>5620</v>
      </c>
      <c r="AO1385">
        <f t="shared" si="215"/>
        <v>0.83333333333333337</v>
      </c>
      <c r="AP1385" t="str">
        <f t="shared" si="216"/>
        <v>30-39</v>
      </c>
      <c r="AQ1385" t="str">
        <f t="shared" si="217"/>
        <v>Low</v>
      </c>
      <c r="AR1385" t="str">
        <f t="shared" si="218"/>
        <v>Medium</v>
      </c>
      <c r="AS1385">
        <f t="shared" si="219"/>
        <v>0</v>
      </c>
    </row>
    <row r="1386" spans="1:4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s="20">
        <v>9888</v>
      </c>
      <c r="T1386">
        <v>6770</v>
      </c>
      <c r="U1386">
        <v>1</v>
      </c>
      <c r="V1386" t="s">
        <v>42</v>
      </c>
      <c r="W1386" t="s">
        <v>43</v>
      </c>
      <c r="X1386" s="19">
        <v>21</v>
      </c>
      <c r="Y1386">
        <v>4</v>
      </c>
      <c r="Z1386">
        <v>1</v>
      </c>
      <c r="AA1386">
        <v>80</v>
      </c>
      <c r="AB1386">
        <v>0</v>
      </c>
      <c r="AC1386">
        <v>14</v>
      </c>
      <c r="AD1386">
        <v>3</v>
      </c>
      <c r="AE1386">
        <v>2</v>
      </c>
      <c r="AF1386">
        <v>14</v>
      </c>
      <c r="AG1386">
        <v>8</v>
      </c>
      <c r="AH1386">
        <v>2</v>
      </c>
      <c r="AI1386">
        <v>1</v>
      </c>
      <c r="AJ1386">
        <f t="shared" si="210"/>
        <v>0</v>
      </c>
      <c r="AK1386">
        <f t="shared" si="211"/>
        <v>0</v>
      </c>
      <c r="AL1386">
        <f t="shared" si="212"/>
        <v>1</v>
      </c>
      <c r="AM1386">
        <f t="shared" si="213"/>
        <v>2</v>
      </c>
      <c r="AN1386">
        <f t="shared" si="214"/>
        <v>7910.4</v>
      </c>
      <c r="AO1386">
        <f t="shared" si="215"/>
        <v>0.93333333333333335</v>
      </c>
      <c r="AP1386" t="str">
        <f t="shared" si="216"/>
        <v>30-39</v>
      </c>
      <c r="AQ1386" t="str">
        <f t="shared" si="217"/>
        <v>Very High</v>
      </c>
      <c r="AR1386" t="str">
        <f t="shared" si="218"/>
        <v>Short</v>
      </c>
      <c r="AS1386">
        <f t="shared" si="219"/>
        <v>0</v>
      </c>
    </row>
    <row r="1387" spans="1:4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s="20">
        <v>8628</v>
      </c>
      <c r="T1387">
        <v>22914</v>
      </c>
      <c r="U1387">
        <v>1</v>
      </c>
      <c r="V1387" t="s">
        <v>42</v>
      </c>
      <c r="W1387" t="s">
        <v>43</v>
      </c>
      <c r="X1387" s="19">
        <v>18</v>
      </c>
      <c r="Y1387">
        <v>3</v>
      </c>
      <c r="Z1387">
        <v>3</v>
      </c>
      <c r="AA1387">
        <v>80</v>
      </c>
      <c r="AB1387">
        <v>1</v>
      </c>
      <c r="AC1387">
        <v>9</v>
      </c>
      <c r="AD1387">
        <v>2</v>
      </c>
      <c r="AE1387">
        <v>2</v>
      </c>
      <c r="AF1387">
        <v>8</v>
      </c>
      <c r="AG1387">
        <v>7</v>
      </c>
      <c r="AH1387">
        <v>1</v>
      </c>
      <c r="AI1387">
        <v>1</v>
      </c>
      <c r="AJ1387">
        <f t="shared" si="210"/>
        <v>0</v>
      </c>
      <c r="AK1387">
        <f t="shared" si="211"/>
        <v>0</v>
      </c>
      <c r="AL1387">
        <f t="shared" si="212"/>
        <v>1</v>
      </c>
      <c r="AM1387">
        <f t="shared" si="213"/>
        <v>3</v>
      </c>
      <c r="AN1387">
        <f t="shared" si="214"/>
        <v>11504</v>
      </c>
      <c r="AO1387">
        <f t="shared" si="215"/>
        <v>0.8</v>
      </c>
      <c r="AP1387" t="str">
        <f t="shared" si="216"/>
        <v>30-39</v>
      </c>
      <c r="AQ1387" t="str">
        <f t="shared" si="217"/>
        <v>Very High</v>
      </c>
      <c r="AR1387" t="str">
        <f t="shared" si="218"/>
        <v>Medium</v>
      </c>
      <c r="AS1387">
        <f t="shared" si="219"/>
        <v>0</v>
      </c>
    </row>
    <row r="1388" spans="1:4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s="20">
        <v>2867</v>
      </c>
      <c r="T1388">
        <v>20006</v>
      </c>
      <c r="U1388">
        <v>0</v>
      </c>
      <c r="V1388" t="s">
        <v>42</v>
      </c>
      <c r="W1388" t="s">
        <v>43</v>
      </c>
      <c r="X1388" s="19">
        <v>13</v>
      </c>
      <c r="Y1388">
        <v>3</v>
      </c>
      <c r="Z1388">
        <v>4</v>
      </c>
      <c r="AA1388">
        <v>80</v>
      </c>
      <c r="AB1388">
        <v>0</v>
      </c>
      <c r="AC1388">
        <v>8</v>
      </c>
      <c r="AD1388">
        <v>6</v>
      </c>
      <c r="AE1388">
        <v>2</v>
      </c>
      <c r="AF1388">
        <v>7</v>
      </c>
      <c r="AG1388">
        <v>7</v>
      </c>
      <c r="AH1388">
        <v>7</v>
      </c>
      <c r="AI1388">
        <v>6</v>
      </c>
      <c r="AJ1388">
        <f t="shared" si="210"/>
        <v>0</v>
      </c>
      <c r="AK1388">
        <f t="shared" si="211"/>
        <v>0</v>
      </c>
      <c r="AL1388">
        <f t="shared" si="212"/>
        <v>1</v>
      </c>
      <c r="AM1388">
        <f t="shared" si="213"/>
        <v>2.5</v>
      </c>
      <c r="AN1388">
        <f t="shared" si="214"/>
        <v>4300.5</v>
      </c>
      <c r="AO1388">
        <f t="shared" si="215"/>
        <v>0.77777777777777779</v>
      </c>
      <c r="AP1388" t="str">
        <f t="shared" si="216"/>
        <v>Under 30</v>
      </c>
      <c r="AQ1388" t="str">
        <f t="shared" si="217"/>
        <v>Low</v>
      </c>
      <c r="AR1388" t="str">
        <f t="shared" si="218"/>
        <v>Short</v>
      </c>
      <c r="AS1388">
        <f t="shared" si="219"/>
        <v>0</v>
      </c>
    </row>
    <row r="1389" spans="1:4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s="20">
        <v>5373</v>
      </c>
      <c r="T1389">
        <v>6225</v>
      </c>
      <c r="U1389">
        <v>0</v>
      </c>
      <c r="V1389" t="s">
        <v>42</v>
      </c>
      <c r="W1389" t="s">
        <v>43</v>
      </c>
      <c r="X1389" s="19">
        <v>12</v>
      </c>
      <c r="Y1389">
        <v>3</v>
      </c>
      <c r="Z1389">
        <v>1</v>
      </c>
      <c r="AA1389">
        <v>80</v>
      </c>
      <c r="AB1389">
        <v>1</v>
      </c>
      <c r="AC1389">
        <v>6</v>
      </c>
      <c r="AD1389">
        <v>5</v>
      </c>
      <c r="AE1389">
        <v>2</v>
      </c>
      <c r="AF1389">
        <v>5</v>
      </c>
      <c r="AG1389">
        <v>3</v>
      </c>
      <c r="AH1389">
        <v>0</v>
      </c>
      <c r="AI1389">
        <v>2</v>
      </c>
      <c r="AJ1389">
        <f t="shared" si="210"/>
        <v>0</v>
      </c>
      <c r="AK1389">
        <f t="shared" si="211"/>
        <v>0</v>
      </c>
      <c r="AL1389">
        <f t="shared" si="212"/>
        <v>1</v>
      </c>
      <c r="AM1389">
        <f t="shared" si="213"/>
        <v>1.25</v>
      </c>
      <c r="AN1389">
        <f t="shared" si="214"/>
        <v>10746</v>
      </c>
      <c r="AO1389">
        <f t="shared" si="215"/>
        <v>0.7142857142857143</v>
      </c>
      <c r="AP1389" t="str">
        <f t="shared" si="216"/>
        <v>Under 30</v>
      </c>
      <c r="AQ1389" t="str">
        <f t="shared" si="217"/>
        <v>High</v>
      </c>
      <c r="AR1389" t="str">
        <f t="shared" si="218"/>
        <v>Short</v>
      </c>
      <c r="AS1389">
        <f t="shared" si="219"/>
        <v>0</v>
      </c>
    </row>
    <row r="1390" spans="1:4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s="20">
        <v>6667</v>
      </c>
      <c r="T1390">
        <v>16542</v>
      </c>
      <c r="U1390">
        <v>5</v>
      </c>
      <c r="V1390" t="s">
        <v>42</v>
      </c>
      <c r="W1390" t="s">
        <v>43</v>
      </c>
      <c r="X1390" s="19">
        <v>18</v>
      </c>
      <c r="Y1390">
        <v>3</v>
      </c>
      <c r="Z1390">
        <v>2</v>
      </c>
      <c r="AA1390">
        <v>80</v>
      </c>
      <c r="AB1390">
        <v>1</v>
      </c>
      <c r="AC1390">
        <v>9</v>
      </c>
      <c r="AD1390">
        <v>6</v>
      </c>
      <c r="AE1390">
        <v>3</v>
      </c>
      <c r="AF1390">
        <v>5</v>
      </c>
      <c r="AG1390">
        <v>1</v>
      </c>
      <c r="AH1390">
        <v>1</v>
      </c>
      <c r="AI1390">
        <v>2</v>
      </c>
      <c r="AJ1390">
        <f t="shared" si="210"/>
        <v>0</v>
      </c>
      <c r="AK1390">
        <f t="shared" si="211"/>
        <v>0</v>
      </c>
      <c r="AL1390">
        <f t="shared" si="212"/>
        <v>0</v>
      </c>
      <c r="AM1390">
        <f t="shared" si="213"/>
        <v>3</v>
      </c>
      <c r="AN1390">
        <f t="shared" si="214"/>
        <v>13334</v>
      </c>
      <c r="AO1390">
        <f t="shared" si="215"/>
        <v>0.5</v>
      </c>
      <c r="AP1390" t="str">
        <f t="shared" si="216"/>
        <v>30-39</v>
      </c>
      <c r="AQ1390" t="str">
        <f t="shared" si="217"/>
        <v>High</v>
      </c>
      <c r="AR1390" t="str">
        <f t="shared" si="218"/>
        <v>Medium</v>
      </c>
      <c r="AS1390">
        <f t="shared" si="219"/>
        <v>0</v>
      </c>
    </row>
    <row r="1391" spans="1:4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s="20">
        <v>5003</v>
      </c>
      <c r="T1391">
        <v>5771</v>
      </c>
      <c r="U1391">
        <v>1</v>
      </c>
      <c r="V1391" t="s">
        <v>42</v>
      </c>
      <c r="W1391" t="s">
        <v>43</v>
      </c>
      <c r="X1391" s="19">
        <v>21</v>
      </c>
      <c r="Y1391">
        <v>4</v>
      </c>
      <c r="Z1391">
        <v>2</v>
      </c>
      <c r="AA1391">
        <v>80</v>
      </c>
      <c r="AB1391">
        <v>0</v>
      </c>
      <c r="AC1391">
        <v>10</v>
      </c>
      <c r="AD1391">
        <v>6</v>
      </c>
      <c r="AE1391">
        <v>3</v>
      </c>
      <c r="AF1391">
        <v>10</v>
      </c>
      <c r="AG1391">
        <v>8</v>
      </c>
      <c r="AH1391">
        <v>8</v>
      </c>
      <c r="AI1391">
        <v>7</v>
      </c>
      <c r="AJ1391">
        <f t="shared" si="210"/>
        <v>0</v>
      </c>
      <c r="AK1391">
        <f t="shared" si="211"/>
        <v>0</v>
      </c>
      <c r="AL1391">
        <f t="shared" si="212"/>
        <v>1</v>
      </c>
      <c r="AM1391">
        <f t="shared" si="213"/>
        <v>2.5</v>
      </c>
      <c r="AN1391">
        <f t="shared" si="214"/>
        <v>5457.818181818182</v>
      </c>
      <c r="AO1391">
        <f t="shared" si="215"/>
        <v>0.90909090909090906</v>
      </c>
      <c r="AP1391" t="str">
        <f t="shared" si="216"/>
        <v>30-39</v>
      </c>
      <c r="AQ1391" t="str">
        <f t="shared" si="217"/>
        <v>High</v>
      </c>
      <c r="AR1391" t="str">
        <f t="shared" si="218"/>
        <v>Short</v>
      </c>
      <c r="AS1391">
        <f t="shared" si="219"/>
        <v>1</v>
      </c>
    </row>
    <row r="1392" spans="1:4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s="20">
        <v>2367</v>
      </c>
      <c r="T1392">
        <v>18779</v>
      </c>
      <c r="U1392">
        <v>5</v>
      </c>
      <c r="V1392" t="s">
        <v>42</v>
      </c>
      <c r="W1392" t="s">
        <v>43</v>
      </c>
      <c r="X1392" s="19">
        <v>12</v>
      </c>
      <c r="Y1392">
        <v>3</v>
      </c>
      <c r="Z1392">
        <v>1</v>
      </c>
      <c r="AA1392">
        <v>80</v>
      </c>
      <c r="AB1392">
        <v>1</v>
      </c>
      <c r="AC1392">
        <v>6</v>
      </c>
      <c r="AD1392">
        <v>2</v>
      </c>
      <c r="AE1392">
        <v>2</v>
      </c>
      <c r="AF1392">
        <v>4</v>
      </c>
      <c r="AG1392">
        <v>1</v>
      </c>
      <c r="AH1392">
        <v>0</v>
      </c>
      <c r="AI1392">
        <v>3</v>
      </c>
      <c r="AJ1392">
        <f t="shared" si="210"/>
        <v>1</v>
      </c>
      <c r="AK1392">
        <f t="shared" si="211"/>
        <v>0</v>
      </c>
      <c r="AL1392">
        <f t="shared" si="212"/>
        <v>1</v>
      </c>
      <c r="AM1392">
        <f t="shared" si="213"/>
        <v>2.5</v>
      </c>
      <c r="AN1392">
        <f t="shared" si="214"/>
        <v>5680.8</v>
      </c>
      <c r="AO1392">
        <f t="shared" si="215"/>
        <v>0.5714285714285714</v>
      </c>
      <c r="AP1392" t="str">
        <f t="shared" si="216"/>
        <v>Under 30</v>
      </c>
      <c r="AQ1392" t="str">
        <f t="shared" si="217"/>
        <v>Low</v>
      </c>
      <c r="AR1392" t="str">
        <f t="shared" si="218"/>
        <v>Long</v>
      </c>
      <c r="AS1392">
        <f t="shared" si="219"/>
        <v>0</v>
      </c>
    </row>
    <row r="1393" spans="1:4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s="20">
        <v>2858</v>
      </c>
      <c r="T1393">
        <v>11473</v>
      </c>
      <c r="U1393">
        <v>4</v>
      </c>
      <c r="V1393" t="s">
        <v>42</v>
      </c>
      <c r="W1393" t="s">
        <v>43</v>
      </c>
      <c r="X1393" s="19">
        <v>14</v>
      </c>
      <c r="Y1393">
        <v>3</v>
      </c>
      <c r="Z1393">
        <v>1</v>
      </c>
      <c r="AA1393">
        <v>80</v>
      </c>
      <c r="AB1393">
        <v>0</v>
      </c>
      <c r="AC1393">
        <v>20</v>
      </c>
      <c r="AD1393">
        <v>3</v>
      </c>
      <c r="AE1393">
        <v>2</v>
      </c>
      <c r="AF1393">
        <v>1</v>
      </c>
      <c r="AG1393">
        <v>0</v>
      </c>
      <c r="AH1393">
        <v>0</v>
      </c>
      <c r="AI1393">
        <v>0</v>
      </c>
      <c r="AJ1393">
        <f t="shared" si="210"/>
        <v>0</v>
      </c>
      <c r="AK1393">
        <f t="shared" si="211"/>
        <v>0</v>
      </c>
      <c r="AL1393">
        <f t="shared" si="212"/>
        <v>1</v>
      </c>
      <c r="AM1393">
        <f t="shared" si="213"/>
        <v>1.25</v>
      </c>
      <c r="AN1393">
        <f t="shared" si="214"/>
        <v>17148</v>
      </c>
      <c r="AO1393">
        <f t="shared" si="215"/>
        <v>4.7619047619047616E-2</v>
      </c>
      <c r="AP1393" t="str">
        <f t="shared" si="216"/>
        <v>30-39</v>
      </c>
      <c r="AQ1393" t="str">
        <f t="shared" si="217"/>
        <v>Low</v>
      </c>
      <c r="AR1393" t="str">
        <f t="shared" si="218"/>
        <v>Short</v>
      </c>
      <c r="AS1393">
        <f t="shared" si="219"/>
        <v>0</v>
      </c>
    </row>
    <row r="1394" spans="1:4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s="20">
        <v>5204</v>
      </c>
      <c r="T1394">
        <v>13586</v>
      </c>
      <c r="U1394">
        <v>1</v>
      </c>
      <c r="V1394" t="s">
        <v>42</v>
      </c>
      <c r="W1394" t="s">
        <v>35</v>
      </c>
      <c r="X1394" s="19">
        <v>11</v>
      </c>
      <c r="Y1394">
        <v>3</v>
      </c>
      <c r="Z1394">
        <v>4</v>
      </c>
      <c r="AA1394">
        <v>80</v>
      </c>
      <c r="AB1394">
        <v>0</v>
      </c>
      <c r="AC1394">
        <v>10</v>
      </c>
      <c r="AD1394">
        <v>2</v>
      </c>
      <c r="AE1394">
        <v>3</v>
      </c>
      <c r="AF1394">
        <v>10</v>
      </c>
      <c r="AG1394">
        <v>8</v>
      </c>
      <c r="AH1394">
        <v>0</v>
      </c>
      <c r="AI1394">
        <v>9</v>
      </c>
      <c r="AJ1394">
        <f t="shared" si="210"/>
        <v>0</v>
      </c>
      <c r="AK1394">
        <f t="shared" si="211"/>
        <v>1</v>
      </c>
      <c r="AL1394">
        <f t="shared" si="212"/>
        <v>0</v>
      </c>
      <c r="AM1394">
        <f t="shared" si="213"/>
        <v>3.5</v>
      </c>
      <c r="AN1394">
        <f t="shared" si="214"/>
        <v>5677.090909090909</v>
      </c>
      <c r="AO1394">
        <f t="shared" si="215"/>
        <v>0.90909090909090906</v>
      </c>
      <c r="AP1394" t="str">
        <f t="shared" si="216"/>
        <v>30-39</v>
      </c>
      <c r="AQ1394" t="str">
        <f t="shared" si="217"/>
        <v>High</v>
      </c>
      <c r="AR1394" t="str">
        <f t="shared" si="218"/>
        <v>Medium</v>
      </c>
      <c r="AS1394">
        <f t="shared" si="219"/>
        <v>0</v>
      </c>
    </row>
    <row r="1395" spans="1:4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s="20">
        <v>4105</v>
      </c>
      <c r="T1395">
        <v>5099</v>
      </c>
      <c r="U1395">
        <v>1</v>
      </c>
      <c r="V1395" t="s">
        <v>42</v>
      </c>
      <c r="W1395" t="s">
        <v>43</v>
      </c>
      <c r="X1395" s="19">
        <v>14</v>
      </c>
      <c r="Y1395">
        <v>3</v>
      </c>
      <c r="Z1395">
        <v>1</v>
      </c>
      <c r="AA1395">
        <v>80</v>
      </c>
      <c r="AB1395">
        <v>0</v>
      </c>
      <c r="AC1395">
        <v>7</v>
      </c>
      <c r="AD1395">
        <v>5</v>
      </c>
      <c r="AE1395">
        <v>3</v>
      </c>
      <c r="AF1395">
        <v>7</v>
      </c>
      <c r="AG1395">
        <v>7</v>
      </c>
      <c r="AH1395">
        <v>0</v>
      </c>
      <c r="AI1395">
        <v>7</v>
      </c>
      <c r="AJ1395">
        <f t="shared" si="210"/>
        <v>0</v>
      </c>
      <c r="AK1395">
        <f t="shared" si="211"/>
        <v>0</v>
      </c>
      <c r="AL1395">
        <f t="shared" si="212"/>
        <v>1</v>
      </c>
      <c r="AM1395">
        <f t="shared" si="213"/>
        <v>3</v>
      </c>
      <c r="AN1395">
        <f t="shared" si="214"/>
        <v>6157.5</v>
      </c>
      <c r="AO1395">
        <f t="shared" si="215"/>
        <v>0.875</v>
      </c>
      <c r="AP1395" t="str">
        <f t="shared" si="216"/>
        <v>Under 30</v>
      </c>
      <c r="AQ1395" t="str">
        <f t="shared" si="217"/>
        <v>Medium</v>
      </c>
      <c r="AR1395" t="str">
        <f t="shared" si="218"/>
        <v>Medium</v>
      </c>
      <c r="AS1395">
        <f t="shared" si="219"/>
        <v>0</v>
      </c>
    </row>
    <row r="1396" spans="1:4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s="20">
        <v>9679</v>
      </c>
      <c r="T1396">
        <v>10138</v>
      </c>
      <c r="U1396">
        <v>8</v>
      </c>
      <c r="V1396" t="s">
        <v>42</v>
      </c>
      <c r="W1396" t="s">
        <v>43</v>
      </c>
      <c r="X1396" s="19">
        <v>24</v>
      </c>
      <c r="Y1396">
        <v>4</v>
      </c>
      <c r="Z1396">
        <v>2</v>
      </c>
      <c r="AA1396">
        <v>80</v>
      </c>
      <c r="AB1396">
        <v>0</v>
      </c>
      <c r="AC1396">
        <v>8</v>
      </c>
      <c r="AD1396">
        <v>1</v>
      </c>
      <c r="AE1396">
        <v>3</v>
      </c>
      <c r="AF1396">
        <v>1</v>
      </c>
      <c r="AG1396">
        <v>0</v>
      </c>
      <c r="AH1396">
        <v>0</v>
      </c>
      <c r="AI1396">
        <v>0</v>
      </c>
      <c r="AJ1396">
        <f t="shared" si="210"/>
        <v>0</v>
      </c>
      <c r="AK1396">
        <f t="shared" si="211"/>
        <v>0</v>
      </c>
      <c r="AL1396">
        <f t="shared" si="212"/>
        <v>1</v>
      </c>
      <c r="AM1396">
        <f t="shared" si="213"/>
        <v>3.25</v>
      </c>
      <c r="AN1396">
        <f t="shared" si="214"/>
        <v>58074</v>
      </c>
      <c r="AO1396">
        <f t="shared" si="215"/>
        <v>0.1111111111111111</v>
      </c>
      <c r="AP1396" t="str">
        <f t="shared" si="216"/>
        <v>30-39</v>
      </c>
      <c r="AQ1396" t="str">
        <f t="shared" si="217"/>
        <v>Very High</v>
      </c>
      <c r="AR1396" t="str">
        <f t="shared" si="218"/>
        <v>Short</v>
      </c>
      <c r="AS1396">
        <f t="shared" si="219"/>
        <v>0</v>
      </c>
    </row>
    <row r="1397" spans="1:4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s="20">
        <v>5617</v>
      </c>
      <c r="T1397">
        <v>21075</v>
      </c>
      <c r="U1397">
        <v>1</v>
      </c>
      <c r="V1397" t="s">
        <v>42</v>
      </c>
      <c r="W1397" t="s">
        <v>35</v>
      </c>
      <c r="X1397" s="19">
        <v>11</v>
      </c>
      <c r="Y1397">
        <v>3</v>
      </c>
      <c r="Z1397">
        <v>3</v>
      </c>
      <c r="AA1397">
        <v>80</v>
      </c>
      <c r="AB1397">
        <v>0</v>
      </c>
      <c r="AC1397">
        <v>10</v>
      </c>
      <c r="AD1397">
        <v>4</v>
      </c>
      <c r="AE1397">
        <v>3</v>
      </c>
      <c r="AF1397">
        <v>10</v>
      </c>
      <c r="AG1397">
        <v>7</v>
      </c>
      <c r="AH1397">
        <v>0</v>
      </c>
      <c r="AI1397">
        <v>8</v>
      </c>
      <c r="AJ1397">
        <f t="shared" si="210"/>
        <v>1</v>
      </c>
      <c r="AK1397">
        <f t="shared" si="211"/>
        <v>1</v>
      </c>
      <c r="AL1397">
        <f t="shared" si="212"/>
        <v>1</v>
      </c>
      <c r="AM1397">
        <f t="shared" si="213"/>
        <v>2.75</v>
      </c>
      <c r="AN1397">
        <f t="shared" si="214"/>
        <v>6127.636363636364</v>
      </c>
      <c r="AO1397">
        <f t="shared" si="215"/>
        <v>0.90909090909090906</v>
      </c>
      <c r="AP1397" t="str">
        <f t="shared" si="216"/>
        <v>30-39</v>
      </c>
      <c r="AQ1397" t="str">
        <f t="shared" si="217"/>
        <v>High</v>
      </c>
      <c r="AR1397" t="str">
        <f t="shared" si="218"/>
        <v>Long</v>
      </c>
      <c r="AS1397">
        <f t="shared" si="219"/>
        <v>1</v>
      </c>
    </row>
    <row r="1398" spans="1:4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s="20">
        <v>10448</v>
      </c>
      <c r="T1398">
        <v>5843</v>
      </c>
      <c r="U1398">
        <v>6</v>
      </c>
      <c r="V1398" t="s">
        <v>42</v>
      </c>
      <c r="W1398" t="s">
        <v>35</v>
      </c>
      <c r="X1398" s="19">
        <v>13</v>
      </c>
      <c r="Y1398">
        <v>3</v>
      </c>
      <c r="Z1398">
        <v>2</v>
      </c>
      <c r="AA1398">
        <v>80</v>
      </c>
      <c r="AB1398">
        <v>0</v>
      </c>
      <c r="AC1398">
        <v>15</v>
      </c>
      <c r="AD1398">
        <v>2</v>
      </c>
      <c r="AE1398">
        <v>2</v>
      </c>
      <c r="AF1398">
        <v>2</v>
      </c>
      <c r="AG1398">
        <v>2</v>
      </c>
      <c r="AH1398">
        <v>2</v>
      </c>
      <c r="AI1398">
        <v>2</v>
      </c>
      <c r="AJ1398">
        <f t="shared" si="210"/>
        <v>1</v>
      </c>
      <c r="AK1398">
        <f t="shared" si="211"/>
        <v>1</v>
      </c>
      <c r="AL1398">
        <f t="shared" si="212"/>
        <v>1</v>
      </c>
      <c r="AM1398">
        <f t="shared" si="213"/>
        <v>1.5</v>
      </c>
      <c r="AN1398">
        <f t="shared" si="214"/>
        <v>41792</v>
      </c>
      <c r="AO1398">
        <f t="shared" si="215"/>
        <v>0.125</v>
      </c>
      <c r="AP1398" t="str">
        <f t="shared" si="216"/>
        <v>50+</v>
      </c>
      <c r="AQ1398" t="str">
        <f t="shared" si="217"/>
        <v>Very High</v>
      </c>
      <c r="AR1398" t="str">
        <f t="shared" si="218"/>
        <v>Long</v>
      </c>
      <c r="AS1398">
        <f t="shared" si="219"/>
        <v>0</v>
      </c>
    </row>
    <row r="1399" spans="1:4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s="20">
        <v>2897</v>
      </c>
      <c r="T1399">
        <v>22474</v>
      </c>
      <c r="U1399">
        <v>3</v>
      </c>
      <c r="V1399" t="s">
        <v>42</v>
      </c>
      <c r="W1399" t="s">
        <v>43</v>
      </c>
      <c r="X1399" s="19">
        <v>11</v>
      </c>
      <c r="Y1399">
        <v>3</v>
      </c>
      <c r="Z1399">
        <v>3</v>
      </c>
      <c r="AA1399">
        <v>80</v>
      </c>
      <c r="AB1399">
        <v>2</v>
      </c>
      <c r="AC1399">
        <v>9</v>
      </c>
      <c r="AD1399">
        <v>6</v>
      </c>
      <c r="AE1399">
        <v>2</v>
      </c>
      <c r="AF1399">
        <v>4</v>
      </c>
      <c r="AG1399">
        <v>3</v>
      </c>
      <c r="AH1399">
        <v>2</v>
      </c>
      <c r="AI1399">
        <v>3</v>
      </c>
      <c r="AJ1399">
        <f t="shared" si="210"/>
        <v>0</v>
      </c>
      <c r="AK1399">
        <f t="shared" si="211"/>
        <v>0</v>
      </c>
      <c r="AL1399">
        <f t="shared" si="212"/>
        <v>0</v>
      </c>
      <c r="AM1399">
        <f t="shared" si="213"/>
        <v>2.25</v>
      </c>
      <c r="AN1399">
        <f t="shared" si="214"/>
        <v>6952.8</v>
      </c>
      <c r="AO1399">
        <f t="shared" si="215"/>
        <v>0.4</v>
      </c>
      <c r="AP1399" t="str">
        <f t="shared" si="216"/>
        <v>50+</v>
      </c>
      <c r="AQ1399" t="str">
        <f t="shared" si="217"/>
        <v>Low</v>
      </c>
      <c r="AR1399" t="str">
        <f t="shared" si="218"/>
        <v>Medium</v>
      </c>
      <c r="AS1399">
        <f t="shared" si="219"/>
        <v>0</v>
      </c>
    </row>
    <row r="1400" spans="1:4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s="20">
        <v>5968</v>
      </c>
      <c r="T1400">
        <v>18079</v>
      </c>
      <c r="U1400">
        <v>1</v>
      </c>
      <c r="V1400" t="s">
        <v>42</v>
      </c>
      <c r="W1400" t="s">
        <v>43</v>
      </c>
      <c r="X1400" s="19">
        <v>20</v>
      </c>
      <c r="Y1400">
        <v>4</v>
      </c>
      <c r="Z1400">
        <v>3</v>
      </c>
      <c r="AA1400">
        <v>80</v>
      </c>
      <c r="AB1400">
        <v>3</v>
      </c>
      <c r="AC1400">
        <v>9</v>
      </c>
      <c r="AD1400">
        <v>2</v>
      </c>
      <c r="AE1400">
        <v>3</v>
      </c>
      <c r="AF1400">
        <v>9</v>
      </c>
      <c r="AG1400">
        <v>7</v>
      </c>
      <c r="AH1400">
        <v>2</v>
      </c>
      <c r="AI1400">
        <v>8</v>
      </c>
      <c r="AJ1400">
        <f t="shared" si="210"/>
        <v>0</v>
      </c>
      <c r="AK1400">
        <f t="shared" si="211"/>
        <v>0</v>
      </c>
      <c r="AL1400">
        <f t="shared" si="212"/>
        <v>1</v>
      </c>
      <c r="AM1400">
        <f t="shared" si="213"/>
        <v>3.25</v>
      </c>
      <c r="AN1400">
        <f t="shared" si="214"/>
        <v>7161.6</v>
      </c>
      <c r="AO1400">
        <f t="shared" si="215"/>
        <v>0.9</v>
      </c>
      <c r="AP1400" t="str">
        <f t="shared" si="216"/>
        <v>30-39</v>
      </c>
      <c r="AQ1400" t="str">
        <f t="shared" si="217"/>
        <v>High</v>
      </c>
      <c r="AR1400" t="str">
        <f t="shared" si="218"/>
        <v>Medium</v>
      </c>
      <c r="AS1400">
        <f t="shared" si="219"/>
        <v>1</v>
      </c>
    </row>
    <row r="1401" spans="1:4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s="20">
        <v>7510</v>
      </c>
      <c r="T1401">
        <v>16873</v>
      </c>
      <c r="U1401">
        <v>1</v>
      </c>
      <c r="V1401" t="s">
        <v>42</v>
      </c>
      <c r="W1401" t="s">
        <v>43</v>
      </c>
      <c r="X1401" s="19">
        <v>17</v>
      </c>
      <c r="Y1401">
        <v>3</v>
      </c>
      <c r="Z1401">
        <v>2</v>
      </c>
      <c r="AA1401">
        <v>80</v>
      </c>
      <c r="AB1401">
        <v>1</v>
      </c>
      <c r="AC1401">
        <v>10</v>
      </c>
      <c r="AD1401">
        <v>1</v>
      </c>
      <c r="AE1401">
        <v>3</v>
      </c>
      <c r="AF1401">
        <v>10</v>
      </c>
      <c r="AG1401">
        <v>9</v>
      </c>
      <c r="AH1401">
        <v>0</v>
      </c>
      <c r="AI1401">
        <v>9</v>
      </c>
      <c r="AJ1401">
        <f t="shared" si="210"/>
        <v>0</v>
      </c>
      <c r="AK1401">
        <f t="shared" si="211"/>
        <v>0</v>
      </c>
      <c r="AL1401">
        <f t="shared" si="212"/>
        <v>1</v>
      </c>
      <c r="AM1401">
        <f t="shared" si="213"/>
        <v>2.25</v>
      </c>
      <c r="AN1401">
        <f t="shared" si="214"/>
        <v>8192.7272727272721</v>
      </c>
      <c r="AO1401">
        <f t="shared" si="215"/>
        <v>0.90909090909090906</v>
      </c>
      <c r="AP1401" t="str">
        <f t="shared" si="216"/>
        <v>40-49</v>
      </c>
      <c r="AQ1401" t="str">
        <f t="shared" si="217"/>
        <v>High</v>
      </c>
      <c r="AR1401" t="str">
        <f t="shared" si="218"/>
        <v>Medium</v>
      </c>
      <c r="AS1401">
        <f t="shared" si="219"/>
        <v>0</v>
      </c>
    </row>
    <row r="1402" spans="1:4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s="20">
        <v>2991</v>
      </c>
      <c r="T1402">
        <v>5224</v>
      </c>
      <c r="U1402">
        <v>0</v>
      </c>
      <c r="V1402" t="s">
        <v>42</v>
      </c>
      <c r="W1402" t="s">
        <v>35</v>
      </c>
      <c r="X1402" s="19">
        <v>11</v>
      </c>
      <c r="Y1402">
        <v>3</v>
      </c>
      <c r="Z1402">
        <v>2</v>
      </c>
      <c r="AA1402">
        <v>80</v>
      </c>
      <c r="AB1402">
        <v>1</v>
      </c>
      <c r="AC1402">
        <v>7</v>
      </c>
      <c r="AD1402">
        <v>2</v>
      </c>
      <c r="AE1402">
        <v>3</v>
      </c>
      <c r="AF1402">
        <v>6</v>
      </c>
      <c r="AG1402">
        <v>2</v>
      </c>
      <c r="AH1402">
        <v>1</v>
      </c>
      <c r="AI1402">
        <v>2</v>
      </c>
      <c r="AJ1402">
        <f t="shared" si="210"/>
        <v>0</v>
      </c>
      <c r="AK1402">
        <f t="shared" si="211"/>
        <v>1</v>
      </c>
      <c r="AL1402">
        <f t="shared" si="212"/>
        <v>1</v>
      </c>
      <c r="AM1402">
        <f t="shared" si="213"/>
        <v>2.75</v>
      </c>
      <c r="AN1402">
        <f t="shared" si="214"/>
        <v>5127.4285714285716</v>
      </c>
      <c r="AO1402">
        <f t="shared" si="215"/>
        <v>0.75</v>
      </c>
      <c r="AP1402" t="str">
        <f t="shared" si="216"/>
        <v>30-39</v>
      </c>
      <c r="AQ1402" t="str">
        <f t="shared" si="217"/>
        <v>Medium</v>
      </c>
      <c r="AR1402" t="str">
        <f t="shared" si="218"/>
        <v>Short</v>
      </c>
      <c r="AS1402">
        <f t="shared" si="219"/>
        <v>1</v>
      </c>
    </row>
    <row r="1403" spans="1:4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s="20">
        <v>19636</v>
      </c>
      <c r="T1403">
        <v>25811</v>
      </c>
      <c r="U1403">
        <v>4</v>
      </c>
      <c r="V1403" t="s">
        <v>42</v>
      </c>
      <c r="W1403" t="s">
        <v>35</v>
      </c>
      <c r="X1403" s="19">
        <v>18</v>
      </c>
      <c r="Y1403">
        <v>3</v>
      </c>
      <c r="Z1403">
        <v>1</v>
      </c>
      <c r="AA1403">
        <v>80</v>
      </c>
      <c r="AB1403">
        <v>1</v>
      </c>
      <c r="AC1403">
        <v>35</v>
      </c>
      <c r="AD1403">
        <v>0</v>
      </c>
      <c r="AE1403">
        <v>3</v>
      </c>
      <c r="AF1403">
        <v>10</v>
      </c>
      <c r="AG1403">
        <v>9</v>
      </c>
      <c r="AH1403">
        <v>1</v>
      </c>
      <c r="AI1403">
        <v>4</v>
      </c>
      <c r="AJ1403">
        <f t="shared" si="210"/>
        <v>0</v>
      </c>
      <c r="AK1403">
        <f t="shared" si="211"/>
        <v>1</v>
      </c>
      <c r="AL1403">
        <f t="shared" si="212"/>
        <v>1</v>
      </c>
      <c r="AM1403">
        <f t="shared" si="213"/>
        <v>2.25</v>
      </c>
      <c r="AN1403">
        <f t="shared" si="214"/>
        <v>21421.090909090908</v>
      </c>
      <c r="AO1403">
        <f t="shared" si="215"/>
        <v>0.27777777777777779</v>
      </c>
      <c r="AP1403" t="str">
        <f t="shared" si="216"/>
        <v>50+</v>
      </c>
      <c r="AQ1403" t="str">
        <f t="shared" si="217"/>
        <v>Very High</v>
      </c>
      <c r="AR1403" t="str">
        <f t="shared" si="218"/>
        <v>Long</v>
      </c>
      <c r="AS1403">
        <f t="shared" si="219"/>
        <v>0</v>
      </c>
    </row>
    <row r="1404" spans="1:4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s="20">
        <v>1129</v>
      </c>
      <c r="T1404">
        <v>17536</v>
      </c>
      <c r="U1404">
        <v>1</v>
      </c>
      <c r="V1404" t="s">
        <v>42</v>
      </c>
      <c r="W1404" t="s">
        <v>35</v>
      </c>
      <c r="X1404" s="19">
        <v>11</v>
      </c>
      <c r="Y1404">
        <v>3</v>
      </c>
      <c r="Z1404">
        <v>3</v>
      </c>
      <c r="AA1404">
        <v>80</v>
      </c>
      <c r="AB1404">
        <v>3</v>
      </c>
      <c r="AC1404">
        <v>1</v>
      </c>
      <c r="AD1404">
        <v>4</v>
      </c>
      <c r="AE1404">
        <v>3</v>
      </c>
      <c r="AF1404">
        <v>1</v>
      </c>
      <c r="AG1404">
        <v>0</v>
      </c>
      <c r="AH1404">
        <v>0</v>
      </c>
      <c r="AI1404">
        <v>0</v>
      </c>
      <c r="AJ1404">
        <f t="shared" si="210"/>
        <v>0</v>
      </c>
      <c r="AK1404">
        <f t="shared" si="211"/>
        <v>1</v>
      </c>
      <c r="AL1404">
        <f t="shared" si="212"/>
        <v>0</v>
      </c>
      <c r="AM1404">
        <f t="shared" si="213"/>
        <v>3.5</v>
      </c>
      <c r="AN1404">
        <f t="shared" si="214"/>
        <v>6774</v>
      </c>
      <c r="AO1404">
        <f t="shared" si="215"/>
        <v>0.5</v>
      </c>
      <c r="AP1404" t="str">
        <f t="shared" si="216"/>
        <v>30-39</v>
      </c>
      <c r="AQ1404" t="str">
        <f t="shared" si="217"/>
        <v>Low</v>
      </c>
      <c r="AR1404" t="str">
        <f t="shared" si="218"/>
        <v>Short</v>
      </c>
      <c r="AS1404">
        <f t="shared" si="219"/>
        <v>0</v>
      </c>
    </row>
    <row r="1405" spans="1:4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s="20">
        <v>13341</v>
      </c>
      <c r="T1405">
        <v>25098</v>
      </c>
      <c r="U1405">
        <v>0</v>
      </c>
      <c r="V1405" t="s">
        <v>42</v>
      </c>
      <c r="W1405" t="s">
        <v>43</v>
      </c>
      <c r="X1405" s="19">
        <v>12</v>
      </c>
      <c r="Y1405">
        <v>3</v>
      </c>
      <c r="Z1405">
        <v>1</v>
      </c>
      <c r="AA1405">
        <v>80</v>
      </c>
      <c r="AB1405">
        <v>0</v>
      </c>
      <c r="AC1405">
        <v>21</v>
      </c>
      <c r="AD1405">
        <v>3</v>
      </c>
      <c r="AE1405">
        <v>3</v>
      </c>
      <c r="AF1405">
        <v>20</v>
      </c>
      <c r="AG1405">
        <v>8</v>
      </c>
      <c r="AH1405">
        <v>11</v>
      </c>
      <c r="AI1405">
        <v>10</v>
      </c>
      <c r="AJ1405">
        <f t="shared" si="210"/>
        <v>0</v>
      </c>
      <c r="AK1405">
        <f t="shared" si="211"/>
        <v>0</v>
      </c>
      <c r="AL1405">
        <f t="shared" si="212"/>
        <v>1</v>
      </c>
      <c r="AM1405">
        <f t="shared" si="213"/>
        <v>1.75</v>
      </c>
      <c r="AN1405">
        <f t="shared" si="214"/>
        <v>7623.4285714285716</v>
      </c>
      <c r="AO1405">
        <f t="shared" si="215"/>
        <v>0.90909090909090906</v>
      </c>
      <c r="AP1405" t="str">
        <f t="shared" si="216"/>
        <v>30-39</v>
      </c>
      <c r="AQ1405" t="str">
        <f t="shared" si="217"/>
        <v>Very High</v>
      </c>
      <c r="AR1405" t="str">
        <f t="shared" si="218"/>
        <v>Medium</v>
      </c>
      <c r="AS1405">
        <f t="shared" si="219"/>
        <v>0</v>
      </c>
    </row>
    <row r="1406" spans="1:4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s="20">
        <v>4332</v>
      </c>
      <c r="T1406">
        <v>14811</v>
      </c>
      <c r="U1406">
        <v>1</v>
      </c>
      <c r="V1406" t="s">
        <v>42</v>
      </c>
      <c r="W1406" t="s">
        <v>43</v>
      </c>
      <c r="X1406" s="19">
        <v>12</v>
      </c>
      <c r="Y1406">
        <v>3</v>
      </c>
      <c r="Z1406">
        <v>4</v>
      </c>
      <c r="AA1406">
        <v>80</v>
      </c>
      <c r="AB1406">
        <v>0</v>
      </c>
      <c r="AC1406">
        <v>20</v>
      </c>
      <c r="AD1406">
        <v>2</v>
      </c>
      <c r="AE1406">
        <v>3</v>
      </c>
      <c r="AF1406">
        <v>20</v>
      </c>
      <c r="AG1406">
        <v>9</v>
      </c>
      <c r="AH1406">
        <v>3</v>
      </c>
      <c r="AI1406">
        <v>7</v>
      </c>
      <c r="AJ1406">
        <f t="shared" si="210"/>
        <v>0</v>
      </c>
      <c r="AK1406">
        <f t="shared" si="211"/>
        <v>0</v>
      </c>
      <c r="AL1406">
        <f t="shared" si="212"/>
        <v>1</v>
      </c>
      <c r="AM1406">
        <f t="shared" si="213"/>
        <v>3.5</v>
      </c>
      <c r="AN1406">
        <f t="shared" si="214"/>
        <v>2475.4285714285716</v>
      </c>
      <c r="AO1406">
        <f t="shared" si="215"/>
        <v>0.95238095238095233</v>
      </c>
      <c r="AP1406" t="str">
        <f t="shared" si="216"/>
        <v>40-49</v>
      </c>
      <c r="AQ1406" t="str">
        <f t="shared" si="217"/>
        <v>Medium</v>
      </c>
      <c r="AR1406" t="str">
        <f t="shared" si="218"/>
        <v>Long</v>
      </c>
      <c r="AS1406">
        <f t="shared" si="219"/>
        <v>0</v>
      </c>
    </row>
    <row r="1407" spans="1:4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s="20">
        <v>11031</v>
      </c>
      <c r="T1407">
        <v>26862</v>
      </c>
      <c r="U1407">
        <v>4</v>
      </c>
      <c r="V1407" t="s">
        <v>42</v>
      </c>
      <c r="W1407" t="s">
        <v>43</v>
      </c>
      <c r="X1407" s="19">
        <v>20</v>
      </c>
      <c r="Y1407">
        <v>4</v>
      </c>
      <c r="Z1407">
        <v>3</v>
      </c>
      <c r="AA1407">
        <v>80</v>
      </c>
      <c r="AB1407">
        <v>1</v>
      </c>
      <c r="AC1407">
        <v>13</v>
      </c>
      <c r="AD1407">
        <v>2</v>
      </c>
      <c r="AE1407">
        <v>4</v>
      </c>
      <c r="AF1407">
        <v>11</v>
      </c>
      <c r="AG1407">
        <v>7</v>
      </c>
      <c r="AH1407">
        <v>4</v>
      </c>
      <c r="AI1407">
        <v>8</v>
      </c>
      <c r="AJ1407">
        <f t="shared" si="210"/>
        <v>0</v>
      </c>
      <c r="AK1407">
        <f t="shared" si="211"/>
        <v>0</v>
      </c>
      <c r="AL1407">
        <f t="shared" si="212"/>
        <v>0</v>
      </c>
      <c r="AM1407">
        <f t="shared" si="213"/>
        <v>3.25</v>
      </c>
      <c r="AN1407">
        <f t="shared" si="214"/>
        <v>11031</v>
      </c>
      <c r="AO1407">
        <f t="shared" si="215"/>
        <v>0.7857142857142857</v>
      </c>
      <c r="AP1407" t="str">
        <f t="shared" si="216"/>
        <v>30-39</v>
      </c>
      <c r="AQ1407" t="str">
        <f t="shared" si="217"/>
        <v>Very High</v>
      </c>
      <c r="AR1407" t="str">
        <f t="shared" si="218"/>
        <v>Medium</v>
      </c>
      <c r="AS1407">
        <f t="shared" si="219"/>
        <v>0</v>
      </c>
    </row>
    <row r="1408" spans="1:4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s="20">
        <v>4440</v>
      </c>
      <c r="T1408">
        <v>25198</v>
      </c>
      <c r="U1408">
        <v>6</v>
      </c>
      <c r="V1408" t="s">
        <v>42</v>
      </c>
      <c r="W1408" t="s">
        <v>35</v>
      </c>
      <c r="X1408" s="19">
        <v>19</v>
      </c>
      <c r="Y1408">
        <v>3</v>
      </c>
      <c r="Z1408">
        <v>4</v>
      </c>
      <c r="AA1408">
        <v>80</v>
      </c>
      <c r="AB1408">
        <v>0</v>
      </c>
      <c r="AC1408">
        <v>9</v>
      </c>
      <c r="AD1408">
        <v>3</v>
      </c>
      <c r="AE1408">
        <v>3</v>
      </c>
      <c r="AF1408">
        <v>5</v>
      </c>
      <c r="AG1408">
        <v>2</v>
      </c>
      <c r="AH1408">
        <v>1</v>
      </c>
      <c r="AI1408">
        <v>4</v>
      </c>
      <c r="AJ1408">
        <f t="shared" si="210"/>
        <v>0</v>
      </c>
      <c r="AK1408">
        <f t="shared" si="211"/>
        <v>1</v>
      </c>
      <c r="AL1408">
        <f t="shared" si="212"/>
        <v>0</v>
      </c>
      <c r="AM1408">
        <f t="shared" si="213"/>
        <v>2.75</v>
      </c>
      <c r="AN1408">
        <f t="shared" si="214"/>
        <v>8880</v>
      </c>
      <c r="AO1408">
        <f t="shared" si="215"/>
        <v>0.5</v>
      </c>
      <c r="AP1408" t="str">
        <f t="shared" si="216"/>
        <v>50+</v>
      </c>
      <c r="AQ1408" t="str">
        <f t="shared" si="217"/>
        <v>Medium</v>
      </c>
      <c r="AR1408" t="str">
        <f t="shared" si="218"/>
        <v>Medium</v>
      </c>
      <c r="AS1408">
        <f t="shared" si="219"/>
        <v>0</v>
      </c>
    </row>
    <row r="1409" spans="1:4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s="20">
        <v>4617</v>
      </c>
      <c r="T1409">
        <v>14120</v>
      </c>
      <c r="U1409">
        <v>1</v>
      </c>
      <c r="V1409" t="s">
        <v>42</v>
      </c>
      <c r="W1409" t="s">
        <v>43</v>
      </c>
      <c r="X1409" s="19">
        <v>12</v>
      </c>
      <c r="Y1409">
        <v>3</v>
      </c>
      <c r="Z1409">
        <v>2</v>
      </c>
      <c r="AA1409">
        <v>80</v>
      </c>
      <c r="AB1409">
        <v>0</v>
      </c>
      <c r="AC1409">
        <v>4</v>
      </c>
      <c r="AD1409">
        <v>2</v>
      </c>
      <c r="AE1409">
        <v>2</v>
      </c>
      <c r="AF1409">
        <v>4</v>
      </c>
      <c r="AG1409">
        <v>3</v>
      </c>
      <c r="AH1409">
        <v>1</v>
      </c>
      <c r="AI1409">
        <v>2</v>
      </c>
      <c r="AJ1409">
        <f t="shared" si="210"/>
        <v>0</v>
      </c>
      <c r="AK1409">
        <f t="shared" si="211"/>
        <v>0</v>
      </c>
      <c r="AL1409">
        <f t="shared" si="212"/>
        <v>1</v>
      </c>
      <c r="AM1409">
        <f t="shared" si="213"/>
        <v>2.25</v>
      </c>
      <c r="AN1409">
        <f t="shared" si="214"/>
        <v>11080.8</v>
      </c>
      <c r="AO1409">
        <f t="shared" si="215"/>
        <v>0.8</v>
      </c>
      <c r="AP1409" t="str">
        <f t="shared" si="216"/>
        <v>Under 30</v>
      </c>
      <c r="AQ1409" t="str">
        <f t="shared" si="217"/>
        <v>Medium</v>
      </c>
      <c r="AR1409" t="str">
        <f t="shared" si="218"/>
        <v>Short</v>
      </c>
      <c r="AS1409">
        <f t="shared" si="219"/>
        <v>0</v>
      </c>
    </row>
    <row r="1410" spans="1:4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s="20">
        <v>2647</v>
      </c>
      <c r="T1410">
        <v>13672</v>
      </c>
      <c r="U1410">
        <v>1</v>
      </c>
      <c r="V1410" t="s">
        <v>42</v>
      </c>
      <c r="W1410" t="s">
        <v>43</v>
      </c>
      <c r="X1410" s="19">
        <v>13</v>
      </c>
      <c r="Y1410">
        <v>3</v>
      </c>
      <c r="Z1410">
        <v>3</v>
      </c>
      <c r="AA1410">
        <v>80</v>
      </c>
      <c r="AB1410">
        <v>0</v>
      </c>
      <c r="AC1410">
        <v>5</v>
      </c>
      <c r="AD1410">
        <v>6</v>
      </c>
      <c r="AE1410">
        <v>4</v>
      </c>
      <c r="AF1410">
        <v>5</v>
      </c>
      <c r="AG1410">
        <v>2</v>
      </c>
      <c r="AH1410">
        <v>1</v>
      </c>
      <c r="AI1410">
        <v>4</v>
      </c>
      <c r="AJ1410">
        <f t="shared" si="210"/>
        <v>0</v>
      </c>
      <c r="AK1410">
        <f t="shared" si="211"/>
        <v>0</v>
      </c>
      <c r="AL1410">
        <f t="shared" si="212"/>
        <v>1</v>
      </c>
      <c r="AM1410">
        <f t="shared" si="213"/>
        <v>3.75</v>
      </c>
      <c r="AN1410">
        <f t="shared" si="214"/>
        <v>5294</v>
      </c>
      <c r="AO1410">
        <f t="shared" si="215"/>
        <v>0.83333333333333337</v>
      </c>
      <c r="AP1410" t="str">
        <f t="shared" si="216"/>
        <v>Under 30</v>
      </c>
      <c r="AQ1410" t="str">
        <f t="shared" si="217"/>
        <v>Low</v>
      </c>
      <c r="AR1410" t="str">
        <f t="shared" si="218"/>
        <v>Medium</v>
      </c>
      <c r="AS1410">
        <f t="shared" si="219"/>
        <v>0</v>
      </c>
    </row>
    <row r="1411" spans="1:4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s="20">
        <v>6323</v>
      </c>
      <c r="T1411">
        <v>26849</v>
      </c>
      <c r="U1411">
        <v>1</v>
      </c>
      <c r="V1411" t="s">
        <v>42</v>
      </c>
      <c r="W1411" t="s">
        <v>43</v>
      </c>
      <c r="X1411" s="19">
        <v>11</v>
      </c>
      <c r="Y1411">
        <v>3</v>
      </c>
      <c r="Z1411">
        <v>1</v>
      </c>
      <c r="AA1411">
        <v>80</v>
      </c>
      <c r="AB1411">
        <v>1</v>
      </c>
      <c r="AC1411">
        <v>10</v>
      </c>
      <c r="AD1411">
        <v>2</v>
      </c>
      <c r="AE1411">
        <v>4</v>
      </c>
      <c r="AF1411">
        <v>10</v>
      </c>
      <c r="AG1411">
        <v>9</v>
      </c>
      <c r="AH1411">
        <v>9</v>
      </c>
      <c r="AI1411">
        <v>4</v>
      </c>
      <c r="AJ1411">
        <f t="shared" ref="AJ1411:AJ1471" si="220">IF(B1411="Yes",1,0)</f>
        <v>0</v>
      </c>
      <c r="AK1411">
        <f t="shared" ref="AK1411:AK1471" si="221">IF(W1411="Yes",1,0)</f>
        <v>0</v>
      </c>
      <c r="AL1411">
        <f t="shared" ref="AL1411:AL1471" si="222">IF(L1411="Male",1,0)</f>
        <v>0</v>
      </c>
      <c r="AM1411">
        <f t="shared" ref="AM1411:AM1471" si="223">AVERAGE(K1411,Q1411,Z1411,AE1411)</f>
        <v>3</v>
      </c>
      <c r="AN1411">
        <f t="shared" ref="AN1411:AN1471" si="224">(S1411*12)/(AF1411+1)</f>
        <v>6897.818181818182</v>
      </c>
      <c r="AO1411">
        <f t="shared" ref="AO1411:AO1471" si="225">AF1411/(AC1411+1)</f>
        <v>0.90909090909090906</v>
      </c>
      <c r="AP1411" t="str">
        <f t="shared" ref="AP1411:AP1471" si="226">IF(A1411&lt;30,"Under 30",IF(A1411&lt;40,"30-39",IF(A1411&lt;50,"40-49","50+")))</f>
        <v>40-49</v>
      </c>
      <c r="AQ1411" t="str">
        <f t="shared" ref="AQ1411:AQ1471" si="227">IF(S1411&lt;=$AV$1,"Low",IF(S1411&lt;=$AV$2,"Medium",IF(S1411&lt;=$AV$3,"High","Very High")))</f>
        <v>High</v>
      </c>
      <c r="AR1411" t="str">
        <f t="shared" ref="AR1411:AR1471" si="228">IF(F1411&lt;=5,"Short",IF(F1411&lt;=15,"Medium","Long"))</f>
        <v>Medium</v>
      </c>
      <c r="AS1411">
        <f t="shared" ref="AS1411:AS1471" si="229">IF(C1411="Travel_Frequently",1,0)</f>
        <v>1</v>
      </c>
    </row>
    <row r="1412" spans="1:4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s="20">
        <v>5677</v>
      </c>
      <c r="T1412">
        <v>4258</v>
      </c>
      <c r="U1412">
        <v>3</v>
      </c>
      <c r="V1412" t="s">
        <v>42</v>
      </c>
      <c r="W1412" t="s">
        <v>43</v>
      </c>
      <c r="X1412" s="19">
        <v>14</v>
      </c>
      <c r="Y1412">
        <v>3</v>
      </c>
      <c r="Z1412">
        <v>3</v>
      </c>
      <c r="AA1412">
        <v>80</v>
      </c>
      <c r="AB1412">
        <v>1</v>
      </c>
      <c r="AC1412">
        <v>15</v>
      </c>
      <c r="AD1412">
        <v>4</v>
      </c>
      <c r="AE1412">
        <v>3</v>
      </c>
      <c r="AF1412">
        <v>11</v>
      </c>
      <c r="AG1412">
        <v>8</v>
      </c>
      <c r="AH1412">
        <v>5</v>
      </c>
      <c r="AI1412">
        <v>10</v>
      </c>
      <c r="AJ1412">
        <f t="shared" si="220"/>
        <v>0</v>
      </c>
      <c r="AK1412">
        <f t="shared" si="221"/>
        <v>0</v>
      </c>
      <c r="AL1412">
        <f t="shared" si="222"/>
        <v>0</v>
      </c>
      <c r="AM1412">
        <f t="shared" si="223"/>
        <v>2.5</v>
      </c>
      <c r="AN1412">
        <f t="shared" si="224"/>
        <v>5677</v>
      </c>
      <c r="AO1412">
        <f t="shared" si="225"/>
        <v>0.6875</v>
      </c>
      <c r="AP1412" t="str">
        <f t="shared" si="226"/>
        <v>40-49</v>
      </c>
      <c r="AQ1412" t="str">
        <f t="shared" si="227"/>
        <v>High</v>
      </c>
      <c r="AR1412" t="str">
        <f t="shared" si="228"/>
        <v>Short</v>
      </c>
      <c r="AS1412">
        <f t="shared" si="229"/>
        <v>0</v>
      </c>
    </row>
    <row r="1413" spans="1:4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s="20">
        <v>2187</v>
      </c>
      <c r="T1413">
        <v>19655</v>
      </c>
      <c r="U1413">
        <v>4</v>
      </c>
      <c r="V1413" t="s">
        <v>42</v>
      </c>
      <c r="W1413" t="s">
        <v>43</v>
      </c>
      <c r="X1413" s="19">
        <v>14</v>
      </c>
      <c r="Y1413">
        <v>3</v>
      </c>
      <c r="Z1413">
        <v>3</v>
      </c>
      <c r="AA1413">
        <v>80</v>
      </c>
      <c r="AB1413">
        <v>0</v>
      </c>
      <c r="AC1413">
        <v>6</v>
      </c>
      <c r="AD1413">
        <v>3</v>
      </c>
      <c r="AE1413">
        <v>3</v>
      </c>
      <c r="AF1413">
        <v>2</v>
      </c>
      <c r="AG1413">
        <v>0</v>
      </c>
      <c r="AH1413">
        <v>1</v>
      </c>
      <c r="AI1413">
        <v>2</v>
      </c>
      <c r="AJ1413">
        <f t="shared" si="220"/>
        <v>0</v>
      </c>
      <c r="AK1413">
        <f t="shared" si="221"/>
        <v>0</v>
      </c>
      <c r="AL1413">
        <f t="shared" si="222"/>
        <v>0</v>
      </c>
      <c r="AM1413">
        <f t="shared" si="223"/>
        <v>2.75</v>
      </c>
      <c r="AN1413">
        <f t="shared" si="224"/>
        <v>8748</v>
      </c>
      <c r="AO1413">
        <f t="shared" si="225"/>
        <v>0.2857142857142857</v>
      </c>
      <c r="AP1413" t="str">
        <f t="shared" si="226"/>
        <v>Under 30</v>
      </c>
      <c r="AQ1413" t="str">
        <f t="shared" si="227"/>
        <v>Low</v>
      </c>
      <c r="AR1413" t="str">
        <f t="shared" si="228"/>
        <v>Short</v>
      </c>
      <c r="AS1413">
        <f t="shared" si="229"/>
        <v>0</v>
      </c>
    </row>
    <row r="1414" spans="1:4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s="20">
        <v>3748</v>
      </c>
      <c r="T1414">
        <v>4077</v>
      </c>
      <c r="U1414">
        <v>1</v>
      </c>
      <c r="V1414" t="s">
        <v>42</v>
      </c>
      <c r="W1414" t="s">
        <v>43</v>
      </c>
      <c r="X1414" s="19">
        <v>13</v>
      </c>
      <c r="Y1414">
        <v>3</v>
      </c>
      <c r="Z1414">
        <v>3</v>
      </c>
      <c r="AA1414">
        <v>80</v>
      </c>
      <c r="AB1414">
        <v>0</v>
      </c>
      <c r="AC1414">
        <v>12</v>
      </c>
      <c r="AD1414">
        <v>6</v>
      </c>
      <c r="AE1414">
        <v>2</v>
      </c>
      <c r="AF1414">
        <v>12</v>
      </c>
      <c r="AG1414">
        <v>8</v>
      </c>
      <c r="AH1414">
        <v>1</v>
      </c>
      <c r="AI1414">
        <v>7</v>
      </c>
      <c r="AJ1414">
        <f t="shared" si="220"/>
        <v>0</v>
      </c>
      <c r="AK1414">
        <f t="shared" si="221"/>
        <v>0</v>
      </c>
      <c r="AL1414">
        <f t="shared" si="222"/>
        <v>1</v>
      </c>
      <c r="AM1414">
        <f t="shared" si="223"/>
        <v>2.75</v>
      </c>
      <c r="AN1414">
        <f t="shared" si="224"/>
        <v>3459.6923076923076</v>
      </c>
      <c r="AO1414">
        <f t="shared" si="225"/>
        <v>0.92307692307692313</v>
      </c>
      <c r="AP1414" t="str">
        <f t="shared" si="226"/>
        <v>30-39</v>
      </c>
      <c r="AQ1414" t="str">
        <f t="shared" si="227"/>
        <v>Medium</v>
      </c>
      <c r="AR1414" t="str">
        <f t="shared" si="228"/>
        <v>Short</v>
      </c>
      <c r="AS1414">
        <f t="shared" si="229"/>
        <v>0</v>
      </c>
    </row>
    <row r="1415" spans="1:4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s="20">
        <v>3977</v>
      </c>
      <c r="T1415">
        <v>7298</v>
      </c>
      <c r="U1415">
        <v>6</v>
      </c>
      <c r="V1415" t="s">
        <v>42</v>
      </c>
      <c r="W1415" t="s">
        <v>35</v>
      </c>
      <c r="X1415" s="19">
        <v>19</v>
      </c>
      <c r="Y1415">
        <v>3</v>
      </c>
      <c r="Z1415">
        <v>3</v>
      </c>
      <c r="AA1415">
        <v>80</v>
      </c>
      <c r="AB1415">
        <v>1</v>
      </c>
      <c r="AC1415">
        <v>7</v>
      </c>
      <c r="AD1415">
        <v>2</v>
      </c>
      <c r="AE1415">
        <v>2</v>
      </c>
      <c r="AF1415">
        <v>2</v>
      </c>
      <c r="AG1415">
        <v>2</v>
      </c>
      <c r="AH1415">
        <v>0</v>
      </c>
      <c r="AI1415">
        <v>2</v>
      </c>
      <c r="AJ1415">
        <f t="shared" si="220"/>
        <v>0</v>
      </c>
      <c r="AK1415">
        <f t="shared" si="221"/>
        <v>1</v>
      </c>
      <c r="AL1415">
        <f t="shared" si="222"/>
        <v>1</v>
      </c>
      <c r="AM1415">
        <f t="shared" si="223"/>
        <v>3</v>
      </c>
      <c r="AN1415">
        <f t="shared" si="224"/>
        <v>15908</v>
      </c>
      <c r="AO1415">
        <f t="shared" si="225"/>
        <v>0.25</v>
      </c>
      <c r="AP1415" t="str">
        <f t="shared" si="226"/>
        <v>Under 30</v>
      </c>
      <c r="AQ1415" t="str">
        <f t="shared" si="227"/>
        <v>Medium</v>
      </c>
      <c r="AR1415" t="str">
        <f t="shared" si="228"/>
        <v>Short</v>
      </c>
      <c r="AS1415">
        <f t="shared" si="229"/>
        <v>0</v>
      </c>
    </row>
    <row r="1416" spans="1:4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s="20">
        <v>8633</v>
      </c>
      <c r="T1416">
        <v>13084</v>
      </c>
      <c r="U1416">
        <v>2</v>
      </c>
      <c r="V1416" t="s">
        <v>42</v>
      </c>
      <c r="W1416" t="s">
        <v>43</v>
      </c>
      <c r="X1416" s="19">
        <v>23</v>
      </c>
      <c r="Y1416">
        <v>4</v>
      </c>
      <c r="Z1416">
        <v>2</v>
      </c>
      <c r="AA1416">
        <v>80</v>
      </c>
      <c r="AB1416">
        <v>0</v>
      </c>
      <c r="AC1416">
        <v>25</v>
      </c>
      <c r="AD1416">
        <v>3</v>
      </c>
      <c r="AE1416">
        <v>3</v>
      </c>
      <c r="AF1416">
        <v>17</v>
      </c>
      <c r="AG1416">
        <v>14</v>
      </c>
      <c r="AH1416">
        <v>12</v>
      </c>
      <c r="AI1416">
        <v>11</v>
      </c>
      <c r="AJ1416">
        <f t="shared" si="220"/>
        <v>0</v>
      </c>
      <c r="AK1416">
        <f t="shared" si="221"/>
        <v>0</v>
      </c>
      <c r="AL1416">
        <f t="shared" si="222"/>
        <v>1</v>
      </c>
      <c r="AM1416">
        <f t="shared" si="223"/>
        <v>2.25</v>
      </c>
      <c r="AN1416">
        <f t="shared" si="224"/>
        <v>5755.333333333333</v>
      </c>
      <c r="AO1416">
        <f t="shared" si="225"/>
        <v>0.65384615384615385</v>
      </c>
      <c r="AP1416" t="str">
        <f t="shared" si="226"/>
        <v>40-49</v>
      </c>
      <c r="AQ1416" t="str">
        <f t="shared" si="227"/>
        <v>Very High</v>
      </c>
      <c r="AR1416" t="str">
        <f t="shared" si="228"/>
        <v>Long</v>
      </c>
      <c r="AS1416">
        <f t="shared" si="229"/>
        <v>0</v>
      </c>
    </row>
    <row r="1417" spans="1:4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s="20">
        <v>2008</v>
      </c>
      <c r="T1417">
        <v>20439</v>
      </c>
      <c r="U1417">
        <v>1</v>
      </c>
      <c r="V1417" t="s">
        <v>42</v>
      </c>
      <c r="W1417" t="s">
        <v>43</v>
      </c>
      <c r="X1417" s="19">
        <v>12</v>
      </c>
      <c r="Y1417">
        <v>3</v>
      </c>
      <c r="Z1417">
        <v>3</v>
      </c>
      <c r="AA1417">
        <v>80</v>
      </c>
      <c r="AB1417">
        <v>3</v>
      </c>
      <c r="AC1417">
        <v>1</v>
      </c>
      <c r="AD1417">
        <v>2</v>
      </c>
      <c r="AE1417">
        <v>2</v>
      </c>
      <c r="AF1417">
        <v>1</v>
      </c>
      <c r="AG1417">
        <v>1</v>
      </c>
      <c r="AH1417">
        <v>0</v>
      </c>
      <c r="AI1417">
        <v>0</v>
      </c>
      <c r="AJ1417">
        <f t="shared" si="220"/>
        <v>0</v>
      </c>
      <c r="AK1417">
        <f t="shared" si="221"/>
        <v>0</v>
      </c>
      <c r="AL1417">
        <f t="shared" si="222"/>
        <v>1</v>
      </c>
      <c r="AM1417">
        <f t="shared" si="223"/>
        <v>2.5</v>
      </c>
      <c r="AN1417">
        <f t="shared" si="224"/>
        <v>12048</v>
      </c>
      <c r="AO1417">
        <f t="shared" si="225"/>
        <v>0.5</v>
      </c>
      <c r="AP1417" t="str">
        <f t="shared" si="226"/>
        <v>30-39</v>
      </c>
      <c r="AQ1417" t="str">
        <f t="shared" si="227"/>
        <v>Low</v>
      </c>
      <c r="AR1417" t="str">
        <f t="shared" si="228"/>
        <v>Short</v>
      </c>
      <c r="AS1417">
        <f t="shared" si="229"/>
        <v>0</v>
      </c>
    </row>
    <row r="1418" spans="1:4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s="20">
        <v>4440</v>
      </c>
      <c r="T1418">
        <v>7636</v>
      </c>
      <c r="U1418">
        <v>0</v>
      </c>
      <c r="V1418" t="s">
        <v>42</v>
      </c>
      <c r="W1418" t="s">
        <v>43</v>
      </c>
      <c r="X1418" s="19">
        <v>15</v>
      </c>
      <c r="Y1418">
        <v>3</v>
      </c>
      <c r="Z1418">
        <v>1</v>
      </c>
      <c r="AA1418">
        <v>80</v>
      </c>
      <c r="AB1418">
        <v>2</v>
      </c>
      <c r="AC1418">
        <v>16</v>
      </c>
      <c r="AD1418">
        <v>3</v>
      </c>
      <c r="AE1418">
        <v>3</v>
      </c>
      <c r="AF1418">
        <v>15</v>
      </c>
      <c r="AG1418">
        <v>13</v>
      </c>
      <c r="AH1418">
        <v>5</v>
      </c>
      <c r="AI1418">
        <v>8</v>
      </c>
      <c r="AJ1418">
        <f t="shared" si="220"/>
        <v>0</v>
      </c>
      <c r="AK1418">
        <f t="shared" si="221"/>
        <v>0</v>
      </c>
      <c r="AL1418">
        <f t="shared" si="222"/>
        <v>1</v>
      </c>
      <c r="AM1418">
        <f t="shared" si="223"/>
        <v>2.5</v>
      </c>
      <c r="AN1418">
        <f t="shared" si="224"/>
        <v>3330</v>
      </c>
      <c r="AO1418">
        <f t="shared" si="225"/>
        <v>0.88235294117647056</v>
      </c>
      <c r="AP1418" t="str">
        <f t="shared" si="226"/>
        <v>30-39</v>
      </c>
      <c r="AQ1418" t="str">
        <f t="shared" si="227"/>
        <v>Medium</v>
      </c>
      <c r="AR1418" t="str">
        <f t="shared" si="228"/>
        <v>Short</v>
      </c>
      <c r="AS1418">
        <f t="shared" si="229"/>
        <v>0</v>
      </c>
    </row>
    <row r="1419" spans="1:4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s="20">
        <v>3067</v>
      </c>
      <c r="T1419">
        <v>6393</v>
      </c>
      <c r="U1419">
        <v>0</v>
      </c>
      <c r="V1419" t="s">
        <v>42</v>
      </c>
      <c r="W1419" t="s">
        <v>43</v>
      </c>
      <c r="X1419" s="19">
        <v>19</v>
      </c>
      <c r="Y1419">
        <v>3</v>
      </c>
      <c r="Z1419">
        <v>3</v>
      </c>
      <c r="AA1419">
        <v>80</v>
      </c>
      <c r="AB1419">
        <v>1</v>
      </c>
      <c r="AC1419">
        <v>3</v>
      </c>
      <c r="AD1419">
        <v>1</v>
      </c>
      <c r="AE1419">
        <v>3</v>
      </c>
      <c r="AF1419">
        <v>2</v>
      </c>
      <c r="AG1419">
        <v>2</v>
      </c>
      <c r="AH1419">
        <v>1</v>
      </c>
      <c r="AI1419">
        <v>2</v>
      </c>
      <c r="AJ1419">
        <f t="shared" si="220"/>
        <v>0</v>
      </c>
      <c r="AK1419">
        <f t="shared" si="221"/>
        <v>0</v>
      </c>
      <c r="AL1419">
        <f t="shared" si="222"/>
        <v>1</v>
      </c>
      <c r="AM1419">
        <f t="shared" si="223"/>
        <v>2.5</v>
      </c>
      <c r="AN1419">
        <f t="shared" si="224"/>
        <v>12268</v>
      </c>
      <c r="AO1419">
        <f t="shared" si="225"/>
        <v>0.5</v>
      </c>
      <c r="AP1419" t="str">
        <f t="shared" si="226"/>
        <v>30-39</v>
      </c>
      <c r="AQ1419" t="str">
        <f t="shared" si="227"/>
        <v>Medium</v>
      </c>
      <c r="AR1419" t="str">
        <f t="shared" si="228"/>
        <v>Short</v>
      </c>
      <c r="AS1419">
        <f t="shared" si="229"/>
        <v>0</v>
      </c>
    </row>
    <row r="1420" spans="1:4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s="20">
        <v>5321</v>
      </c>
      <c r="T1420">
        <v>14284</v>
      </c>
      <c r="U1420">
        <v>2</v>
      </c>
      <c r="V1420" t="s">
        <v>42</v>
      </c>
      <c r="W1420" t="s">
        <v>43</v>
      </c>
      <c r="X1420" s="19">
        <v>11</v>
      </c>
      <c r="Y1420">
        <v>3</v>
      </c>
      <c r="Z1420">
        <v>4</v>
      </c>
      <c r="AA1420">
        <v>80</v>
      </c>
      <c r="AB1420">
        <v>1</v>
      </c>
      <c r="AC1420">
        <v>10</v>
      </c>
      <c r="AD1420">
        <v>1</v>
      </c>
      <c r="AE1420">
        <v>3</v>
      </c>
      <c r="AF1420">
        <v>8</v>
      </c>
      <c r="AG1420">
        <v>3</v>
      </c>
      <c r="AH1420">
        <v>7</v>
      </c>
      <c r="AI1420">
        <v>7</v>
      </c>
      <c r="AJ1420">
        <f t="shared" si="220"/>
        <v>0</v>
      </c>
      <c r="AK1420">
        <f t="shared" si="221"/>
        <v>0</v>
      </c>
      <c r="AL1420">
        <f t="shared" si="222"/>
        <v>1</v>
      </c>
      <c r="AM1420">
        <f t="shared" si="223"/>
        <v>2.75</v>
      </c>
      <c r="AN1420">
        <f t="shared" si="224"/>
        <v>7094.666666666667</v>
      </c>
      <c r="AO1420">
        <f t="shared" si="225"/>
        <v>0.72727272727272729</v>
      </c>
      <c r="AP1420" t="str">
        <f t="shared" si="226"/>
        <v>30-39</v>
      </c>
      <c r="AQ1420" t="str">
        <f t="shared" si="227"/>
        <v>High</v>
      </c>
      <c r="AR1420" t="str">
        <f t="shared" si="228"/>
        <v>Medium</v>
      </c>
      <c r="AS1420">
        <f t="shared" si="229"/>
        <v>1</v>
      </c>
    </row>
    <row r="1421" spans="1:4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s="20">
        <v>5410</v>
      </c>
      <c r="T1421">
        <v>11189</v>
      </c>
      <c r="U1421">
        <v>6</v>
      </c>
      <c r="V1421" t="s">
        <v>42</v>
      </c>
      <c r="W1421" t="s">
        <v>35</v>
      </c>
      <c r="X1421" s="19">
        <v>17</v>
      </c>
      <c r="Y1421">
        <v>3</v>
      </c>
      <c r="Z1421">
        <v>3</v>
      </c>
      <c r="AA1421">
        <v>80</v>
      </c>
      <c r="AB1421">
        <v>1</v>
      </c>
      <c r="AC1421">
        <v>9</v>
      </c>
      <c r="AD1421">
        <v>3</v>
      </c>
      <c r="AE1421">
        <v>2</v>
      </c>
      <c r="AF1421">
        <v>4</v>
      </c>
      <c r="AG1421">
        <v>3</v>
      </c>
      <c r="AH1421">
        <v>1</v>
      </c>
      <c r="AI1421">
        <v>2</v>
      </c>
      <c r="AJ1421">
        <f t="shared" si="220"/>
        <v>0</v>
      </c>
      <c r="AK1421">
        <f t="shared" si="221"/>
        <v>1</v>
      </c>
      <c r="AL1421">
        <f t="shared" si="222"/>
        <v>1</v>
      </c>
      <c r="AM1421">
        <f t="shared" si="223"/>
        <v>2.5</v>
      </c>
      <c r="AN1421">
        <f t="shared" si="224"/>
        <v>12984</v>
      </c>
      <c r="AO1421">
        <f t="shared" si="225"/>
        <v>0.4</v>
      </c>
      <c r="AP1421" t="str">
        <f t="shared" si="226"/>
        <v>40-49</v>
      </c>
      <c r="AQ1421" t="str">
        <f t="shared" si="227"/>
        <v>High</v>
      </c>
      <c r="AR1421" t="str">
        <f t="shared" si="228"/>
        <v>Long</v>
      </c>
      <c r="AS1421">
        <f t="shared" si="229"/>
        <v>0</v>
      </c>
    </row>
    <row r="1422" spans="1:4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s="20">
        <v>2782</v>
      </c>
      <c r="T1422">
        <v>21412</v>
      </c>
      <c r="U1422">
        <v>3</v>
      </c>
      <c r="V1422" t="s">
        <v>42</v>
      </c>
      <c r="W1422" t="s">
        <v>43</v>
      </c>
      <c r="X1422" s="19">
        <v>22</v>
      </c>
      <c r="Y1422">
        <v>4</v>
      </c>
      <c r="Z1422">
        <v>1</v>
      </c>
      <c r="AA1422">
        <v>80</v>
      </c>
      <c r="AB1422">
        <v>1</v>
      </c>
      <c r="AC1422">
        <v>12</v>
      </c>
      <c r="AD1422">
        <v>3</v>
      </c>
      <c r="AE1422">
        <v>3</v>
      </c>
      <c r="AF1422">
        <v>5</v>
      </c>
      <c r="AG1422">
        <v>3</v>
      </c>
      <c r="AH1422">
        <v>1</v>
      </c>
      <c r="AI1422">
        <v>0</v>
      </c>
      <c r="AJ1422">
        <f t="shared" si="220"/>
        <v>0</v>
      </c>
      <c r="AK1422">
        <f t="shared" si="221"/>
        <v>0</v>
      </c>
      <c r="AL1422">
        <f t="shared" si="222"/>
        <v>1</v>
      </c>
      <c r="AM1422">
        <f t="shared" si="223"/>
        <v>3</v>
      </c>
      <c r="AN1422">
        <f t="shared" si="224"/>
        <v>5564</v>
      </c>
      <c r="AO1422">
        <f t="shared" si="225"/>
        <v>0.38461538461538464</v>
      </c>
      <c r="AP1422" t="str">
        <f t="shared" si="226"/>
        <v>40-49</v>
      </c>
      <c r="AQ1422" t="str">
        <f t="shared" si="227"/>
        <v>Low</v>
      </c>
      <c r="AR1422" t="str">
        <f t="shared" si="228"/>
        <v>Short</v>
      </c>
      <c r="AS1422">
        <f t="shared" si="229"/>
        <v>0</v>
      </c>
    </row>
    <row r="1423" spans="1:4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s="20">
        <v>11957</v>
      </c>
      <c r="T1423">
        <v>17231</v>
      </c>
      <c r="U1423">
        <v>0</v>
      </c>
      <c r="V1423" t="s">
        <v>42</v>
      </c>
      <c r="W1423" t="s">
        <v>43</v>
      </c>
      <c r="X1423" s="19">
        <v>18</v>
      </c>
      <c r="Y1423">
        <v>3</v>
      </c>
      <c r="Z1423">
        <v>1</v>
      </c>
      <c r="AA1423">
        <v>80</v>
      </c>
      <c r="AB1423">
        <v>2</v>
      </c>
      <c r="AC1423">
        <v>14</v>
      </c>
      <c r="AD1423">
        <v>3</v>
      </c>
      <c r="AE1423">
        <v>1</v>
      </c>
      <c r="AF1423">
        <v>13</v>
      </c>
      <c r="AG1423">
        <v>8</v>
      </c>
      <c r="AH1423">
        <v>5</v>
      </c>
      <c r="AI1423">
        <v>12</v>
      </c>
      <c r="AJ1423">
        <f t="shared" si="220"/>
        <v>0</v>
      </c>
      <c r="AK1423">
        <f t="shared" si="221"/>
        <v>0</v>
      </c>
      <c r="AL1423">
        <f t="shared" si="222"/>
        <v>0</v>
      </c>
      <c r="AM1423">
        <f t="shared" si="223"/>
        <v>1.75</v>
      </c>
      <c r="AN1423">
        <f t="shared" si="224"/>
        <v>10248.857142857143</v>
      </c>
      <c r="AO1423">
        <f t="shared" si="225"/>
        <v>0.8666666666666667</v>
      </c>
      <c r="AP1423" t="str">
        <f t="shared" si="226"/>
        <v>40-49</v>
      </c>
      <c r="AQ1423" t="str">
        <f t="shared" si="227"/>
        <v>Very High</v>
      </c>
      <c r="AR1423" t="str">
        <f t="shared" si="228"/>
        <v>Short</v>
      </c>
      <c r="AS1423">
        <f t="shared" si="229"/>
        <v>0</v>
      </c>
    </row>
    <row r="1424" spans="1:4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s="20">
        <v>2660</v>
      </c>
      <c r="T1424">
        <v>20232</v>
      </c>
      <c r="U1424">
        <v>7</v>
      </c>
      <c r="V1424" t="s">
        <v>42</v>
      </c>
      <c r="W1424" t="s">
        <v>35</v>
      </c>
      <c r="X1424" s="19">
        <v>11</v>
      </c>
      <c r="Y1424">
        <v>3</v>
      </c>
      <c r="Z1424">
        <v>3</v>
      </c>
      <c r="AA1424">
        <v>80</v>
      </c>
      <c r="AB1424">
        <v>1</v>
      </c>
      <c r="AC1424">
        <v>5</v>
      </c>
      <c r="AD1424">
        <v>3</v>
      </c>
      <c r="AE1424">
        <v>3</v>
      </c>
      <c r="AF1424">
        <v>2</v>
      </c>
      <c r="AG1424">
        <v>2</v>
      </c>
      <c r="AH1424">
        <v>2</v>
      </c>
      <c r="AI1424">
        <v>2</v>
      </c>
      <c r="AJ1424">
        <f t="shared" si="220"/>
        <v>0</v>
      </c>
      <c r="AK1424">
        <f t="shared" si="221"/>
        <v>1</v>
      </c>
      <c r="AL1424">
        <f t="shared" si="222"/>
        <v>1</v>
      </c>
      <c r="AM1424">
        <f t="shared" si="223"/>
        <v>3.25</v>
      </c>
      <c r="AN1424">
        <f t="shared" si="224"/>
        <v>10640</v>
      </c>
      <c r="AO1424">
        <f t="shared" si="225"/>
        <v>0.33333333333333331</v>
      </c>
      <c r="AP1424" t="str">
        <f t="shared" si="226"/>
        <v>30-39</v>
      </c>
      <c r="AQ1424" t="str">
        <f t="shared" si="227"/>
        <v>Low</v>
      </c>
      <c r="AR1424" t="str">
        <f t="shared" si="228"/>
        <v>Medium</v>
      </c>
      <c r="AS1424">
        <f t="shared" si="229"/>
        <v>0</v>
      </c>
    </row>
    <row r="1425" spans="1:4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s="20">
        <v>3375</v>
      </c>
      <c r="T1425">
        <v>17624</v>
      </c>
      <c r="U1425">
        <v>0</v>
      </c>
      <c r="V1425" t="s">
        <v>42</v>
      </c>
      <c r="W1425" t="s">
        <v>43</v>
      </c>
      <c r="X1425" s="19">
        <v>12</v>
      </c>
      <c r="Y1425">
        <v>3</v>
      </c>
      <c r="Z1425">
        <v>4</v>
      </c>
      <c r="AA1425">
        <v>80</v>
      </c>
      <c r="AB1425">
        <v>0</v>
      </c>
      <c r="AC1425">
        <v>4</v>
      </c>
      <c r="AD1425">
        <v>2</v>
      </c>
      <c r="AE1425">
        <v>4</v>
      </c>
      <c r="AF1425">
        <v>3</v>
      </c>
      <c r="AG1425">
        <v>2</v>
      </c>
      <c r="AH1425">
        <v>1</v>
      </c>
      <c r="AI1425">
        <v>2</v>
      </c>
      <c r="AJ1425">
        <f t="shared" si="220"/>
        <v>0</v>
      </c>
      <c r="AK1425">
        <f t="shared" si="221"/>
        <v>0</v>
      </c>
      <c r="AL1425">
        <f t="shared" si="222"/>
        <v>1</v>
      </c>
      <c r="AM1425">
        <f t="shared" si="223"/>
        <v>3.75</v>
      </c>
      <c r="AN1425">
        <f t="shared" si="224"/>
        <v>10125</v>
      </c>
      <c r="AO1425">
        <f t="shared" si="225"/>
        <v>0.6</v>
      </c>
      <c r="AP1425" t="str">
        <f t="shared" si="226"/>
        <v>Under 30</v>
      </c>
      <c r="AQ1425" t="str">
        <f t="shared" si="227"/>
        <v>Medium</v>
      </c>
      <c r="AR1425" t="str">
        <f t="shared" si="228"/>
        <v>Short</v>
      </c>
      <c r="AS1425">
        <f t="shared" si="229"/>
        <v>0</v>
      </c>
    </row>
    <row r="1426" spans="1:4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s="20">
        <v>5098</v>
      </c>
      <c r="T1426">
        <v>18698</v>
      </c>
      <c r="U1426">
        <v>1</v>
      </c>
      <c r="V1426" t="s">
        <v>42</v>
      </c>
      <c r="W1426" t="s">
        <v>43</v>
      </c>
      <c r="X1426" s="19">
        <v>19</v>
      </c>
      <c r="Y1426">
        <v>3</v>
      </c>
      <c r="Z1426">
        <v>2</v>
      </c>
      <c r="AA1426">
        <v>80</v>
      </c>
      <c r="AB1426">
        <v>0</v>
      </c>
      <c r="AC1426">
        <v>10</v>
      </c>
      <c r="AD1426">
        <v>5</v>
      </c>
      <c r="AE1426">
        <v>3</v>
      </c>
      <c r="AF1426">
        <v>10</v>
      </c>
      <c r="AG1426">
        <v>7</v>
      </c>
      <c r="AH1426">
        <v>0</v>
      </c>
      <c r="AI1426">
        <v>8</v>
      </c>
      <c r="AJ1426">
        <f t="shared" si="220"/>
        <v>0</v>
      </c>
      <c r="AK1426">
        <f t="shared" si="221"/>
        <v>0</v>
      </c>
      <c r="AL1426">
        <f t="shared" si="222"/>
        <v>1</v>
      </c>
      <c r="AM1426">
        <f t="shared" si="223"/>
        <v>2.5</v>
      </c>
      <c r="AN1426">
        <f t="shared" si="224"/>
        <v>5561.454545454545</v>
      </c>
      <c r="AO1426">
        <f t="shared" si="225"/>
        <v>0.90909090909090906</v>
      </c>
      <c r="AP1426" t="str">
        <f t="shared" si="226"/>
        <v>30-39</v>
      </c>
      <c r="AQ1426" t="str">
        <f t="shared" si="227"/>
        <v>High</v>
      </c>
      <c r="AR1426" t="str">
        <f t="shared" si="228"/>
        <v>Medium</v>
      </c>
      <c r="AS1426">
        <f t="shared" si="229"/>
        <v>0</v>
      </c>
    </row>
    <row r="1427" spans="1:4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s="20">
        <v>4878</v>
      </c>
      <c r="T1427">
        <v>21653</v>
      </c>
      <c r="U1427">
        <v>0</v>
      </c>
      <c r="V1427" t="s">
        <v>42</v>
      </c>
      <c r="W1427" t="s">
        <v>35</v>
      </c>
      <c r="X1427" s="19">
        <v>13</v>
      </c>
      <c r="Y1427">
        <v>3</v>
      </c>
      <c r="Z1427">
        <v>1</v>
      </c>
      <c r="AA1427">
        <v>80</v>
      </c>
      <c r="AB1427">
        <v>1</v>
      </c>
      <c r="AC1427">
        <v>10</v>
      </c>
      <c r="AD1427">
        <v>6</v>
      </c>
      <c r="AE1427">
        <v>3</v>
      </c>
      <c r="AF1427">
        <v>9</v>
      </c>
      <c r="AG1427">
        <v>7</v>
      </c>
      <c r="AH1427">
        <v>8</v>
      </c>
      <c r="AI1427">
        <v>1</v>
      </c>
      <c r="AJ1427">
        <f t="shared" si="220"/>
        <v>0</v>
      </c>
      <c r="AK1427">
        <f t="shared" si="221"/>
        <v>1</v>
      </c>
      <c r="AL1427">
        <f t="shared" si="222"/>
        <v>0</v>
      </c>
      <c r="AM1427">
        <f t="shared" si="223"/>
        <v>2.5</v>
      </c>
      <c r="AN1427">
        <f t="shared" si="224"/>
        <v>5853.6</v>
      </c>
      <c r="AO1427">
        <f t="shared" si="225"/>
        <v>0.81818181818181823</v>
      </c>
      <c r="AP1427" t="str">
        <f t="shared" si="226"/>
        <v>30-39</v>
      </c>
      <c r="AQ1427" t="str">
        <f t="shared" si="227"/>
        <v>Medium</v>
      </c>
      <c r="AR1427" t="str">
        <f t="shared" si="228"/>
        <v>Medium</v>
      </c>
      <c r="AS1427">
        <f t="shared" si="229"/>
        <v>0</v>
      </c>
    </row>
    <row r="1428" spans="1:4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s="20">
        <v>2837</v>
      </c>
      <c r="T1428">
        <v>15919</v>
      </c>
      <c r="U1428">
        <v>1</v>
      </c>
      <c r="V1428" t="s">
        <v>42</v>
      </c>
      <c r="W1428" t="s">
        <v>43</v>
      </c>
      <c r="X1428" s="19">
        <v>13</v>
      </c>
      <c r="Y1428">
        <v>3</v>
      </c>
      <c r="Z1428">
        <v>3</v>
      </c>
      <c r="AA1428">
        <v>80</v>
      </c>
      <c r="AB1428">
        <v>0</v>
      </c>
      <c r="AC1428">
        <v>6</v>
      </c>
      <c r="AD1428">
        <v>3</v>
      </c>
      <c r="AE1428">
        <v>3</v>
      </c>
      <c r="AF1428">
        <v>6</v>
      </c>
      <c r="AG1428">
        <v>2</v>
      </c>
      <c r="AH1428">
        <v>4</v>
      </c>
      <c r="AI1428">
        <v>1</v>
      </c>
      <c r="AJ1428">
        <f t="shared" si="220"/>
        <v>0</v>
      </c>
      <c r="AK1428">
        <f t="shared" si="221"/>
        <v>0</v>
      </c>
      <c r="AL1428">
        <f t="shared" si="222"/>
        <v>0</v>
      </c>
      <c r="AM1428">
        <f t="shared" si="223"/>
        <v>2.75</v>
      </c>
      <c r="AN1428">
        <f t="shared" si="224"/>
        <v>4863.4285714285716</v>
      </c>
      <c r="AO1428">
        <f t="shared" si="225"/>
        <v>0.8571428571428571</v>
      </c>
      <c r="AP1428" t="str">
        <f t="shared" si="226"/>
        <v>30-39</v>
      </c>
      <c r="AQ1428" t="str">
        <f t="shared" si="227"/>
        <v>Low</v>
      </c>
      <c r="AR1428" t="str">
        <f t="shared" si="228"/>
        <v>Long</v>
      </c>
      <c r="AS1428">
        <f t="shared" si="229"/>
        <v>0</v>
      </c>
    </row>
    <row r="1429" spans="1:4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s="20">
        <v>2406</v>
      </c>
      <c r="T1429">
        <v>4060</v>
      </c>
      <c r="U1429">
        <v>8</v>
      </c>
      <c r="V1429" t="s">
        <v>42</v>
      </c>
      <c r="W1429" t="s">
        <v>43</v>
      </c>
      <c r="X1429" s="19">
        <v>19</v>
      </c>
      <c r="Y1429">
        <v>3</v>
      </c>
      <c r="Z1429">
        <v>3</v>
      </c>
      <c r="AA1429">
        <v>80</v>
      </c>
      <c r="AB1429">
        <v>2</v>
      </c>
      <c r="AC1429">
        <v>8</v>
      </c>
      <c r="AD1429">
        <v>3</v>
      </c>
      <c r="AE1429">
        <v>2</v>
      </c>
      <c r="AF1429">
        <v>1</v>
      </c>
      <c r="AG1429">
        <v>0</v>
      </c>
      <c r="AH1429">
        <v>0</v>
      </c>
      <c r="AI1429">
        <v>0</v>
      </c>
      <c r="AJ1429">
        <f t="shared" si="220"/>
        <v>0</v>
      </c>
      <c r="AK1429">
        <f t="shared" si="221"/>
        <v>0</v>
      </c>
      <c r="AL1429">
        <f t="shared" si="222"/>
        <v>1</v>
      </c>
      <c r="AM1429">
        <f t="shared" si="223"/>
        <v>2.5</v>
      </c>
      <c r="AN1429">
        <f t="shared" si="224"/>
        <v>14436</v>
      </c>
      <c r="AO1429">
        <f t="shared" si="225"/>
        <v>0.1111111111111111</v>
      </c>
      <c r="AP1429" t="str">
        <f t="shared" si="226"/>
        <v>40-49</v>
      </c>
      <c r="AQ1429" t="str">
        <f t="shared" si="227"/>
        <v>Low</v>
      </c>
      <c r="AR1429" t="str">
        <f t="shared" si="228"/>
        <v>Short</v>
      </c>
      <c r="AS1429">
        <f t="shared" si="229"/>
        <v>0</v>
      </c>
    </row>
    <row r="1430" spans="1:4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s="20">
        <v>2269</v>
      </c>
      <c r="T1430">
        <v>18024</v>
      </c>
      <c r="U1430">
        <v>0</v>
      </c>
      <c r="V1430" t="s">
        <v>42</v>
      </c>
      <c r="W1430" t="s">
        <v>43</v>
      </c>
      <c r="X1430" s="19">
        <v>14</v>
      </c>
      <c r="Y1430">
        <v>3</v>
      </c>
      <c r="Z1430">
        <v>2</v>
      </c>
      <c r="AA1430">
        <v>80</v>
      </c>
      <c r="AB1430">
        <v>1</v>
      </c>
      <c r="AC1430">
        <v>3</v>
      </c>
      <c r="AD1430">
        <v>2</v>
      </c>
      <c r="AE1430">
        <v>3</v>
      </c>
      <c r="AF1430">
        <v>2</v>
      </c>
      <c r="AG1430">
        <v>2</v>
      </c>
      <c r="AH1430">
        <v>2</v>
      </c>
      <c r="AI1430">
        <v>2</v>
      </c>
      <c r="AJ1430">
        <f t="shared" si="220"/>
        <v>0</v>
      </c>
      <c r="AK1430">
        <f t="shared" si="221"/>
        <v>0</v>
      </c>
      <c r="AL1430">
        <f t="shared" si="222"/>
        <v>1</v>
      </c>
      <c r="AM1430">
        <f t="shared" si="223"/>
        <v>2.25</v>
      </c>
      <c r="AN1430">
        <f t="shared" si="224"/>
        <v>9076</v>
      </c>
      <c r="AO1430">
        <f t="shared" si="225"/>
        <v>0.5</v>
      </c>
      <c r="AP1430" t="str">
        <f t="shared" si="226"/>
        <v>30-39</v>
      </c>
      <c r="AQ1430" t="str">
        <f t="shared" si="227"/>
        <v>Low</v>
      </c>
      <c r="AR1430" t="str">
        <f t="shared" si="228"/>
        <v>Short</v>
      </c>
      <c r="AS1430">
        <f t="shared" si="229"/>
        <v>0</v>
      </c>
    </row>
    <row r="1431" spans="1:4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s="20">
        <v>4108</v>
      </c>
      <c r="T1431">
        <v>5340</v>
      </c>
      <c r="U1431">
        <v>7</v>
      </c>
      <c r="V1431" t="s">
        <v>42</v>
      </c>
      <c r="W1431" t="s">
        <v>43</v>
      </c>
      <c r="X1431" s="19">
        <v>13</v>
      </c>
      <c r="Y1431">
        <v>3</v>
      </c>
      <c r="Z1431">
        <v>1</v>
      </c>
      <c r="AA1431">
        <v>80</v>
      </c>
      <c r="AB1431">
        <v>0</v>
      </c>
      <c r="AC1431">
        <v>18</v>
      </c>
      <c r="AD1431">
        <v>2</v>
      </c>
      <c r="AE1431">
        <v>3</v>
      </c>
      <c r="AF1431">
        <v>7</v>
      </c>
      <c r="AG1431">
        <v>7</v>
      </c>
      <c r="AH1431">
        <v>1</v>
      </c>
      <c r="AI1431">
        <v>7</v>
      </c>
      <c r="AJ1431">
        <f t="shared" si="220"/>
        <v>0</v>
      </c>
      <c r="AK1431">
        <f t="shared" si="221"/>
        <v>0</v>
      </c>
      <c r="AL1431">
        <f t="shared" si="222"/>
        <v>1</v>
      </c>
      <c r="AM1431">
        <f t="shared" si="223"/>
        <v>2.25</v>
      </c>
      <c r="AN1431">
        <f t="shared" si="224"/>
        <v>6162</v>
      </c>
      <c r="AO1431">
        <f t="shared" si="225"/>
        <v>0.36842105263157893</v>
      </c>
      <c r="AP1431" t="str">
        <f t="shared" si="226"/>
        <v>30-39</v>
      </c>
      <c r="AQ1431" t="str">
        <f t="shared" si="227"/>
        <v>Medium</v>
      </c>
      <c r="AR1431" t="str">
        <f t="shared" si="228"/>
        <v>Long</v>
      </c>
      <c r="AS1431">
        <f t="shared" si="229"/>
        <v>0</v>
      </c>
    </row>
    <row r="1432" spans="1:4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s="20">
        <v>13206</v>
      </c>
      <c r="T1432">
        <v>3376</v>
      </c>
      <c r="U1432">
        <v>3</v>
      </c>
      <c r="V1432" t="s">
        <v>42</v>
      </c>
      <c r="W1432" t="s">
        <v>43</v>
      </c>
      <c r="X1432" s="19">
        <v>12</v>
      </c>
      <c r="Y1432">
        <v>3</v>
      </c>
      <c r="Z1432">
        <v>1</v>
      </c>
      <c r="AA1432">
        <v>80</v>
      </c>
      <c r="AB1432">
        <v>1</v>
      </c>
      <c r="AC1432">
        <v>20</v>
      </c>
      <c r="AD1432">
        <v>3</v>
      </c>
      <c r="AE1432">
        <v>3</v>
      </c>
      <c r="AF1432">
        <v>18</v>
      </c>
      <c r="AG1432">
        <v>16</v>
      </c>
      <c r="AH1432">
        <v>1</v>
      </c>
      <c r="AI1432">
        <v>11</v>
      </c>
      <c r="AJ1432">
        <f t="shared" si="220"/>
        <v>0</v>
      </c>
      <c r="AK1432">
        <f t="shared" si="221"/>
        <v>0</v>
      </c>
      <c r="AL1432">
        <f t="shared" si="222"/>
        <v>0</v>
      </c>
      <c r="AM1432">
        <f t="shared" si="223"/>
        <v>2.25</v>
      </c>
      <c r="AN1432">
        <f t="shared" si="224"/>
        <v>8340.6315789473683</v>
      </c>
      <c r="AO1432">
        <f t="shared" si="225"/>
        <v>0.8571428571428571</v>
      </c>
      <c r="AP1432" t="str">
        <f t="shared" si="226"/>
        <v>30-39</v>
      </c>
      <c r="AQ1432" t="str">
        <f t="shared" si="227"/>
        <v>Very High</v>
      </c>
      <c r="AR1432" t="str">
        <f t="shared" si="228"/>
        <v>Medium</v>
      </c>
      <c r="AS1432">
        <f t="shared" si="229"/>
        <v>0</v>
      </c>
    </row>
    <row r="1433" spans="1:4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s="20">
        <v>10422</v>
      </c>
      <c r="T1433">
        <v>24032</v>
      </c>
      <c r="U1433">
        <v>1</v>
      </c>
      <c r="V1433" t="s">
        <v>42</v>
      </c>
      <c r="W1433" t="s">
        <v>43</v>
      </c>
      <c r="X1433" s="19">
        <v>19</v>
      </c>
      <c r="Y1433">
        <v>3</v>
      </c>
      <c r="Z1433">
        <v>3</v>
      </c>
      <c r="AA1433">
        <v>80</v>
      </c>
      <c r="AB1433">
        <v>2</v>
      </c>
      <c r="AC1433">
        <v>14</v>
      </c>
      <c r="AD1433">
        <v>3</v>
      </c>
      <c r="AE1433">
        <v>3</v>
      </c>
      <c r="AF1433">
        <v>14</v>
      </c>
      <c r="AG1433">
        <v>10</v>
      </c>
      <c r="AH1433">
        <v>5</v>
      </c>
      <c r="AI1433">
        <v>7</v>
      </c>
      <c r="AJ1433">
        <f t="shared" si="220"/>
        <v>0</v>
      </c>
      <c r="AK1433">
        <f t="shared" si="221"/>
        <v>0</v>
      </c>
      <c r="AL1433">
        <f t="shared" si="222"/>
        <v>0</v>
      </c>
      <c r="AM1433">
        <f t="shared" si="223"/>
        <v>3.25</v>
      </c>
      <c r="AN1433">
        <f t="shared" si="224"/>
        <v>8337.6</v>
      </c>
      <c r="AO1433">
        <f t="shared" si="225"/>
        <v>0.93333333333333335</v>
      </c>
      <c r="AP1433" t="str">
        <f t="shared" si="226"/>
        <v>30-39</v>
      </c>
      <c r="AQ1433" t="str">
        <f t="shared" si="227"/>
        <v>Very High</v>
      </c>
      <c r="AR1433" t="str">
        <f t="shared" si="228"/>
        <v>Short</v>
      </c>
      <c r="AS1433">
        <f t="shared" si="229"/>
        <v>0</v>
      </c>
    </row>
    <row r="1434" spans="1:4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s="20">
        <v>13744</v>
      </c>
      <c r="T1434">
        <v>15471</v>
      </c>
      <c r="U1434">
        <v>1</v>
      </c>
      <c r="V1434" t="s">
        <v>42</v>
      </c>
      <c r="W1434" t="s">
        <v>35</v>
      </c>
      <c r="X1434" s="19">
        <v>25</v>
      </c>
      <c r="Y1434">
        <v>4</v>
      </c>
      <c r="Z1434">
        <v>1</v>
      </c>
      <c r="AA1434">
        <v>80</v>
      </c>
      <c r="AB1434">
        <v>1</v>
      </c>
      <c r="AC1434">
        <v>16</v>
      </c>
      <c r="AD1434">
        <v>2</v>
      </c>
      <c r="AE1434">
        <v>3</v>
      </c>
      <c r="AF1434">
        <v>16</v>
      </c>
      <c r="AG1434">
        <v>11</v>
      </c>
      <c r="AH1434">
        <v>6</v>
      </c>
      <c r="AI1434">
        <v>8</v>
      </c>
      <c r="AJ1434">
        <f t="shared" si="220"/>
        <v>0</v>
      </c>
      <c r="AK1434">
        <f t="shared" si="221"/>
        <v>1</v>
      </c>
      <c r="AL1434">
        <f t="shared" si="222"/>
        <v>0</v>
      </c>
      <c r="AM1434">
        <f t="shared" si="223"/>
        <v>2.75</v>
      </c>
      <c r="AN1434">
        <f t="shared" si="224"/>
        <v>9701.6470588235297</v>
      </c>
      <c r="AO1434">
        <f t="shared" si="225"/>
        <v>0.94117647058823528</v>
      </c>
      <c r="AP1434" t="str">
        <f t="shared" si="226"/>
        <v>30-39</v>
      </c>
      <c r="AQ1434" t="str">
        <f t="shared" si="227"/>
        <v>Very High</v>
      </c>
      <c r="AR1434" t="str">
        <f t="shared" si="228"/>
        <v>Medium</v>
      </c>
      <c r="AS1434">
        <f t="shared" si="229"/>
        <v>0</v>
      </c>
    </row>
    <row r="1435" spans="1:4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s="20">
        <v>4907</v>
      </c>
      <c r="T1435">
        <v>13684</v>
      </c>
      <c r="U1435">
        <v>0</v>
      </c>
      <c r="V1435" t="s">
        <v>42</v>
      </c>
      <c r="W1435" t="s">
        <v>35</v>
      </c>
      <c r="X1435" s="19">
        <v>22</v>
      </c>
      <c r="Y1435">
        <v>4</v>
      </c>
      <c r="Z1435">
        <v>2</v>
      </c>
      <c r="AA1435">
        <v>80</v>
      </c>
      <c r="AB1435">
        <v>1</v>
      </c>
      <c r="AC1435">
        <v>6</v>
      </c>
      <c r="AD1435">
        <v>3</v>
      </c>
      <c r="AE1435">
        <v>2</v>
      </c>
      <c r="AF1435">
        <v>5</v>
      </c>
      <c r="AG1435">
        <v>3</v>
      </c>
      <c r="AH1435">
        <v>0</v>
      </c>
      <c r="AI1435">
        <v>4</v>
      </c>
      <c r="AJ1435">
        <f t="shared" si="220"/>
        <v>0</v>
      </c>
      <c r="AK1435">
        <f t="shared" si="221"/>
        <v>1</v>
      </c>
      <c r="AL1435">
        <f t="shared" si="222"/>
        <v>0</v>
      </c>
      <c r="AM1435">
        <f t="shared" si="223"/>
        <v>2</v>
      </c>
      <c r="AN1435">
        <f t="shared" si="224"/>
        <v>9814</v>
      </c>
      <c r="AO1435">
        <f t="shared" si="225"/>
        <v>0.7142857142857143</v>
      </c>
      <c r="AP1435" t="str">
        <f t="shared" si="226"/>
        <v>Under 30</v>
      </c>
      <c r="AQ1435" t="str">
        <f t="shared" si="227"/>
        <v>Medium</v>
      </c>
      <c r="AR1435" t="str">
        <f t="shared" si="228"/>
        <v>Medium</v>
      </c>
      <c r="AS1435">
        <f t="shared" si="229"/>
        <v>0</v>
      </c>
    </row>
    <row r="1436" spans="1:4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s="20">
        <v>3482</v>
      </c>
      <c r="T1436">
        <v>19788</v>
      </c>
      <c r="U1436">
        <v>2</v>
      </c>
      <c r="V1436" t="s">
        <v>42</v>
      </c>
      <c r="W1436" t="s">
        <v>43</v>
      </c>
      <c r="X1436" s="19">
        <v>15</v>
      </c>
      <c r="Y1436">
        <v>3</v>
      </c>
      <c r="Z1436">
        <v>2</v>
      </c>
      <c r="AA1436">
        <v>80</v>
      </c>
      <c r="AB1436">
        <v>2</v>
      </c>
      <c r="AC1436">
        <v>16</v>
      </c>
      <c r="AD1436">
        <v>3</v>
      </c>
      <c r="AE1436">
        <v>2</v>
      </c>
      <c r="AF1436">
        <v>9</v>
      </c>
      <c r="AG1436">
        <v>8</v>
      </c>
      <c r="AH1436">
        <v>0</v>
      </c>
      <c r="AI1436">
        <v>0</v>
      </c>
      <c r="AJ1436">
        <f t="shared" si="220"/>
        <v>0</v>
      </c>
      <c r="AK1436">
        <f t="shared" si="221"/>
        <v>0</v>
      </c>
      <c r="AL1436">
        <f t="shared" si="222"/>
        <v>1</v>
      </c>
      <c r="AM1436">
        <f t="shared" si="223"/>
        <v>2.25</v>
      </c>
      <c r="AN1436">
        <f t="shared" si="224"/>
        <v>4178.3999999999996</v>
      </c>
      <c r="AO1436">
        <f t="shared" si="225"/>
        <v>0.52941176470588236</v>
      </c>
      <c r="AP1436" t="str">
        <f t="shared" si="226"/>
        <v>50+</v>
      </c>
      <c r="AQ1436" t="str">
        <f t="shared" si="227"/>
        <v>Medium</v>
      </c>
      <c r="AR1436" t="str">
        <f t="shared" si="228"/>
        <v>Long</v>
      </c>
      <c r="AS1436">
        <f t="shared" si="229"/>
        <v>0</v>
      </c>
    </row>
    <row r="1437" spans="1:4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s="20">
        <v>2436</v>
      </c>
      <c r="T1437">
        <v>13422</v>
      </c>
      <c r="U1437">
        <v>6</v>
      </c>
      <c r="V1437" t="s">
        <v>42</v>
      </c>
      <c r="W1437" t="s">
        <v>35</v>
      </c>
      <c r="X1437" s="19">
        <v>12</v>
      </c>
      <c r="Y1437">
        <v>3</v>
      </c>
      <c r="Z1437">
        <v>3</v>
      </c>
      <c r="AA1437">
        <v>80</v>
      </c>
      <c r="AB1437">
        <v>0</v>
      </c>
      <c r="AC1437">
        <v>6</v>
      </c>
      <c r="AD1437">
        <v>2</v>
      </c>
      <c r="AE1437">
        <v>3</v>
      </c>
      <c r="AF1437">
        <v>4</v>
      </c>
      <c r="AG1437">
        <v>3</v>
      </c>
      <c r="AH1437">
        <v>1</v>
      </c>
      <c r="AI1437">
        <v>2</v>
      </c>
      <c r="AJ1437">
        <f t="shared" si="220"/>
        <v>0</v>
      </c>
      <c r="AK1437">
        <f t="shared" si="221"/>
        <v>1</v>
      </c>
      <c r="AL1437">
        <f t="shared" si="222"/>
        <v>1</v>
      </c>
      <c r="AM1437">
        <f t="shared" si="223"/>
        <v>3</v>
      </c>
      <c r="AN1437">
        <f t="shared" si="224"/>
        <v>5846.4</v>
      </c>
      <c r="AO1437">
        <f t="shared" si="225"/>
        <v>0.5714285714285714</v>
      </c>
      <c r="AP1437" t="str">
        <f t="shared" si="226"/>
        <v>40-49</v>
      </c>
      <c r="AQ1437" t="str">
        <f t="shared" si="227"/>
        <v>Low</v>
      </c>
      <c r="AR1437" t="str">
        <f t="shared" si="228"/>
        <v>Short</v>
      </c>
      <c r="AS1437">
        <f t="shared" si="229"/>
        <v>0</v>
      </c>
    </row>
    <row r="1438" spans="1:4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s="20">
        <v>2380</v>
      </c>
      <c r="T1438">
        <v>25479</v>
      </c>
      <c r="U1438">
        <v>1</v>
      </c>
      <c r="V1438" t="s">
        <v>42</v>
      </c>
      <c r="W1438" t="s">
        <v>35</v>
      </c>
      <c r="X1438" s="19">
        <v>11</v>
      </c>
      <c r="Y1438">
        <v>3</v>
      </c>
      <c r="Z1438">
        <v>4</v>
      </c>
      <c r="AA1438">
        <v>80</v>
      </c>
      <c r="AB1438">
        <v>0</v>
      </c>
      <c r="AC1438">
        <v>2</v>
      </c>
      <c r="AD1438">
        <v>6</v>
      </c>
      <c r="AE1438">
        <v>3</v>
      </c>
      <c r="AF1438">
        <v>2</v>
      </c>
      <c r="AG1438">
        <v>2</v>
      </c>
      <c r="AH1438">
        <v>1</v>
      </c>
      <c r="AI1438">
        <v>2</v>
      </c>
      <c r="AJ1438">
        <f t="shared" si="220"/>
        <v>0</v>
      </c>
      <c r="AK1438">
        <f t="shared" si="221"/>
        <v>1</v>
      </c>
      <c r="AL1438">
        <f t="shared" si="222"/>
        <v>1</v>
      </c>
      <c r="AM1438">
        <f t="shared" si="223"/>
        <v>2.75</v>
      </c>
      <c r="AN1438">
        <f t="shared" si="224"/>
        <v>9520</v>
      </c>
      <c r="AO1438">
        <f t="shared" si="225"/>
        <v>0.66666666666666663</v>
      </c>
      <c r="AP1438" t="str">
        <f t="shared" si="226"/>
        <v>Under 30</v>
      </c>
      <c r="AQ1438" t="str">
        <f t="shared" si="227"/>
        <v>Low</v>
      </c>
      <c r="AR1438" t="str">
        <f t="shared" si="228"/>
        <v>Short</v>
      </c>
      <c r="AS1438">
        <f t="shared" si="229"/>
        <v>0</v>
      </c>
    </row>
    <row r="1439" spans="1:4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s="20">
        <v>19431</v>
      </c>
      <c r="T1439">
        <v>15302</v>
      </c>
      <c r="U1439">
        <v>2</v>
      </c>
      <c r="V1439" t="s">
        <v>42</v>
      </c>
      <c r="W1439" t="s">
        <v>43</v>
      </c>
      <c r="X1439" s="19">
        <v>13</v>
      </c>
      <c r="Y1439">
        <v>3</v>
      </c>
      <c r="Z1439">
        <v>3</v>
      </c>
      <c r="AA1439">
        <v>80</v>
      </c>
      <c r="AB1439">
        <v>0</v>
      </c>
      <c r="AC1439">
        <v>21</v>
      </c>
      <c r="AD1439">
        <v>3</v>
      </c>
      <c r="AE1439">
        <v>2</v>
      </c>
      <c r="AF1439">
        <v>6</v>
      </c>
      <c r="AG1439">
        <v>0</v>
      </c>
      <c r="AH1439">
        <v>1</v>
      </c>
      <c r="AI1439">
        <v>3</v>
      </c>
      <c r="AJ1439">
        <f t="shared" si="220"/>
        <v>0</v>
      </c>
      <c r="AK1439">
        <f t="shared" si="221"/>
        <v>0</v>
      </c>
      <c r="AL1439">
        <f t="shared" si="222"/>
        <v>1</v>
      </c>
      <c r="AM1439">
        <f t="shared" si="223"/>
        <v>3.25</v>
      </c>
      <c r="AN1439">
        <f t="shared" si="224"/>
        <v>33310.285714285717</v>
      </c>
      <c r="AO1439">
        <f t="shared" si="225"/>
        <v>0.27272727272727271</v>
      </c>
      <c r="AP1439" t="str">
        <f t="shared" si="226"/>
        <v>30-39</v>
      </c>
      <c r="AQ1439" t="str">
        <f t="shared" si="227"/>
        <v>Very High</v>
      </c>
      <c r="AR1439" t="str">
        <f t="shared" si="228"/>
        <v>Medium</v>
      </c>
      <c r="AS1439">
        <f t="shared" si="229"/>
        <v>0</v>
      </c>
    </row>
    <row r="1440" spans="1:4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s="20">
        <v>1790</v>
      </c>
      <c r="T1440">
        <v>26956</v>
      </c>
      <c r="U1440">
        <v>1</v>
      </c>
      <c r="V1440" t="s">
        <v>42</v>
      </c>
      <c r="W1440" t="s">
        <v>43</v>
      </c>
      <c r="X1440" s="19">
        <v>19</v>
      </c>
      <c r="Y1440">
        <v>3</v>
      </c>
      <c r="Z1440">
        <v>1</v>
      </c>
      <c r="AA1440">
        <v>80</v>
      </c>
      <c r="AB1440">
        <v>1</v>
      </c>
      <c r="AC1440">
        <v>1</v>
      </c>
      <c r="AD1440">
        <v>3</v>
      </c>
      <c r="AE1440">
        <v>2</v>
      </c>
      <c r="AF1440">
        <v>1</v>
      </c>
      <c r="AG1440">
        <v>0</v>
      </c>
      <c r="AH1440">
        <v>1</v>
      </c>
      <c r="AI1440">
        <v>0</v>
      </c>
      <c r="AJ1440">
        <f t="shared" si="220"/>
        <v>1</v>
      </c>
      <c r="AK1440">
        <f t="shared" si="221"/>
        <v>0</v>
      </c>
      <c r="AL1440">
        <f t="shared" si="222"/>
        <v>1</v>
      </c>
      <c r="AM1440">
        <f t="shared" si="223"/>
        <v>2</v>
      </c>
      <c r="AN1440">
        <f t="shared" si="224"/>
        <v>10740</v>
      </c>
      <c r="AO1440">
        <f t="shared" si="225"/>
        <v>0.5</v>
      </c>
      <c r="AP1440" t="str">
        <f t="shared" si="226"/>
        <v>Under 30</v>
      </c>
      <c r="AQ1440" t="str">
        <f t="shared" si="227"/>
        <v>Low</v>
      </c>
      <c r="AR1440" t="str">
        <f t="shared" si="228"/>
        <v>Medium</v>
      </c>
      <c r="AS1440">
        <f t="shared" si="229"/>
        <v>1</v>
      </c>
    </row>
    <row r="1441" spans="1:4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s="20">
        <v>7644</v>
      </c>
      <c r="T1441">
        <v>12695</v>
      </c>
      <c r="U1441">
        <v>0</v>
      </c>
      <c r="V1441" t="s">
        <v>42</v>
      </c>
      <c r="W1441" t="s">
        <v>43</v>
      </c>
      <c r="X1441" s="19">
        <v>19</v>
      </c>
      <c r="Y1441">
        <v>3</v>
      </c>
      <c r="Z1441">
        <v>3</v>
      </c>
      <c r="AA1441">
        <v>80</v>
      </c>
      <c r="AB1441">
        <v>2</v>
      </c>
      <c r="AC1441">
        <v>10</v>
      </c>
      <c r="AD1441">
        <v>2</v>
      </c>
      <c r="AE1441">
        <v>3</v>
      </c>
      <c r="AF1441">
        <v>9</v>
      </c>
      <c r="AG1441">
        <v>7</v>
      </c>
      <c r="AH1441">
        <v>3</v>
      </c>
      <c r="AI1441">
        <v>4</v>
      </c>
      <c r="AJ1441">
        <f t="shared" si="220"/>
        <v>0</v>
      </c>
      <c r="AK1441">
        <f t="shared" si="221"/>
        <v>0</v>
      </c>
      <c r="AL1441">
        <f t="shared" si="222"/>
        <v>0</v>
      </c>
      <c r="AM1441">
        <f t="shared" si="223"/>
        <v>2.75</v>
      </c>
      <c r="AN1441">
        <f t="shared" si="224"/>
        <v>9172.7999999999993</v>
      </c>
      <c r="AO1441">
        <f t="shared" si="225"/>
        <v>0.81818181818181823</v>
      </c>
      <c r="AP1441" t="str">
        <f t="shared" si="226"/>
        <v>30-39</v>
      </c>
      <c r="AQ1441" t="str">
        <f t="shared" si="227"/>
        <v>High</v>
      </c>
      <c r="AR1441" t="str">
        <f t="shared" si="228"/>
        <v>Short</v>
      </c>
      <c r="AS1441">
        <f t="shared" si="229"/>
        <v>0</v>
      </c>
    </row>
    <row r="1442" spans="1:4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s="20">
        <v>5131</v>
      </c>
      <c r="T1442">
        <v>9192</v>
      </c>
      <c r="U1442">
        <v>7</v>
      </c>
      <c r="V1442" t="s">
        <v>42</v>
      </c>
      <c r="W1442" t="s">
        <v>43</v>
      </c>
      <c r="X1442" s="19">
        <v>13</v>
      </c>
      <c r="Y1442">
        <v>3</v>
      </c>
      <c r="Z1442">
        <v>2</v>
      </c>
      <c r="AA1442">
        <v>80</v>
      </c>
      <c r="AB1442">
        <v>3</v>
      </c>
      <c r="AC1442">
        <v>18</v>
      </c>
      <c r="AD1442">
        <v>3</v>
      </c>
      <c r="AE1442">
        <v>3</v>
      </c>
      <c r="AF1442">
        <v>4</v>
      </c>
      <c r="AG1442">
        <v>2</v>
      </c>
      <c r="AH1442">
        <v>0</v>
      </c>
      <c r="AI1442">
        <v>2</v>
      </c>
      <c r="AJ1442">
        <f t="shared" si="220"/>
        <v>0</v>
      </c>
      <c r="AK1442">
        <f t="shared" si="221"/>
        <v>0</v>
      </c>
      <c r="AL1442">
        <f t="shared" si="222"/>
        <v>0</v>
      </c>
      <c r="AM1442">
        <f t="shared" si="223"/>
        <v>2.75</v>
      </c>
      <c r="AN1442">
        <f t="shared" si="224"/>
        <v>12314.4</v>
      </c>
      <c r="AO1442">
        <f t="shared" si="225"/>
        <v>0.21052631578947367</v>
      </c>
      <c r="AP1442" t="str">
        <f t="shared" si="226"/>
        <v>30-39</v>
      </c>
      <c r="AQ1442" t="str">
        <f t="shared" si="227"/>
        <v>High</v>
      </c>
      <c r="AR1442" t="str">
        <f t="shared" si="228"/>
        <v>Short</v>
      </c>
      <c r="AS1442">
        <f t="shared" si="229"/>
        <v>1</v>
      </c>
    </row>
    <row r="1443" spans="1:4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s="20">
        <v>6306</v>
      </c>
      <c r="T1443">
        <v>26236</v>
      </c>
      <c r="U1443">
        <v>1</v>
      </c>
      <c r="V1443" t="s">
        <v>42</v>
      </c>
      <c r="W1443" t="s">
        <v>43</v>
      </c>
      <c r="X1443" s="19">
        <v>21</v>
      </c>
      <c r="Y1443">
        <v>4</v>
      </c>
      <c r="Z1443">
        <v>1</v>
      </c>
      <c r="AA1443">
        <v>80</v>
      </c>
      <c r="AB1443">
        <v>1</v>
      </c>
      <c r="AC1443">
        <v>13</v>
      </c>
      <c r="AD1443">
        <v>2</v>
      </c>
      <c r="AE1443">
        <v>2</v>
      </c>
      <c r="AF1443">
        <v>13</v>
      </c>
      <c r="AG1443">
        <v>12</v>
      </c>
      <c r="AH1443">
        <v>1</v>
      </c>
      <c r="AI1443">
        <v>9</v>
      </c>
      <c r="AJ1443">
        <f t="shared" si="220"/>
        <v>0</v>
      </c>
      <c r="AK1443">
        <f t="shared" si="221"/>
        <v>0</v>
      </c>
      <c r="AL1443">
        <f t="shared" si="222"/>
        <v>1</v>
      </c>
      <c r="AM1443">
        <f t="shared" si="223"/>
        <v>2.25</v>
      </c>
      <c r="AN1443">
        <f t="shared" si="224"/>
        <v>5405.1428571428569</v>
      </c>
      <c r="AO1443">
        <f t="shared" si="225"/>
        <v>0.9285714285714286</v>
      </c>
      <c r="AP1443" t="str">
        <f t="shared" si="226"/>
        <v>50+</v>
      </c>
      <c r="AQ1443" t="str">
        <f t="shared" si="227"/>
        <v>High</v>
      </c>
      <c r="AR1443" t="str">
        <f t="shared" si="228"/>
        <v>Short</v>
      </c>
      <c r="AS1443">
        <f t="shared" si="229"/>
        <v>0</v>
      </c>
    </row>
    <row r="1444" spans="1:4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s="20">
        <v>4787</v>
      </c>
      <c r="T1444">
        <v>26124</v>
      </c>
      <c r="U1444">
        <v>9</v>
      </c>
      <c r="V1444" t="s">
        <v>42</v>
      </c>
      <c r="W1444" t="s">
        <v>35</v>
      </c>
      <c r="X1444" s="19">
        <v>14</v>
      </c>
      <c r="Y1444">
        <v>3</v>
      </c>
      <c r="Z1444">
        <v>2</v>
      </c>
      <c r="AA1444">
        <v>80</v>
      </c>
      <c r="AB1444">
        <v>3</v>
      </c>
      <c r="AC1444">
        <v>4</v>
      </c>
      <c r="AD1444">
        <v>3</v>
      </c>
      <c r="AE1444">
        <v>4</v>
      </c>
      <c r="AF1444">
        <v>2</v>
      </c>
      <c r="AG1444">
        <v>2</v>
      </c>
      <c r="AH1444">
        <v>2</v>
      </c>
      <c r="AI1444">
        <v>2</v>
      </c>
      <c r="AJ1444">
        <f t="shared" si="220"/>
        <v>1</v>
      </c>
      <c r="AK1444">
        <f t="shared" si="221"/>
        <v>1</v>
      </c>
      <c r="AL1444">
        <f t="shared" si="222"/>
        <v>1</v>
      </c>
      <c r="AM1444">
        <f t="shared" si="223"/>
        <v>2.75</v>
      </c>
      <c r="AN1444">
        <f t="shared" si="224"/>
        <v>19148</v>
      </c>
      <c r="AO1444">
        <f t="shared" si="225"/>
        <v>0.4</v>
      </c>
      <c r="AP1444" t="str">
        <f t="shared" si="226"/>
        <v>Under 30</v>
      </c>
      <c r="AQ1444" t="str">
        <f t="shared" si="227"/>
        <v>Medium</v>
      </c>
      <c r="AR1444" t="str">
        <f t="shared" si="228"/>
        <v>Short</v>
      </c>
      <c r="AS1444">
        <f t="shared" si="229"/>
        <v>0</v>
      </c>
    </row>
    <row r="1445" spans="1:4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s="20">
        <v>18880</v>
      </c>
      <c r="T1445">
        <v>17312</v>
      </c>
      <c r="U1445">
        <v>5</v>
      </c>
      <c r="V1445" t="s">
        <v>42</v>
      </c>
      <c r="W1445" t="s">
        <v>43</v>
      </c>
      <c r="X1445" s="19">
        <v>11</v>
      </c>
      <c r="Y1445">
        <v>3</v>
      </c>
      <c r="Z1445">
        <v>1</v>
      </c>
      <c r="AA1445">
        <v>80</v>
      </c>
      <c r="AB1445">
        <v>0</v>
      </c>
      <c r="AC1445">
        <v>24</v>
      </c>
      <c r="AD1445">
        <v>2</v>
      </c>
      <c r="AE1445">
        <v>2</v>
      </c>
      <c r="AF1445">
        <v>22</v>
      </c>
      <c r="AG1445">
        <v>6</v>
      </c>
      <c r="AH1445">
        <v>4</v>
      </c>
      <c r="AI1445">
        <v>14</v>
      </c>
      <c r="AJ1445">
        <f t="shared" si="220"/>
        <v>0</v>
      </c>
      <c r="AK1445">
        <f t="shared" si="221"/>
        <v>0</v>
      </c>
      <c r="AL1445">
        <f t="shared" si="222"/>
        <v>1</v>
      </c>
      <c r="AM1445">
        <f t="shared" si="223"/>
        <v>1.75</v>
      </c>
      <c r="AN1445">
        <f t="shared" si="224"/>
        <v>9850.434782608696</v>
      </c>
      <c r="AO1445">
        <f t="shared" si="225"/>
        <v>0.88</v>
      </c>
      <c r="AP1445" t="str">
        <f t="shared" si="226"/>
        <v>40-49</v>
      </c>
      <c r="AQ1445" t="str">
        <f t="shared" si="227"/>
        <v>Very High</v>
      </c>
      <c r="AR1445" t="str">
        <f t="shared" si="228"/>
        <v>Short</v>
      </c>
      <c r="AS1445">
        <f t="shared" si="229"/>
        <v>0</v>
      </c>
    </row>
    <row r="1446" spans="1:4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s="20">
        <v>2339</v>
      </c>
      <c r="T1446">
        <v>3666</v>
      </c>
      <c r="U1446">
        <v>8</v>
      </c>
      <c r="V1446" t="s">
        <v>42</v>
      </c>
      <c r="W1446" t="s">
        <v>43</v>
      </c>
      <c r="X1446" s="19">
        <v>11</v>
      </c>
      <c r="Y1446">
        <v>3</v>
      </c>
      <c r="Z1446">
        <v>4</v>
      </c>
      <c r="AA1446">
        <v>80</v>
      </c>
      <c r="AB1446">
        <v>1</v>
      </c>
      <c r="AC1446">
        <v>14</v>
      </c>
      <c r="AD1446">
        <v>4</v>
      </c>
      <c r="AE1446">
        <v>1</v>
      </c>
      <c r="AF1446">
        <v>10</v>
      </c>
      <c r="AG1446">
        <v>9</v>
      </c>
      <c r="AH1446">
        <v>9</v>
      </c>
      <c r="AI1446">
        <v>8</v>
      </c>
      <c r="AJ1446">
        <f t="shared" si="220"/>
        <v>1</v>
      </c>
      <c r="AK1446">
        <f t="shared" si="221"/>
        <v>0</v>
      </c>
      <c r="AL1446">
        <f t="shared" si="222"/>
        <v>1</v>
      </c>
      <c r="AM1446">
        <f t="shared" si="223"/>
        <v>3</v>
      </c>
      <c r="AN1446">
        <f t="shared" si="224"/>
        <v>2551.6363636363635</v>
      </c>
      <c r="AO1446">
        <f t="shared" si="225"/>
        <v>0.66666666666666663</v>
      </c>
      <c r="AP1446" t="str">
        <f t="shared" si="226"/>
        <v>50+</v>
      </c>
      <c r="AQ1446" t="str">
        <f t="shared" si="227"/>
        <v>Low</v>
      </c>
      <c r="AR1446" t="str">
        <f t="shared" si="228"/>
        <v>Medium</v>
      </c>
      <c r="AS1446">
        <f t="shared" si="229"/>
        <v>0</v>
      </c>
    </row>
    <row r="1447" spans="1:4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s="20">
        <v>13570</v>
      </c>
      <c r="T1447">
        <v>5640</v>
      </c>
      <c r="U1447">
        <v>0</v>
      </c>
      <c r="V1447" t="s">
        <v>42</v>
      </c>
      <c r="W1447" t="s">
        <v>43</v>
      </c>
      <c r="X1447" s="19">
        <v>23</v>
      </c>
      <c r="Y1447">
        <v>4</v>
      </c>
      <c r="Z1447">
        <v>3</v>
      </c>
      <c r="AA1447">
        <v>80</v>
      </c>
      <c r="AB1447">
        <v>1</v>
      </c>
      <c r="AC1447">
        <v>21</v>
      </c>
      <c r="AD1447">
        <v>3</v>
      </c>
      <c r="AE1447">
        <v>3</v>
      </c>
      <c r="AF1447">
        <v>20</v>
      </c>
      <c r="AG1447">
        <v>7</v>
      </c>
      <c r="AH1447">
        <v>0</v>
      </c>
      <c r="AI1447">
        <v>10</v>
      </c>
      <c r="AJ1447">
        <f t="shared" si="220"/>
        <v>0</v>
      </c>
      <c r="AK1447">
        <f t="shared" si="221"/>
        <v>0</v>
      </c>
      <c r="AL1447">
        <f t="shared" si="222"/>
        <v>0</v>
      </c>
      <c r="AM1447">
        <f t="shared" si="223"/>
        <v>2.25</v>
      </c>
      <c r="AN1447">
        <f t="shared" si="224"/>
        <v>7754.2857142857147</v>
      </c>
      <c r="AO1447">
        <f t="shared" si="225"/>
        <v>0.90909090909090906</v>
      </c>
      <c r="AP1447" t="str">
        <f t="shared" si="226"/>
        <v>40-49</v>
      </c>
      <c r="AQ1447" t="str">
        <f t="shared" si="227"/>
        <v>Very High</v>
      </c>
      <c r="AR1447" t="str">
        <f t="shared" si="228"/>
        <v>Long</v>
      </c>
      <c r="AS1447">
        <f t="shared" si="229"/>
        <v>0</v>
      </c>
    </row>
    <row r="1448" spans="1:4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s="20">
        <v>6712</v>
      </c>
      <c r="T1448">
        <v>8978</v>
      </c>
      <c r="U1448">
        <v>1</v>
      </c>
      <c r="V1448" t="s">
        <v>42</v>
      </c>
      <c r="W1448" t="s">
        <v>43</v>
      </c>
      <c r="X1448" s="19">
        <v>21</v>
      </c>
      <c r="Y1448">
        <v>4</v>
      </c>
      <c r="Z1448">
        <v>4</v>
      </c>
      <c r="AA1448">
        <v>80</v>
      </c>
      <c r="AB1448">
        <v>2</v>
      </c>
      <c r="AC1448">
        <v>8</v>
      </c>
      <c r="AD1448">
        <v>2</v>
      </c>
      <c r="AE1448">
        <v>3</v>
      </c>
      <c r="AF1448">
        <v>8</v>
      </c>
      <c r="AG1448">
        <v>7</v>
      </c>
      <c r="AH1448">
        <v>1</v>
      </c>
      <c r="AI1448">
        <v>7</v>
      </c>
      <c r="AJ1448">
        <f t="shared" si="220"/>
        <v>0</v>
      </c>
      <c r="AK1448">
        <f t="shared" si="221"/>
        <v>0</v>
      </c>
      <c r="AL1448">
        <f t="shared" si="222"/>
        <v>0</v>
      </c>
      <c r="AM1448">
        <f t="shared" si="223"/>
        <v>3.5</v>
      </c>
      <c r="AN1448">
        <f t="shared" si="224"/>
        <v>8949.3333333333339</v>
      </c>
      <c r="AO1448">
        <f t="shared" si="225"/>
        <v>0.88888888888888884</v>
      </c>
      <c r="AP1448" t="str">
        <f t="shared" si="226"/>
        <v>30-39</v>
      </c>
      <c r="AQ1448" t="str">
        <f t="shared" si="227"/>
        <v>High</v>
      </c>
      <c r="AR1448" t="str">
        <f t="shared" si="228"/>
        <v>Long</v>
      </c>
      <c r="AS1448">
        <f t="shared" si="229"/>
        <v>0</v>
      </c>
    </row>
    <row r="1449" spans="1:4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s="20">
        <v>5406</v>
      </c>
      <c r="T1449">
        <v>10436</v>
      </c>
      <c r="U1449">
        <v>1</v>
      </c>
      <c r="V1449" t="s">
        <v>42</v>
      </c>
      <c r="W1449" t="s">
        <v>43</v>
      </c>
      <c r="X1449" s="19">
        <v>24</v>
      </c>
      <c r="Y1449">
        <v>4</v>
      </c>
      <c r="Z1449">
        <v>1</v>
      </c>
      <c r="AA1449">
        <v>80</v>
      </c>
      <c r="AB1449">
        <v>1</v>
      </c>
      <c r="AC1449">
        <v>15</v>
      </c>
      <c r="AD1449">
        <v>4</v>
      </c>
      <c r="AE1449">
        <v>2</v>
      </c>
      <c r="AF1449">
        <v>15</v>
      </c>
      <c r="AG1449">
        <v>12</v>
      </c>
      <c r="AH1449">
        <v>11</v>
      </c>
      <c r="AI1449">
        <v>11</v>
      </c>
      <c r="AJ1449">
        <f t="shared" si="220"/>
        <v>0</v>
      </c>
      <c r="AK1449">
        <f t="shared" si="221"/>
        <v>0</v>
      </c>
      <c r="AL1449">
        <f t="shared" si="222"/>
        <v>1</v>
      </c>
      <c r="AM1449">
        <f t="shared" si="223"/>
        <v>2.75</v>
      </c>
      <c r="AN1449">
        <f t="shared" si="224"/>
        <v>4054.5</v>
      </c>
      <c r="AO1449">
        <f t="shared" si="225"/>
        <v>0.9375</v>
      </c>
      <c r="AP1449" t="str">
        <f t="shared" si="226"/>
        <v>30-39</v>
      </c>
      <c r="AQ1449" t="str">
        <f t="shared" si="227"/>
        <v>High</v>
      </c>
      <c r="AR1449" t="str">
        <f t="shared" si="228"/>
        <v>Medium</v>
      </c>
      <c r="AS1449">
        <f t="shared" si="229"/>
        <v>0</v>
      </c>
    </row>
    <row r="1450" spans="1:4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s="20">
        <v>8938</v>
      </c>
      <c r="T1450">
        <v>12227</v>
      </c>
      <c r="U1450">
        <v>2</v>
      </c>
      <c r="V1450" t="s">
        <v>42</v>
      </c>
      <c r="W1450" t="s">
        <v>43</v>
      </c>
      <c r="X1450" s="19">
        <v>11</v>
      </c>
      <c r="Y1450">
        <v>3</v>
      </c>
      <c r="Z1450">
        <v>3</v>
      </c>
      <c r="AA1450">
        <v>80</v>
      </c>
      <c r="AB1450">
        <v>1</v>
      </c>
      <c r="AC1450">
        <v>14</v>
      </c>
      <c r="AD1450">
        <v>5</v>
      </c>
      <c r="AE1450">
        <v>3</v>
      </c>
      <c r="AF1450">
        <v>5</v>
      </c>
      <c r="AG1450">
        <v>4</v>
      </c>
      <c r="AH1450">
        <v>0</v>
      </c>
      <c r="AI1450">
        <v>4</v>
      </c>
      <c r="AJ1450">
        <f t="shared" si="220"/>
        <v>0</v>
      </c>
      <c r="AK1450">
        <f t="shared" si="221"/>
        <v>0</v>
      </c>
      <c r="AL1450">
        <f t="shared" si="222"/>
        <v>1</v>
      </c>
      <c r="AM1450">
        <f t="shared" si="223"/>
        <v>2.75</v>
      </c>
      <c r="AN1450">
        <f t="shared" si="224"/>
        <v>17876</v>
      </c>
      <c r="AO1450">
        <f t="shared" si="225"/>
        <v>0.33333333333333331</v>
      </c>
      <c r="AP1450" t="str">
        <f t="shared" si="226"/>
        <v>40-49</v>
      </c>
      <c r="AQ1450" t="str">
        <f t="shared" si="227"/>
        <v>Very High</v>
      </c>
      <c r="AR1450" t="str">
        <f t="shared" si="228"/>
        <v>Short</v>
      </c>
      <c r="AS1450">
        <f t="shared" si="229"/>
        <v>0</v>
      </c>
    </row>
    <row r="1451" spans="1:4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s="20">
        <v>2439</v>
      </c>
      <c r="T1451">
        <v>11288</v>
      </c>
      <c r="U1451">
        <v>1</v>
      </c>
      <c r="V1451" t="s">
        <v>42</v>
      </c>
      <c r="W1451" t="s">
        <v>43</v>
      </c>
      <c r="X1451" s="19">
        <v>14</v>
      </c>
      <c r="Y1451">
        <v>3</v>
      </c>
      <c r="Z1451">
        <v>4</v>
      </c>
      <c r="AA1451">
        <v>80</v>
      </c>
      <c r="AB1451">
        <v>0</v>
      </c>
      <c r="AC1451">
        <v>4</v>
      </c>
      <c r="AD1451">
        <v>4</v>
      </c>
      <c r="AE1451">
        <v>3</v>
      </c>
      <c r="AF1451">
        <v>4</v>
      </c>
      <c r="AG1451">
        <v>2</v>
      </c>
      <c r="AH1451">
        <v>1</v>
      </c>
      <c r="AI1451">
        <v>2</v>
      </c>
      <c r="AJ1451">
        <f t="shared" si="220"/>
        <v>0</v>
      </c>
      <c r="AK1451">
        <f t="shared" si="221"/>
        <v>0</v>
      </c>
      <c r="AL1451">
        <f t="shared" si="222"/>
        <v>1</v>
      </c>
      <c r="AM1451">
        <f t="shared" si="223"/>
        <v>3</v>
      </c>
      <c r="AN1451">
        <f t="shared" si="224"/>
        <v>5853.6</v>
      </c>
      <c r="AO1451">
        <f t="shared" si="225"/>
        <v>0.8</v>
      </c>
      <c r="AP1451" t="str">
        <f t="shared" si="226"/>
        <v>30-39</v>
      </c>
      <c r="AQ1451" t="str">
        <f t="shared" si="227"/>
        <v>Low</v>
      </c>
      <c r="AR1451" t="str">
        <f t="shared" si="228"/>
        <v>Short</v>
      </c>
      <c r="AS1451">
        <f t="shared" si="229"/>
        <v>0</v>
      </c>
    </row>
    <row r="1452" spans="1:4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s="20">
        <v>8837</v>
      </c>
      <c r="T1452">
        <v>16642</v>
      </c>
      <c r="U1452">
        <v>1</v>
      </c>
      <c r="V1452" t="s">
        <v>42</v>
      </c>
      <c r="W1452" t="s">
        <v>35</v>
      </c>
      <c r="X1452" s="19">
        <v>16</v>
      </c>
      <c r="Y1452">
        <v>3</v>
      </c>
      <c r="Z1452">
        <v>3</v>
      </c>
      <c r="AA1452">
        <v>80</v>
      </c>
      <c r="AB1452">
        <v>0</v>
      </c>
      <c r="AC1452">
        <v>9</v>
      </c>
      <c r="AD1452">
        <v>2</v>
      </c>
      <c r="AE1452">
        <v>3</v>
      </c>
      <c r="AF1452">
        <v>9</v>
      </c>
      <c r="AG1452">
        <v>0</v>
      </c>
      <c r="AH1452">
        <v>1</v>
      </c>
      <c r="AI1452">
        <v>7</v>
      </c>
      <c r="AJ1452">
        <f t="shared" si="220"/>
        <v>0</v>
      </c>
      <c r="AK1452">
        <f t="shared" si="221"/>
        <v>1</v>
      </c>
      <c r="AL1452">
        <f t="shared" si="222"/>
        <v>0</v>
      </c>
      <c r="AM1452">
        <f t="shared" si="223"/>
        <v>3.25</v>
      </c>
      <c r="AN1452">
        <f t="shared" si="224"/>
        <v>10604.4</v>
      </c>
      <c r="AO1452">
        <f t="shared" si="225"/>
        <v>0.9</v>
      </c>
      <c r="AP1452" t="str">
        <f t="shared" si="226"/>
        <v>30-39</v>
      </c>
      <c r="AQ1452" t="str">
        <f t="shared" si="227"/>
        <v>Very High</v>
      </c>
      <c r="AR1452" t="str">
        <f t="shared" si="228"/>
        <v>Long</v>
      </c>
      <c r="AS1452">
        <f t="shared" si="229"/>
        <v>0</v>
      </c>
    </row>
    <row r="1453" spans="1:4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s="20">
        <v>5343</v>
      </c>
      <c r="T1453">
        <v>5982</v>
      </c>
      <c r="U1453">
        <v>1</v>
      </c>
      <c r="V1453" t="s">
        <v>42</v>
      </c>
      <c r="W1453" t="s">
        <v>43</v>
      </c>
      <c r="X1453" s="19">
        <v>11</v>
      </c>
      <c r="Y1453">
        <v>3</v>
      </c>
      <c r="Z1453">
        <v>3</v>
      </c>
      <c r="AA1453">
        <v>80</v>
      </c>
      <c r="AB1453">
        <v>1</v>
      </c>
      <c r="AC1453">
        <v>10</v>
      </c>
      <c r="AD1453">
        <v>1</v>
      </c>
      <c r="AE1453">
        <v>3</v>
      </c>
      <c r="AF1453">
        <v>10</v>
      </c>
      <c r="AG1453">
        <v>7</v>
      </c>
      <c r="AH1453">
        <v>1</v>
      </c>
      <c r="AI1453">
        <v>9</v>
      </c>
      <c r="AJ1453">
        <f t="shared" si="220"/>
        <v>0</v>
      </c>
      <c r="AK1453">
        <f t="shared" si="221"/>
        <v>0</v>
      </c>
      <c r="AL1453">
        <f t="shared" si="222"/>
        <v>0</v>
      </c>
      <c r="AM1453">
        <f t="shared" si="223"/>
        <v>2.75</v>
      </c>
      <c r="AN1453">
        <f t="shared" si="224"/>
        <v>5828.727272727273</v>
      </c>
      <c r="AO1453">
        <f t="shared" si="225"/>
        <v>0.90909090909090906</v>
      </c>
      <c r="AP1453" t="str">
        <f t="shared" si="226"/>
        <v>30-39</v>
      </c>
      <c r="AQ1453" t="str">
        <f t="shared" si="227"/>
        <v>High</v>
      </c>
      <c r="AR1453" t="str">
        <f t="shared" si="228"/>
        <v>Medium</v>
      </c>
      <c r="AS1453">
        <f t="shared" si="229"/>
        <v>0</v>
      </c>
    </row>
    <row r="1454" spans="1:4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s="20">
        <v>6728</v>
      </c>
      <c r="T1454">
        <v>14255</v>
      </c>
      <c r="U1454">
        <v>7</v>
      </c>
      <c r="V1454" t="s">
        <v>42</v>
      </c>
      <c r="W1454" t="s">
        <v>43</v>
      </c>
      <c r="X1454" s="19">
        <v>12</v>
      </c>
      <c r="Y1454">
        <v>3</v>
      </c>
      <c r="Z1454">
        <v>4</v>
      </c>
      <c r="AA1454">
        <v>80</v>
      </c>
      <c r="AB1454">
        <v>2</v>
      </c>
      <c r="AC1454">
        <v>12</v>
      </c>
      <c r="AD1454">
        <v>3</v>
      </c>
      <c r="AE1454">
        <v>3</v>
      </c>
      <c r="AF1454">
        <v>6</v>
      </c>
      <c r="AG1454">
        <v>3</v>
      </c>
      <c r="AH1454">
        <v>0</v>
      </c>
      <c r="AI1454">
        <v>1</v>
      </c>
      <c r="AJ1454">
        <f t="shared" si="220"/>
        <v>1</v>
      </c>
      <c r="AK1454">
        <f t="shared" si="221"/>
        <v>0</v>
      </c>
      <c r="AL1454">
        <f t="shared" si="222"/>
        <v>1</v>
      </c>
      <c r="AM1454">
        <f t="shared" si="223"/>
        <v>3</v>
      </c>
      <c r="AN1454">
        <f t="shared" si="224"/>
        <v>11533.714285714286</v>
      </c>
      <c r="AO1454">
        <f t="shared" si="225"/>
        <v>0.46153846153846156</v>
      </c>
      <c r="AP1454" t="str">
        <f t="shared" si="226"/>
        <v>50+</v>
      </c>
      <c r="AQ1454" t="str">
        <f t="shared" si="227"/>
        <v>High</v>
      </c>
      <c r="AR1454" t="str">
        <f t="shared" si="228"/>
        <v>Short</v>
      </c>
      <c r="AS1454">
        <f t="shared" si="229"/>
        <v>1</v>
      </c>
    </row>
    <row r="1455" spans="1:4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s="20">
        <v>6652</v>
      </c>
      <c r="T1455">
        <v>14369</v>
      </c>
      <c r="U1455">
        <v>4</v>
      </c>
      <c r="V1455" t="s">
        <v>42</v>
      </c>
      <c r="W1455" t="s">
        <v>43</v>
      </c>
      <c r="X1455" s="19">
        <v>13</v>
      </c>
      <c r="Y1455">
        <v>3</v>
      </c>
      <c r="Z1455">
        <v>1</v>
      </c>
      <c r="AA1455">
        <v>80</v>
      </c>
      <c r="AB1455">
        <v>1</v>
      </c>
      <c r="AC1455">
        <v>8</v>
      </c>
      <c r="AD1455">
        <v>2</v>
      </c>
      <c r="AE1455">
        <v>2</v>
      </c>
      <c r="AF1455">
        <v>6</v>
      </c>
      <c r="AG1455">
        <v>3</v>
      </c>
      <c r="AH1455">
        <v>0</v>
      </c>
      <c r="AI1455">
        <v>0</v>
      </c>
      <c r="AJ1455">
        <f t="shared" si="220"/>
        <v>0</v>
      </c>
      <c r="AK1455">
        <f t="shared" si="221"/>
        <v>0</v>
      </c>
      <c r="AL1455">
        <f t="shared" si="222"/>
        <v>0</v>
      </c>
      <c r="AM1455">
        <f t="shared" si="223"/>
        <v>2.25</v>
      </c>
      <c r="AN1455">
        <f t="shared" si="224"/>
        <v>11403.428571428571</v>
      </c>
      <c r="AO1455">
        <f t="shared" si="225"/>
        <v>0.66666666666666663</v>
      </c>
      <c r="AP1455" t="str">
        <f t="shared" si="226"/>
        <v>30-39</v>
      </c>
      <c r="AQ1455" t="str">
        <f t="shared" si="227"/>
        <v>High</v>
      </c>
      <c r="AR1455" t="str">
        <f t="shared" si="228"/>
        <v>Medium</v>
      </c>
      <c r="AS1455">
        <f t="shared" si="229"/>
        <v>0</v>
      </c>
    </row>
    <row r="1456" spans="1:4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s="20">
        <v>4850</v>
      </c>
      <c r="T1456">
        <v>23333</v>
      </c>
      <c r="U1456">
        <v>8</v>
      </c>
      <c r="V1456" t="s">
        <v>42</v>
      </c>
      <c r="W1456" t="s">
        <v>43</v>
      </c>
      <c r="X1456" s="19">
        <v>15</v>
      </c>
      <c r="Y1456">
        <v>3</v>
      </c>
      <c r="Z1456">
        <v>3</v>
      </c>
      <c r="AA1456">
        <v>80</v>
      </c>
      <c r="AB1456">
        <v>0</v>
      </c>
      <c r="AC1456">
        <v>8</v>
      </c>
      <c r="AD1456">
        <v>3</v>
      </c>
      <c r="AE1456">
        <v>3</v>
      </c>
      <c r="AF1456">
        <v>5</v>
      </c>
      <c r="AG1456">
        <v>3</v>
      </c>
      <c r="AH1456">
        <v>0</v>
      </c>
      <c r="AI1456">
        <v>1</v>
      </c>
      <c r="AJ1456">
        <f t="shared" si="220"/>
        <v>0</v>
      </c>
      <c r="AK1456">
        <f t="shared" si="221"/>
        <v>0</v>
      </c>
      <c r="AL1456">
        <f t="shared" si="222"/>
        <v>0</v>
      </c>
      <c r="AM1456">
        <f t="shared" si="223"/>
        <v>3.25</v>
      </c>
      <c r="AN1456">
        <f t="shared" si="224"/>
        <v>9700</v>
      </c>
      <c r="AO1456">
        <f t="shared" si="225"/>
        <v>0.55555555555555558</v>
      </c>
      <c r="AP1456" t="str">
        <f t="shared" si="226"/>
        <v>40-49</v>
      </c>
      <c r="AQ1456" t="str">
        <f t="shared" si="227"/>
        <v>Medium</v>
      </c>
      <c r="AR1456" t="str">
        <f t="shared" si="228"/>
        <v>Long</v>
      </c>
      <c r="AS1456">
        <f t="shared" si="229"/>
        <v>0</v>
      </c>
    </row>
    <row r="1457" spans="1:4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s="20">
        <v>2809</v>
      </c>
      <c r="T1457">
        <v>2725</v>
      </c>
      <c r="U1457">
        <v>2</v>
      </c>
      <c r="V1457" t="s">
        <v>42</v>
      </c>
      <c r="W1457" t="s">
        <v>43</v>
      </c>
      <c r="X1457" s="19">
        <v>14</v>
      </c>
      <c r="Y1457">
        <v>3</v>
      </c>
      <c r="Z1457">
        <v>4</v>
      </c>
      <c r="AA1457">
        <v>80</v>
      </c>
      <c r="AB1457">
        <v>0</v>
      </c>
      <c r="AC1457">
        <v>8</v>
      </c>
      <c r="AD1457">
        <v>2</v>
      </c>
      <c r="AE1457">
        <v>3</v>
      </c>
      <c r="AF1457">
        <v>2</v>
      </c>
      <c r="AG1457">
        <v>2</v>
      </c>
      <c r="AH1457">
        <v>2</v>
      </c>
      <c r="AI1457">
        <v>2</v>
      </c>
      <c r="AJ1457">
        <f t="shared" si="220"/>
        <v>0</v>
      </c>
      <c r="AK1457">
        <f t="shared" si="221"/>
        <v>0</v>
      </c>
      <c r="AL1457">
        <f t="shared" si="222"/>
        <v>1</v>
      </c>
      <c r="AM1457">
        <f t="shared" si="223"/>
        <v>3.25</v>
      </c>
      <c r="AN1457">
        <f t="shared" si="224"/>
        <v>11236</v>
      </c>
      <c r="AO1457">
        <f t="shared" si="225"/>
        <v>0.22222222222222221</v>
      </c>
      <c r="AP1457" t="str">
        <f t="shared" si="226"/>
        <v>40-49</v>
      </c>
      <c r="AQ1457" t="str">
        <f t="shared" si="227"/>
        <v>Low</v>
      </c>
      <c r="AR1457" t="str">
        <f t="shared" si="228"/>
        <v>Short</v>
      </c>
      <c r="AS1457">
        <f t="shared" si="229"/>
        <v>0</v>
      </c>
    </row>
    <row r="1458" spans="1:4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s="20">
        <v>5689</v>
      </c>
      <c r="T1458">
        <v>24594</v>
      </c>
      <c r="U1458">
        <v>1</v>
      </c>
      <c r="V1458" t="s">
        <v>42</v>
      </c>
      <c r="W1458" t="s">
        <v>35</v>
      </c>
      <c r="X1458" s="19">
        <v>14</v>
      </c>
      <c r="Y1458">
        <v>3</v>
      </c>
      <c r="Z1458">
        <v>4</v>
      </c>
      <c r="AA1458">
        <v>80</v>
      </c>
      <c r="AB1458">
        <v>2</v>
      </c>
      <c r="AC1458">
        <v>10</v>
      </c>
      <c r="AD1458">
        <v>2</v>
      </c>
      <c r="AE1458">
        <v>4</v>
      </c>
      <c r="AF1458">
        <v>10</v>
      </c>
      <c r="AG1458">
        <v>2</v>
      </c>
      <c r="AH1458">
        <v>0</v>
      </c>
      <c r="AI1458">
        <v>2</v>
      </c>
      <c r="AJ1458">
        <f t="shared" si="220"/>
        <v>0</v>
      </c>
      <c r="AK1458">
        <f t="shared" si="221"/>
        <v>1</v>
      </c>
      <c r="AL1458">
        <f t="shared" si="222"/>
        <v>1</v>
      </c>
      <c r="AM1458">
        <f t="shared" si="223"/>
        <v>3.5</v>
      </c>
      <c r="AN1458">
        <f t="shared" si="224"/>
        <v>6206.181818181818</v>
      </c>
      <c r="AO1458">
        <f t="shared" si="225"/>
        <v>0.90909090909090906</v>
      </c>
      <c r="AP1458" t="str">
        <f t="shared" si="226"/>
        <v>30-39</v>
      </c>
      <c r="AQ1458" t="str">
        <f t="shared" si="227"/>
        <v>High</v>
      </c>
      <c r="AR1458" t="str">
        <f t="shared" si="228"/>
        <v>Long</v>
      </c>
      <c r="AS1458">
        <f t="shared" si="229"/>
        <v>1</v>
      </c>
    </row>
    <row r="1459" spans="1:4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s="20">
        <v>2001</v>
      </c>
      <c r="T1459">
        <v>12549</v>
      </c>
      <c r="U1459">
        <v>2</v>
      </c>
      <c r="V1459" t="s">
        <v>42</v>
      </c>
      <c r="W1459" t="s">
        <v>43</v>
      </c>
      <c r="X1459" s="19">
        <v>14</v>
      </c>
      <c r="Y1459">
        <v>3</v>
      </c>
      <c r="Z1459">
        <v>2</v>
      </c>
      <c r="AA1459">
        <v>80</v>
      </c>
      <c r="AB1459">
        <v>3</v>
      </c>
      <c r="AC1459">
        <v>20</v>
      </c>
      <c r="AD1459">
        <v>2</v>
      </c>
      <c r="AE1459">
        <v>3</v>
      </c>
      <c r="AF1459">
        <v>5</v>
      </c>
      <c r="AG1459">
        <v>3</v>
      </c>
      <c r="AH1459">
        <v>0</v>
      </c>
      <c r="AI1459">
        <v>2</v>
      </c>
      <c r="AJ1459">
        <f t="shared" si="220"/>
        <v>0</v>
      </c>
      <c r="AK1459">
        <f t="shared" si="221"/>
        <v>0</v>
      </c>
      <c r="AL1459">
        <f t="shared" si="222"/>
        <v>0</v>
      </c>
      <c r="AM1459">
        <f t="shared" si="223"/>
        <v>2.75</v>
      </c>
      <c r="AN1459">
        <f t="shared" si="224"/>
        <v>4002</v>
      </c>
      <c r="AO1459">
        <f t="shared" si="225"/>
        <v>0.23809523809523808</v>
      </c>
      <c r="AP1459" t="str">
        <f t="shared" si="226"/>
        <v>40-49</v>
      </c>
      <c r="AQ1459" t="str">
        <f t="shared" si="227"/>
        <v>Low</v>
      </c>
      <c r="AR1459" t="str">
        <f t="shared" si="228"/>
        <v>Short</v>
      </c>
      <c r="AS1459">
        <f t="shared" si="229"/>
        <v>0</v>
      </c>
    </row>
    <row r="1460" spans="1:4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s="20">
        <v>2977</v>
      </c>
      <c r="T1460">
        <v>8952</v>
      </c>
      <c r="U1460">
        <v>1</v>
      </c>
      <c r="V1460" t="s">
        <v>42</v>
      </c>
      <c r="W1460" t="s">
        <v>43</v>
      </c>
      <c r="X1460" s="19">
        <v>12</v>
      </c>
      <c r="Y1460">
        <v>3</v>
      </c>
      <c r="Z1460">
        <v>4</v>
      </c>
      <c r="AA1460">
        <v>80</v>
      </c>
      <c r="AB1460">
        <v>1</v>
      </c>
      <c r="AC1460">
        <v>4</v>
      </c>
      <c r="AD1460">
        <v>5</v>
      </c>
      <c r="AE1460">
        <v>3</v>
      </c>
      <c r="AF1460">
        <v>4</v>
      </c>
      <c r="AG1460">
        <v>3</v>
      </c>
      <c r="AH1460">
        <v>1</v>
      </c>
      <c r="AI1460">
        <v>1</v>
      </c>
      <c r="AJ1460">
        <f t="shared" si="220"/>
        <v>0</v>
      </c>
      <c r="AK1460">
        <f t="shared" si="221"/>
        <v>0</v>
      </c>
      <c r="AL1460">
        <f t="shared" si="222"/>
        <v>0</v>
      </c>
      <c r="AM1460">
        <f t="shared" si="223"/>
        <v>3.5</v>
      </c>
      <c r="AN1460">
        <f t="shared" si="224"/>
        <v>7144.8</v>
      </c>
      <c r="AO1460">
        <f t="shared" si="225"/>
        <v>0.8</v>
      </c>
      <c r="AP1460" t="str">
        <f t="shared" si="226"/>
        <v>30-39</v>
      </c>
      <c r="AQ1460" t="str">
        <f t="shared" si="227"/>
        <v>Medium</v>
      </c>
      <c r="AR1460" t="str">
        <f t="shared" si="228"/>
        <v>Short</v>
      </c>
      <c r="AS1460">
        <f t="shared" si="229"/>
        <v>0</v>
      </c>
    </row>
    <row r="1461" spans="1:4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s="20">
        <v>4025</v>
      </c>
      <c r="T1461">
        <v>23679</v>
      </c>
      <c r="U1461">
        <v>4</v>
      </c>
      <c r="V1461" t="s">
        <v>42</v>
      </c>
      <c r="W1461" t="s">
        <v>35</v>
      </c>
      <c r="X1461" s="19">
        <v>13</v>
      </c>
      <c r="Y1461">
        <v>3</v>
      </c>
      <c r="Z1461">
        <v>1</v>
      </c>
      <c r="AA1461">
        <v>80</v>
      </c>
      <c r="AB1461">
        <v>1</v>
      </c>
      <c r="AC1461">
        <v>10</v>
      </c>
      <c r="AD1461">
        <v>2</v>
      </c>
      <c r="AE1461">
        <v>3</v>
      </c>
      <c r="AF1461">
        <v>4</v>
      </c>
      <c r="AG1461">
        <v>3</v>
      </c>
      <c r="AH1461">
        <v>0</v>
      </c>
      <c r="AI1461">
        <v>3</v>
      </c>
      <c r="AJ1461">
        <f t="shared" si="220"/>
        <v>0</v>
      </c>
      <c r="AK1461">
        <f t="shared" si="221"/>
        <v>1</v>
      </c>
      <c r="AL1461">
        <f t="shared" si="222"/>
        <v>1</v>
      </c>
      <c r="AM1461">
        <f t="shared" si="223"/>
        <v>2.5</v>
      </c>
      <c r="AN1461">
        <f t="shared" si="224"/>
        <v>9660</v>
      </c>
      <c r="AO1461">
        <f t="shared" si="225"/>
        <v>0.36363636363636365</v>
      </c>
      <c r="AP1461" t="str">
        <f t="shared" si="226"/>
        <v>Under 30</v>
      </c>
      <c r="AQ1461" t="str">
        <f t="shared" si="227"/>
        <v>Medium</v>
      </c>
      <c r="AR1461" t="str">
        <f t="shared" si="228"/>
        <v>Medium</v>
      </c>
      <c r="AS1461">
        <f t="shared" si="229"/>
        <v>0</v>
      </c>
    </row>
    <row r="1462" spans="1:4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s="20">
        <v>3785</v>
      </c>
      <c r="T1462">
        <v>8489</v>
      </c>
      <c r="U1462">
        <v>1</v>
      </c>
      <c r="V1462" t="s">
        <v>42</v>
      </c>
      <c r="W1462" t="s">
        <v>43</v>
      </c>
      <c r="X1462" s="19">
        <v>14</v>
      </c>
      <c r="Y1462">
        <v>3</v>
      </c>
      <c r="Z1462">
        <v>2</v>
      </c>
      <c r="AA1462">
        <v>80</v>
      </c>
      <c r="AB1462">
        <v>0</v>
      </c>
      <c r="AC1462">
        <v>10</v>
      </c>
      <c r="AD1462">
        <v>3</v>
      </c>
      <c r="AE1462">
        <v>1</v>
      </c>
      <c r="AF1462">
        <v>5</v>
      </c>
      <c r="AG1462">
        <v>4</v>
      </c>
      <c r="AH1462">
        <v>0</v>
      </c>
      <c r="AI1462">
        <v>4</v>
      </c>
      <c r="AJ1462">
        <f t="shared" si="220"/>
        <v>0</v>
      </c>
      <c r="AK1462">
        <f t="shared" si="221"/>
        <v>0</v>
      </c>
      <c r="AL1462">
        <f t="shared" si="222"/>
        <v>0</v>
      </c>
      <c r="AM1462">
        <f t="shared" si="223"/>
        <v>2</v>
      </c>
      <c r="AN1462">
        <f t="shared" si="224"/>
        <v>7570</v>
      </c>
      <c r="AO1462">
        <f t="shared" si="225"/>
        <v>0.45454545454545453</v>
      </c>
      <c r="AP1462" t="str">
        <f t="shared" si="226"/>
        <v>Under 30</v>
      </c>
      <c r="AQ1462" t="str">
        <f t="shared" si="227"/>
        <v>Medium</v>
      </c>
      <c r="AR1462" t="str">
        <f t="shared" si="228"/>
        <v>Long</v>
      </c>
      <c r="AS1462">
        <f t="shared" si="229"/>
        <v>0</v>
      </c>
    </row>
    <row r="1463" spans="1:4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s="20">
        <v>10854</v>
      </c>
      <c r="T1463">
        <v>16586</v>
      </c>
      <c r="U1463">
        <v>4</v>
      </c>
      <c r="V1463" t="s">
        <v>42</v>
      </c>
      <c r="W1463" t="s">
        <v>35</v>
      </c>
      <c r="X1463" s="19">
        <v>13</v>
      </c>
      <c r="Y1463">
        <v>3</v>
      </c>
      <c r="Z1463">
        <v>2</v>
      </c>
      <c r="AA1463">
        <v>80</v>
      </c>
      <c r="AB1463">
        <v>1</v>
      </c>
      <c r="AC1463">
        <v>20</v>
      </c>
      <c r="AD1463">
        <v>3</v>
      </c>
      <c r="AE1463">
        <v>3</v>
      </c>
      <c r="AF1463">
        <v>3</v>
      </c>
      <c r="AG1463">
        <v>2</v>
      </c>
      <c r="AH1463">
        <v>2</v>
      </c>
      <c r="AI1463">
        <v>0</v>
      </c>
      <c r="AJ1463">
        <f t="shared" si="220"/>
        <v>1</v>
      </c>
      <c r="AK1463">
        <f t="shared" si="221"/>
        <v>1</v>
      </c>
      <c r="AL1463">
        <f t="shared" si="222"/>
        <v>1</v>
      </c>
      <c r="AM1463">
        <f t="shared" si="223"/>
        <v>2.5</v>
      </c>
      <c r="AN1463">
        <f t="shared" si="224"/>
        <v>32562</v>
      </c>
      <c r="AO1463">
        <f t="shared" si="225"/>
        <v>0.14285714285714285</v>
      </c>
      <c r="AP1463" t="str">
        <f t="shared" si="226"/>
        <v>50+</v>
      </c>
      <c r="AQ1463" t="str">
        <f t="shared" si="227"/>
        <v>Very High</v>
      </c>
      <c r="AR1463" t="str">
        <f t="shared" si="228"/>
        <v>Long</v>
      </c>
      <c r="AS1463">
        <f t="shared" si="229"/>
        <v>0</v>
      </c>
    </row>
    <row r="1464" spans="1:4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s="20">
        <v>12031</v>
      </c>
      <c r="T1464">
        <v>8828</v>
      </c>
      <c r="U1464">
        <v>0</v>
      </c>
      <c r="V1464" t="s">
        <v>42</v>
      </c>
      <c r="W1464" t="s">
        <v>43</v>
      </c>
      <c r="X1464" s="19">
        <v>11</v>
      </c>
      <c r="Y1464">
        <v>3</v>
      </c>
      <c r="Z1464">
        <v>1</v>
      </c>
      <c r="AA1464">
        <v>80</v>
      </c>
      <c r="AB1464">
        <v>1</v>
      </c>
      <c r="AC1464">
        <v>21</v>
      </c>
      <c r="AD1464">
        <v>2</v>
      </c>
      <c r="AE1464">
        <v>2</v>
      </c>
      <c r="AF1464">
        <v>20</v>
      </c>
      <c r="AG1464">
        <v>9</v>
      </c>
      <c r="AH1464">
        <v>9</v>
      </c>
      <c r="AI1464">
        <v>6</v>
      </c>
      <c r="AJ1464">
        <f t="shared" si="220"/>
        <v>0</v>
      </c>
      <c r="AK1464">
        <f t="shared" si="221"/>
        <v>0</v>
      </c>
      <c r="AL1464">
        <f t="shared" si="222"/>
        <v>0</v>
      </c>
      <c r="AM1464">
        <f t="shared" si="223"/>
        <v>2.25</v>
      </c>
      <c r="AN1464">
        <f t="shared" si="224"/>
        <v>6874.8571428571431</v>
      </c>
      <c r="AO1464">
        <f t="shared" si="225"/>
        <v>0.90909090909090906</v>
      </c>
      <c r="AP1464" t="str">
        <f t="shared" si="226"/>
        <v>30-39</v>
      </c>
      <c r="AQ1464" t="str">
        <f t="shared" si="227"/>
        <v>Very High</v>
      </c>
      <c r="AR1464" t="str">
        <f t="shared" si="228"/>
        <v>Long</v>
      </c>
      <c r="AS1464">
        <f t="shared" si="229"/>
        <v>0</v>
      </c>
    </row>
    <row r="1465" spans="1:4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s="20">
        <v>9936</v>
      </c>
      <c r="T1465">
        <v>3787</v>
      </c>
      <c r="U1465">
        <v>0</v>
      </c>
      <c r="V1465" t="s">
        <v>42</v>
      </c>
      <c r="W1465" t="s">
        <v>43</v>
      </c>
      <c r="X1465" s="19">
        <v>19</v>
      </c>
      <c r="Y1465">
        <v>3</v>
      </c>
      <c r="Z1465">
        <v>2</v>
      </c>
      <c r="AA1465">
        <v>80</v>
      </c>
      <c r="AB1465">
        <v>0</v>
      </c>
      <c r="AC1465">
        <v>10</v>
      </c>
      <c r="AD1465">
        <v>2</v>
      </c>
      <c r="AE1465">
        <v>3</v>
      </c>
      <c r="AF1465">
        <v>9</v>
      </c>
      <c r="AG1465">
        <v>4</v>
      </c>
      <c r="AH1465">
        <v>1</v>
      </c>
      <c r="AI1465">
        <v>7</v>
      </c>
      <c r="AJ1465">
        <f t="shared" si="220"/>
        <v>0</v>
      </c>
      <c r="AK1465">
        <f t="shared" si="221"/>
        <v>0</v>
      </c>
      <c r="AL1465">
        <f t="shared" si="222"/>
        <v>1</v>
      </c>
      <c r="AM1465">
        <f t="shared" si="223"/>
        <v>2</v>
      </c>
      <c r="AN1465">
        <f t="shared" si="224"/>
        <v>11923.2</v>
      </c>
      <c r="AO1465">
        <f t="shared" si="225"/>
        <v>0.81818181818181823</v>
      </c>
      <c r="AP1465" t="str">
        <f t="shared" si="226"/>
        <v>30-39</v>
      </c>
      <c r="AQ1465" t="str">
        <f t="shared" si="227"/>
        <v>Very High</v>
      </c>
      <c r="AR1465" t="str">
        <f t="shared" si="228"/>
        <v>Short</v>
      </c>
      <c r="AS1465">
        <f t="shared" si="229"/>
        <v>0</v>
      </c>
    </row>
    <row r="1466" spans="1:4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s="20">
        <v>2966</v>
      </c>
      <c r="T1466">
        <v>21378</v>
      </c>
      <c r="U1466">
        <v>0</v>
      </c>
      <c r="V1466" t="s">
        <v>42</v>
      </c>
      <c r="W1466" t="s">
        <v>43</v>
      </c>
      <c r="X1466" s="19">
        <v>18</v>
      </c>
      <c r="Y1466">
        <v>3</v>
      </c>
      <c r="Z1466">
        <v>4</v>
      </c>
      <c r="AA1466">
        <v>80</v>
      </c>
      <c r="AB1466">
        <v>0</v>
      </c>
      <c r="AC1466">
        <v>5</v>
      </c>
      <c r="AD1466">
        <v>2</v>
      </c>
      <c r="AE1466">
        <v>3</v>
      </c>
      <c r="AF1466">
        <v>4</v>
      </c>
      <c r="AG1466">
        <v>2</v>
      </c>
      <c r="AH1466">
        <v>0</v>
      </c>
      <c r="AI1466">
        <v>0</v>
      </c>
      <c r="AJ1466">
        <f t="shared" si="220"/>
        <v>0</v>
      </c>
      <c r="AK1466">
        <f t="shared" si="221"/>
        <v>0</v>
      </c>
      <c r="AL1466">
        <f t="shared" si="222"/>
        <v>0</v>
      </c>
      <c r="AM1466">
        <f t="shared" si="223"/>
        <v>3.5</v>
      </c>
      <c r="AN1466">
        <f t="shared" si="224"/>
        <v>7118.4</v>
      </c>
      <c r="AO1466">
        <f t="shared" si="225"/>
        <v>0.66666666666666663</v>
      </c>
      <c r="AP1466" t="str">
        <f t="shared" si="226"/>
        <v>Under 30</v>
      </c>
      <c r="AQ1466" t="str">
        <f t="shared" si="227"/>
        <v>Medium</v>
      </c>
      <c r="AR1466" t="str">
        <f t="shared" si="228"/>
        <v>Short</v>
      </c>
      <c r="AS1466">
        <f t="shared" si="229"/>
        <v>0</v>
      </c>
    </row>
    <row r="1467" spans="1:4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s="20">
        <v>2571</v>
      </c>
      <c r="T1467">
        <v>12290</v>
      </c>
      <c r="U1467">
        <v>4</v>
      </c>
      <c r="V1467" t="s">
        <v>42</v>
      </c>
      <c r="W1467" t="s">
        <v>43</v>
      </c>
      <c r="X1467" s="19">
        <v>17</v>
      </c>
      <c r="Y1467">
        <v>3</v>
      </c>
      <c r="Z1467">
        <v>3</v>
      </c>
      <c r="AA1467">
        <v>80</v>
      </c>
      <c r="AB1467">
        <v>1</v>
      </c>
      <c r="AC1467">
        <v>17</v>
      </c>
      <c r="AD1467">
        <v>3</v>
      </c>
      <c r="AE1467">
        <v>3</v>
      </c>
      <c r="AF1467">
        <v>5</v>
      </c>
      <c r="AG1467">
        <v>2</v>
      </c>
      <c r="AH1467">
        <v>0</v>
      </c>
      <c r="AI1467">
        <v>3</v>
      </c>
      <c r="AJ1467">
        <f t="shared" si="220"/>
        <v>0</v>
      </c>
      <c r="AK1467">
        <f t="shared" si="221"/>
        <v>0</v>
      </c>
      <c r="AL1467">
        <f t="shared" si="222"/>
        <v>1</v>
      </c>
      <c r="AM1467">
        <f t="shared" si="223"/>
        <v>3.25</v>
      </c>
      <c r="AN1467">
        <f t="shared" si="224"/>
        <v>5142</v>
      </c>
      <c r="AO1467">
        <f t="shared" si="225"/>
        <v>0.27777777777777779</v>
      </c>
      <c r="AP1467" t="str">
        <f t="shared" si="226"/>
        <v>30-39</v>
      </c>
      <c r="AQ1467" t="str">
        <f t="shared" si="227"/>
        <v>Low</v>
      </c>
      <c r="AR1467" t="str">
        <f t="shared" si="228"/>
        <v>Long</v>
      </c>
      <c r="AS1467">
        <f t="shared" si="229"/>
        <v>1</v>
      </c>
    </row>
    <row r="1468" spans="1:4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s="20">
        <v>9991</v>
      </c>
      <c r="T1468">
        <v>21457</v>
      </c>
      <c r="U1468">
        <v>4</v>
      </c>
      <c r="V1468" t="s">
        <v>42</v>
      </c>
      <c r="W1468" t="s">
        <v>43</v>
      </c>
      <c r="X1468" s="19">
        <v>15</v>
      </c>
      <c r="Y1468">
        <v>3</v>
      </c>
      <c r="Z1468">
        <v>1</v>
      </c>
      <c r="AA1468">
        <v>80</v>
      </c>
      <c r="AB1468">
        <v>1</v>
      </c>
      <c r="AC1468">
        <v>9</v>
      </c>
      <c r="AD1468">
        <v>5</v>
      </c>
      <c r="AE1468">
        <v>3</v>
      </c>
      <c r="AF1468">
        <v>7</v>
      </c>
      <c r="AG1468">
        <v>7</v>
      </c>
      <c r="AH1468">
        <v>1</v>
      </c>
      <c r="AI1468">
        <v>7</v>
      </c>
      <c r="AJ1468">
        <f t="shared" si="220"/>
        <v>0</v>
      </c>
      <c r="AK1468">
        <f t="shared" si="221"/>
        <v>0</v>
      </c>
      <c r="AL1468">
        <f t="shared" si="222"/>
        <v>1</v>
      </c>
      <c r="AM1468">
        <f t="shared" si="223"/>
        <v>2.25</v>
      </c>
      <c r="AN1468">
        <f t="shared" si="224"/>
        <v>14986.5</v>
      </c>
      <c r="AO1468">
        <f t="shared" si="225"/>
        <v>0.7</v>
      </c>
      <c r="AP1468" t="str">
        <f t="shared" si="226"/>
        <v>30-39</v>
      </c>
      <c r="AQ1468" t="str">
        <f t="shared" si="227"/>
        <v>Very High</v>
      </c>
      <c r="AR1468" t="str">
        <f t="shared" si="228"/>
        <v>Medium</v>
      </c>
      <c r="AS1468">
        <f t="shared" si="229"/>
        <v>0</v>
      </c>
    </row>
    <row r="1469" spans="1:4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s="20">
        <v>6142</v>
      </c>
      <c r="T1469">
        <v>5174</v>
      </c>
      <c r="U1469">
        <v>1</v>
      </c>
      <c r="V1469" t="s">
        <v>42</v>
      </c>
      <c r="W1469" t="s">
        <v>35</v>
      </c>
      <c r="X1469" s="19">
        <v>20</v>
      </c>
      <c r="Y1469">
        <v>4</v>
      </c>
      <c r="Z1469">
        <v>2</v>
      </c>
      <c r="AA1469">
        <v>80</v>
      </c>
      <c r="AB1469">
        <v>1</v>
      </c>
      <c r="AC1469">
        <v>6</v>
      </c>
      <c r="AD1469">
        <v>0</v>
      </c>
      <c r="AE1469">
        <v>3</v>
      </c>
      <c r="AF1469">
        <v>6</v>
      </c>
      <c r="AG1469">
        <v>2</v>
      </c>
      <c r="AH1469">
        <v>0</v>
      </c>
      <c r="AI1469">
        <v>3</v>
      </c>
      <c r="AJ1469">
        <f t="shared" si="220"/>
        <v>0</v>
      </c>
      <c r="AK1469">
        <f t="shared" si="221"/>
        <v>1</v>
      </c>
      <c r="AL1469">
        <f t="shared" si="222"/>
        <v>1</v>
      </c>
      <c r="AM1469">
        <f t="shared" si="223"/>
        <v>2.25</v>
      </c>
      <c r="AN1469">
        <f t="shared" si="224"/>
        <v>10529.142857142857</v>
      </c>
      <c r="AO1469">
        <f t="shared" si="225"/>
        <v>0.8571428571428571</v>
      </c>
      <c r="AP1469" t="str">
        <f t="shared" si="226"/>
        <v>Under 30</v>
      </c>
      <c r="AQ1469" t="str">
        <f t="shared" si="227"/>
        <v>High</v>
      </c>
      <c r="AR1469" t="str">
        <f t="shared" si="228"/>
        <v>Short</v>
      </c>
      <c r="AS1469">
        <f t="shared" si="229"/>
        <v>0</v>
      </c>
    </row>
    <row r="1470" spans="1:4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s="20">
        <v>5390</v>
      </c>
      <c r="T1470">
        <v>13243</v>
      </c>
      <c r="U1470">
        <v>2</v>
      </c>
      <c r="V1470" t="s">
        <v>42</v>
      </c>
      <c r="W1470" t="s">
        <v>43</v>
      </c>
      <c r="X1470" s="19">
        <v>14</v>
      </c>
      <c r="Y1470">
        <v>3</v>
      </c>
      <c r="Z1470">
        <v>4</v>
      </c>
      <c r="AA1470">
        <v>80</v>
      </c>
      <c r="AB1470">
        <v>0</v>
      </c>
      <c r="AC1470">
        <v>17</v>
      </c>
      <c r="AD1470">
        <v>3</v>
      </c>
      <c r="AE1470">
        <v>2</v>
      </c>
      <c r="AF1470">
        <v>9</v>
      </c>
      <c r="AG1470">
        <v>6</v>
      </c>
      <c r="AH1470">
        <v>0</v>
      </c>
      <c r="AI1470">
        <v>8</v>
      </c>
      <c r="AJ1470">
        <f t="shared" si="220"/>
        <v>0</v>
      </c>
      <c r="AK1470">
        <f t="shared" si="221"/>
        <v>0</v>
      </c>
      <c r="AL1470">
        <f t="shared" si="222"/>
        <v>1</v>
      </c>
      <c r="AM1470">
        <f t="shared" si="223"/>
        <v>3</v>
      </c>
      <c r="AN1470">
        <f t="shared" si="224"/>
        <v>6468</v>
      </c>
      <c r="AO1470">
        <f t="shared" si="225"/>
        <v>0.5</v>
      </c>
      <c r="AP1470" t="str">
        <f t="shared" si="226"/>
        <v>40-49</v>
      </c>
      <c r="AQ1470" t="str">
        <f t="shared" si="227"/>
        <v>High</v>
      </c>
      <c r="AR1470" t="str">
        <f t="shared" si="228"/>
        <v>Short</v>
      </c>
      <c r="AS1470">
        <f t="shared" si="229"/>
        <v>1</v>
      </c>
    </row>
    <row r="1471" spans="1:4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s="20">
        <v>4404</v>
      </c>
      <c r="T1471">
        <v>10228</v>
      </c>
      <c r="U1471">
        <v>2</v>
      </c>
      <c r="V1471" t="s">
        <v>42</v>
      </c>
      <c r="W1471" t="s">
        <v>43</v>
      </c>
      <c r="X1471" s="19">
        <v>12</v>
      </c>
      <c r="Y1471">
        <v>3</v>
      </c>
      <c r="Z1471">
        <v>1</v>
      </c>
      <c r="AA1471">
        <v>80</v>
      </c>
      <c r="AB1471">
        <v>0</v>
      </c>
      <c r="AC1471">
        <v>6</v>
      </c>
      <c r="AD1471">
        <v>3</v>
      </c>
      <c r="AE1471">
        <v>4</v>
      </c>
      <c r="AF1471">
        <v>4</v>
      </c>
      <c r="AG1471">
        <v>3</v>
      </c>
      <c r="AH1471">
        <v>1</v>
      </c>
      <c r="AI1471">
        <v>2</v>
      </c>
      <c r="AJ1471">
        <f t="shared" si="220"/>
        <v>0</v>
      </c>
      <c r="AK1471">
        <f t="shared" si="221"/>
        <v>0</v>
      </c>
      <c r="AL1471">
        <f t="shared" si="222"/>
        <v>1</v>
      </c>
      <c r="AM1471">
        <f t="shared" si="223"/>
        <v>2.5</v>
      </c>
      <c r="AN1471">
        <f t="shared" si="224"/>
        <v>10569.6</v>
      </c>
      <c r="AO1471">
        <f t="shared" si="225"/>
        <v>0.5714285714285714</v>
      </c>
      <c r="AP1471" t="str">
        <f t="shared" si="226"/>
        <v>30-39</v>
      </c>
      <c r="AQ1471" t="str">
        <f t="shared" si="227"/>
        <v>Medium</v>
      </c>
      <c r="AR1471" t="str">
        <f t="shared" si="228"/>
        <v>Medium</v>
      </c>
      <c r="AS1471">
        <f t="shared" si="22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4EC2-E078-40CD-A923-93D3FC4BEA0D}">
  <dimension ref="A1:AI1471"/>
  <sheetViews>
    <sheetView workbookViewId="0"/>
  </sheetViews>
  <sheetFormatPr defaultRowHeight="14.4" x14ac:dyDescent="0.3"/>
  <cols>
    <col min="1" max="1" width="183.21875" bestFit="1" customWidth="1"/>
    <col min="2" max="2" width="26.109375" bestFit="1" customWidth="1"/>
    <col min="3" max="3" width="15.33203125" bestFit="1" customWidth="1"/>
    <col min="4" max="4" width="11" bestFit="1" customWidth="1"/>
    <col min="5" max="5" width="11.77734375" bestFit="1" customWidth="1"/>
    <col min="6" max="6" width="10.109375" bestFit="1" customWidth="1"/>
    <col min="7" max="7" width="12" bestFit="1" customWidth="1"/>
    <col min="8" max="8" width="5.5546875" bestFit="1" customWidth="1"/>
    <col min="9" max="9" width="14.21875" bestFit="1" customWidth="1"/>
    <col min="10" max="10" width="10.109375" bestFit="1" customWidth="1"/>
    <col min="11" max="11" width="12" bestFit="1" customWidth="1"/>
    <col min="13" max="13" width="7.33203125" bestFit="1" customWidth="1"/>
  </cols>
  <sheetData>
    <row r="1" spans="1:35" ht="21" x14ac:dyDescent="0.4">
      <c r="A1" s="1" t="s">
        <v>175</v>
      </c>
      <c r="M1" t="s">
        <v>1</v>
      </c>
      <c r="N1" t="s">
        <v>18</v>
      </c>
      <c r="P1" t="s">
        <v>232</v>
      </c>
      <c r="Q1" t="s">
        <v>233</v>
      </c>
      <c r="R1" t="s">
        <v>234</v>
      </c>
      <c r="S1" t="s">
        <v>235</v>
      </c>
      <c r="V1" s="2" t="s">
        <v>236</v>
      </c>
      <c r="W1" s="2" t="s">
        <v>237</v>
      </c>
      <c r="Y1" s="2" t="s">
        <v>4</v>
      </c>
      <c r="Z1" s="2" t="s">
        <v>243</v>
      </c>
      <c r="AB1" s="2" t="s">
        <v>15</v>
      </c>
      <c r="AC1" s="2" t="s">
        <v>243</v>
      </c>
      <c r="AE1" s="2" t="s">
        <v>244</v>
      </c>
      <c r="AF1" s="2" t="s">
        <v>245</v>
      </c>
      <c r="AH1" s="2" t="s">
        <v>248</v>
      </c>
      <c r="AI1" s="2" t="s">
        <v>243</v>
      </c>
    </row>
    <row r="2" spans="1:35" x14ac:dyDescent="0.3">
      <c r="M2" t="str">
        <f>Data_Cleaned!B2</f>
        <v>Yes</v>
      </c>
      <c r="N2">
        <f>Data_Cleaned!S2</f>
        <v>5993</v>
      </c>
      <c r="P2" cm="1">
        <f t="array" ref="P2:P238">_xlfn._xlws.FILTER(Data_Cleaned!AF2:AF1471,Data_Cleaned!B2:B1471="Yes")</f>
        <v>6</v>
      </c>
      <c r="Q2" cm="1">
        <f t="array" ref="Q2:Q238">_xlfn._xlws.FILTER(Data_Cleaned!S2:S1471,Data_Cleaned!B2:B1471="Yes")</f>
        <v>5993</v>
      </c>
      <c r="R2" cm="1">
        <f t="array" ref="R2:R1234">_xlfn._xlws.FILTER(Data_Cleaned!AF2:AF1471,Data_Cleaned!B2:B1471="No")</f>
        <v>10</v>
      </c>
      <c r="S2" cm="1">
        <f t="array" ref="S2:S1234">_xlfn._xlws.FILTER(Data_Cleaned!S2:S1471,Data_Cleaned!B2:B1471="No")</f>
        <v>5130</v>
      </c>
      <c r="V2" t="s">
        <v>238</v>
      </c>
      <c r="W2">
        <f>COUNTIFS(Data_Cleaned!$A$2:$A$1471,"&gt;=18",Data_Cleaned!$A$2:$A$1471,"&lt;=24")</f>
        <v>97</v>
      </c>
      <c r="Y2" t="str">
        <f>A40</f>
        <v>Sales</v>
      </c>
      <c r="Z2">
        <f>C40</f>
        <v>0.20898876404494382</v>
      </c>
      <c r="AB2" t="str">
        <f>A53</f>
        <v>Sales Executive</v>
      </c>
      <c r="AC2">
        <f>C53</f>
        <v>0.17484662576687116</v>
      </c>
      <c r="AE2" t="s">
        <v>246</v>
      </c>
      <c r="AF2">
        <f>B31</f>
        <v>237</v>
      </c>
      <c r="AH2" t="str">
        <f>A89</f>
        <v>0-2 yrs</v>
      </c>
      <c r="AI2">
        <f>C89</f>
        <v>0.2982456140350877</v>
      </c>
    </row>
    <row r="3" spans="1:35" ht="15.6" x14ac:dyDescent="0.3">
      <c r="A3" s="3" t="s">
        <v>176</v>
      </c>
      <c r="M3" t="str">
        <f>Data_Cleaned!B3</f>
        <v>No</v>
      </c>
      <c r="N3">
        <f>Data_Cleaned!S3</f>
        <v>5130</v>
      </c>
      <c r="P3">
        <v>0</v>
      </c>
      <c r="Q3">
        <v>2090</v>
      </c>
      <c r="R3">
        <v>8</v>
      </c>
      <c r="S3">
        <v>2909</v>
      </c>
      <c r="V3" t="s">
        <v>239</v>
      </c>
      <c r="W3">
        <f>COUNTIFS(Data_Cleaned!$A$2:$A$1471,"&gt;=25",Data_Cleaned!$A$2:$A$1471,"&lt;=34")</f>
        <v>553</v>
      </c>
      <c r="Y3" t="str">
        <f>A41</f>
        <v>Research &amp; Development</v>
      </c>
      <c r="Z3">
        <f>C41</f>
        <v>0.13825363825363826</v>
      </c>
      <c r="AB3" t="str">
        <f>A54</f>
        <v>Research Scientist</v>
      </c>
      <c r="AC3">
        <f>C54</f>
        <v>0.16095890410958905</v>
      </c>
      <c r="AE3" t="s">
        <v>247</v>
      </c>
      <c r="AF3">
        <f>B32</f>
        <v>1233</v>
      </c>
      <c r="AH3" t="str">
        <f>A90</f>
        <v>3-5 yrs</v>
      </c>
      <c r="AI3">
        <f>C90</f>
        <v>0.13824884792626729</v>
      </c>
    </row>
    <row r="4" spans="1:35" x14ac:dyDescent="0.3">
      <c r="A4" t="s">
        <v>177</v>
      </c>
      <c r="B4">
        <f>COUNTA(Data_Cleaned!A:A)-1</f>
        <v>1470</v>
      </c>
      <c r="M4" t="str">
        <f>Data_Cleaned!B4</f>
        <v>Yes</v>
      </c>
      <c r="N4">
        <f>Data_Cleaned!S4</f>
        <v>2090</v>
      </c>
      <c r="P4">
        <v>4</v>
      </c>
      <c r="Q4">
        <v>2028</v>
      </c>
      <c r="R4">
        <v>2</v>
      </c>
      <c r="S4">
        <v>3468</v>
      </c>
      <c r="V4" t="s">
        <v>240</v>
      </c>
      <c r="W4">
        <f>COUNTIFS(Data_Cleaned!$A$2:$A$1471,"&gt;=35",Data_Cleaned!$A$2:$A$1471,"&lt;=44")</f>
        <v>508</v>
      </c>
      <c r="Y4" t="str">
        <f>A42</f>
        <v>Human Resources</v>
      </c>
      <c r="Z4">
        <f>C42</f>
        <v>0.17460317460317459</v>
      </c>
      <c r="AB4" t="str">
        <f>A55</f>
        <v>Laboratory Technician</v>
      </c>
      <c r="AC4">
        <f>C55</f>
        <v>0.23938223938223938</v>
      </c>
      <c r="AH4" t="str">
        <f>A91</f>
        <v>6-10 yrs</v>
      </c>
      <c r="AI4">
        <f>C91</f>
        <v>0.12276785714285714</v>
      </c>
    </row>
    <row r="5" spans="1:35" x14ac:dyDescent="0.3">
      <c r="A5" t="s">
        <v>178</v>
      </c>
      <c r="B5">
        <f>COUNTA(Data_Cleaned!1:1)</f>
        <v>47</v>
      </c>
      <c r="M5" t="str">
        <f>Data_Cleaned!B5</f>
        <v>No</v>
      </c>
      <c r="N5">
        <f>Data_Cleaned!S5</f>
        <v>2909</v>
      </c>
      <c r="P5">
        <v>5</v>
      </c>
      <c r="Q5">
        <v>3407</v>
      </c>
      <c r="R5">
        <v>7</v>
      </c>
      <c r="S5">
        <v>3068</v>
      </c>
      <c r="V5" t="s">
        <v>241</v>
      </c>
      <c r="W5">
        <f>COUNTIFS(Data_Cleaned!$A$2:$A$1471,"&gt;=45",Data_Cleaned!$A$2:$A$1471,"&lt;=54")</f>
        <v>244</v>
      </c>
      <c r="AB5" t="str">
        <f>A56</f>
        <v>Manufacturing Director</v>
      </c>
      <c r="AC5">
        <f>C56</f>
        <v>6.8965517241379309E-2</v>
      </c>
      <c r="AH5" t="str">
        <f>A92</f>
        <v>11+ yrs</v>
      </c>
      <c r="AI5">
        <f>C92</f>
        <v>8.1300813008130079E-2</v>
      </c>
    </row>
    <row r="6" spans="1:35" x14ac:dyDescent="0.3">
      <c r="A6" t="s">
        <v>179</v>
      </c>
      <c r="B6">
        <v>14</v>
      </c>
      <c r="M6" t="str">
        <f>Data_Cleaned!B6</f>
        <v>No</v>
      </c>
      <c r="N6">
        <f>Data_Cleaned!S6</f>
        <v>3468</v>
      </c>
      <c r="P6">
        <v>4</v>
      </c>
      <c r="Q6">
        <v>2960</v>
      </c>
      <c r="R6">
        <v>1</v>
      </c>
      <c r="S6">
        <v>2670</v>
      </c>
      <c r="V6" t="s">
        <v>242</v>
      </c>
      <c r="W6">
        <f>COUNTIFS(Data_Cleaned!$A$2:$A$1471,"&gt;=55")</f>
        <v>68</v>
      </c>
      <c r="AB6" t="str">
        <f>A57</f>
        <v>Healthcare Representative</v>
      </c>
      <c r="AC6">
        <f>C57</f>
        <v>6.8702290076335881E-2</v>
      </c>
    </row>
    <row r="7" spans="1:35" x14ac:dyDescent="0.3">
      <c r="M7" t="str">
        <f>Data_Cleaned!B7</f>
        <v>No</v>
      </c>
      <c r="N7">
        <f>Data_Cleaned!S7</f>
        <v>3068</v>
      </c>
      <c r="P7">
        <v>10</v>
      </c>
      <c r="Q7">
        <v>3919</v>
      </c>
      <c r="R7">
        <v>1</v>
      </c>
      <c r="S7">
        <v>2693</v>
      </c>
      <c r="AB7" t="str">
        <f>A58</f>
        <v>Manager</v>
      </c>
      <c r="AC7">
        <f>C58</f>
        <v>4.9019607843137254E-2</v>
      </c>
    </row>
    <row r="8" spans="1:35" ht="15.6" x14ac:dyDescent="0.3">
      <c r="A8" s="3" t="s">
        <v>180</v>
      </c>
      <c r="M8" t="str">
        <f>Data_Cleaned!B8</f>
        <v>No</v>
      </c>
      <c r="N8">
        <f>Data_Cleaned!S8</f>
        <v>2670</v>
      </c>
      <c r="P8">
        <v>1</v>
      </c>
      <c r="Q8">
        <v>2086</v>
      </c>
      <c r="R8">
        <v>9</v>
      </c>
      <c r="S8">
        <v>9526</v>
      </c>
      <c r="AB8" t="str">
        <f>A59</f>
        <v>Sales Representative</v>
      </c>
      <c r="AC8">
        <f>C59</f>
        <v>0.39759036144578314</v>
      </c>
    </row>
    <row r="9" spans="1:35" x14ac:dyDescent="0.3">
      <c r="A9" s="14" t="s">
        <v>181</v>
      </c>
      <c r="B9" s="14" t="s">
        <v>131</v>
      </c>
      <c r="C9" s="14" t="s">
        <v>182</v>
      </c>
      <c r="D9" s="14" t="s">
        <v>183</v>
      </c>
      <c r="E9" s="14" t="s">
        <v>184</v>
      </c>
      <c r="F9" s="14" t="s">
        <v>185</v>
      </c>
      <c r="G9" s="14" t="s">
        <v>186</v>
      </c>
      <c r="H9" s="14" t="s">
        <v>187</v>
      </c>
      <c r="I9" s="14" t="s">
        <v>188</v>
      </c>
      <c r="M9" t="str">
        <f>Data_Cleaned!B9</f>
        <v>No</v>
      </c>
      <c r="N9">
        <f>Data_Cleaned!S9</f>
        <v>2693</v>
      </c>
      <c r="P9">
        <v>2</v>
      </c>
      <c r="Q9">
        <v>2293</v>
      </c>
      <c r="R9">
        <v>7</v>
      </c>
      <c r="S9">
        <v>5237</v>
      </c>
      <c r="AB9" t="str">
        <f>A60</f>
        <v>Research Director</v>
      </c>
      <c r="AC9">
        <f>C60</f>
        <v>2.5000000000000001E-2</v>
      </c>
    </row>
    <row r="10" spans="1:35" x14ac:dyDescent="0.3">
      <c r="A10" t="s">
        <v>0</v>
      </c>
      <c r="B10">
        <f>COUNT(Data_Cleaned!A2:A1471)</f>
        <v>1470</v>
      </c>
      <c r="C10" s="22">
        <f>AVERAGE(Data_Cleaned!A2:A1471)</f>
        <v>36.894557823129254</v>
      </c>
      <c r="D10" s="22">
        <f>MEDIAN(Data_Cleaned!A2:A1471)</f>
        <v>36</v>
      </c>
      <c r="E10" s="22">
        <f>_xlfn.STDEV.S(Data_Cleaned!A2:A1471)</f>
        <v>9.1097482351873502</v>
      </c>
      <c r="F10" s="23">
        <f>MIN(Data_Cleaned!A2:A1471)</f>
        <v>18</v>
      </c>
      <c r="G10" s="23">
        <f>MAX(Data_Cleaned!A2:A1471)</f>
        <v>60</v>
      </c>
      <c r="H10" s="23">
        <f>_xlfn.QUARTILE.INC(Data_Cleaned!A2:A1471,1)</f>
        <v>30</v>
      </c>
      <c r="I10" s="23">
        <f>_xlfn.QUARTILE.INC(Data_Cleaned!A2:A1471,3)</f>
        <v>43</v>
      </c>
      <c r="J10" s="23"/>
      <c r="M10" t="str">
        <f>Data_Cleaned!B10</f>
        <v>No</v>
      </c>
      <c r="N10">
        <f>Data_Cleaned!S10</f>
        <v>9526</v>
      </c>
      <c r="P10">
        <v>3</v>
      </c>
      <c r="Q10">
        <v>2683</v>
      </c>
      <c r="R10">
        <v>5</v>
      </c>
      <c r="S10">
        <v>2674</v>
      </c>
      <c r="AB10" t="str">
        <f>A61</f>
        <v>Human Resources</v>
      </c>
      <c r="AC10">
        <f>C61</f>
        <v>0.23076923076923078</v>
      </c>
    </row>
    <row r="11" spans="1:35" x14ac:dyDescent="0.3">
      <c r="A11" t="s">
        <v>3</v>
      </c>
      <c r="B11">
        <f>COUNT(Data_Cleaned!D2:D1471)</f>
        <v>1470</v>
      </c>
      <c r="C11" s="22">
        <f>AVERAGE(Data_Cleaned!D2:D1471)</f>
        <v>802.48571428571427</v>
      </c>
      <c r="D11" s="22">
        <f>MEDIAN(Data_Cleaned!D2:D1471)</f>
        <v>802</v>
      </c>
      <c r="E11" s="22">
        <f>_xlfn.STDEV.S(Data_Cleaned!D2:D1471)</f>
        <v>403.50909994352821</v>
      </c>
      <c r="F11" s="23">
        <f>MIN(Data_Cleaned!D2:D1471)</f>
        <v>102</v>
      </c>
      <c r="G11" s="23">
        <f>MAX(Data_Cleaned!D2:D1471)</f>
        <v>1499</v>
      </c>
      <c r="H11" s="23">
        <f>_xlfn.QUARTILE.INC(Data_Cleaned!D2:D1471,1)</f>
        <v>465</v>
      </c>
      <c r="I11" s="23">
        <f>_xlfn.QUARTILE.INC(Data_Cleaned!D2:D1471,3)</f>
        <v>1157</v>
      </c>
      <c r="J11" s="23"/>
      <c r="M11" t="str">
        <f>Data_Cleaned!B11</f>
        <v>No</v>
      </c>
      <c r="N11">
        <f>Data_Cleaned!S11</f>
        <v>5237</v>
      </c>
      <c r="P11">
        <v>1</v>
      </c>
      <c r="Q11">
        <v>2293</v>
      </c>
      <c r="R11">
        <v>9</v>
      </c>
      <c r="S11">
        <v>4193</v>
      </c>
    </row>
    <row r="12" spans="1:35" x14ac:dyDescent="0.3">
      <c r="A12" t="s">
        <v>5</v>
      </c>
      <c r="B12">
        <f>COUNT(Data_Cleaned!F2:F1471)</f>
        <v>1470</v>
      </c>
      <c r="C12" s="22">
        <f>AVERAGE(Data_Cleaned!F2:F1471)</f>
        <v>9.1993197278911563</v>
      </c>
      <c r="D12" s="22">
        <f>MEDIAN(Data_Cleaned!F2:F1471)</f>
        <v>7</v>
      </c>
      <c r="E12" s="22">
        <f>_xlfn.STDEV.S(Data_Cleaned!F2:F1471)</f>
        <v>8.105524228714577</v>
      </c>
      <c r="F12" s="23">
        <f>MIN(Data_Cleaned!F2:F1471)</f>
        <v>1</v>
      </c>
      <c r="G12" s="23">
        <f>MAX(Data_Cleaned!F2:F1471)</f>
        <v>29</v>
      </c>
      <c r="H12" s="23">
        <f>_xlfn.QUARTILE.INC(Data_Cleaned!F2:F1471,1)</f>
        <v>2</v>
      </c>
      <c r="I12" s="23">
        <f>_xlfn.QUARTILE.INC(Data_Cleaned!F2:F1471,3)</f>
        <v>14</v>
      </c>
      <c r="J12" s="23"/>
      <c r="M12" t="str">
        <f>Data_Cleaned!B12</f>
        <v>No</v>
      </c>
      <c r="N12">
        <f>Data_Cleaned!S12</f>
        <v>2674</v>
      </c>
      <c r="P12">
        <v>22</v>
      </c>
      <c r="Q12">
        <v>19545</v>
      </c>
      <c r="R12">
        <v>5</v>
      </c>
      <c r="S12">
        <v>2911</v>
      </c>
    </row>
    <row r="13" spans="1:35" x14ac:dyDescent="0.3">
      <c r="A13" t="s">
        <v>18</v>
      </c>
      <c r="B13">
        <f>COUNT(Data_Cleaned!S2:S1471)</f>
        <v>1470</v>
      </c>
      <c r="C13" s="22">
        <f>AVERAGE(Data_Cleaned!S2:S1471)</f>
        <v>6490.4285714285716</v>
      </c>
      <c r="D13" s="22">
        <f>MEDIAN(Data_Cleaned!S2:S1471)</f>
        <v>4919</v>
      </c>
      <c r="E13" s="22">
        <f>_xlfn.STDEV.S(Data_Cleaned!S2:S1471)</f>
        <v>4700.447083873124</v>
      </c>
      <c r="F13" s="23">
        <f>MIN(Data_Cleaned!S2:S1471)</f>
        <v>1009</v>
      </c>
      <c r="G13" s="23">
        <f>MAX(Data_Cleaned!S2:S1471)</f>
        <v>19999</v>
      </c>
      <c r="H13" s="23">
        <f>_xlfn.QUARTILE.INC(Data_Cleaned!S2:S1471,1)</f>
        <v>2905.25</v>
      </c>
      <c r="I13" s="23">
        <f>_xlfn.QUARTILE.INC(Data_Cleaned!S2:S1471,3)</f>
        <v>8339.75</v>
      </c>
      <c r="J13" s="23"/>
      <c r="M13" t="str">
        <f>Data_Cleaned!B13</f>
        <v>No</v>
      </c>
      <c r="N13">
        <f>Data_Cleaned!S13</f>
        <v>4193</v>
      </c>
      <c r="P13">
        <v>1</v>
      </c>
      <c r="Q13">
        <v>5381</v>
      </c>
      <c r="R13">
        <v>2</v>
      </c>
      <c r="S13">
        <v>2661</v>
      </c>
    </row>
    <row r="14" spans="1:35" x14ac:dyDescent="0.3">
      <c r="A14" t="s">
        <v>20</v>
      </c>
      <c r="B14">
        <f>COUNT(Data_Cleaned!U2:U1471)</f>
        <v>1470</v>
      </c>
      <c r="C14" s="22">
        <f>AVERAGE(Data_Cleaned!U2:U1471)</f>
        <v>2.6945578231292515</v>
      </c>
      <c r="D14" s="22">
        <f>MEDIAN(Data_Cleaned!U2:U1471)</f>
        <v>2</v>
      </c>
      <c r="E14" s="22">
        <f>_xlfn.STDEV.S(Data_Cleaned!U2:U1471)</f>
        <v>2.4970856345262318</v>
      </c>
      <c r="F14" s="23">
        <f>MIN(Data_Cleaned!U2:U1471)</f>
        <v>0</v>
      </c>
      <c r="G14" s="23">
        <f>MAX(Data_Cleaned!U2:U1471)</f>
        <v>9</v>
      </c>
      <c r="H14" s="23">
        <f>_xlfn.QUARTILE.INC(Data_Cleaned!U2:U1471,1)</f>
        <v>1</v>
      </c>
      <c r="I14" s="23">
        <f>_xlfn.QUARTILE.INC(Data_Cleaned!U2:U1471,3)</f>
        <v>4</v>
      </c>
      <c r="J14" s="23"/>
      <c r="M14" t="str">
        <f>Data_Cleaned!B14</f>
        <v>No</v>
      </c>
      <c r="N14">
        <f>Data_Cleaned!S14</f>
        <v>2911</v>
      </c>
      <c r="P14">
        <v>2</v>
      </c>
      <c r="Q14">
        <v>3441</v>
      </c>
      <c r="R14">
        <v>10</v>
      </c>
      <c r="S14">
        <v>9980</v>
      </c>
    </row>
    <row r="15" spans="1:35" x14ac:dyDescent="0.3">
      <c r="A15" t="s">
        <v>23</v>
      </c>
      <c r="B15">
        <f>COUNT(Data_Cleaned!X2:X1471)</f>
        <v>1470</v>
      </c>
      <c r="C15" s="22">
        <f>AVERAGE(Data_Cleaned!X2:X1471)</f>
        <v>15.204081632653061</v>
      </c>
      <c r="D15" s="22">
        <f>MEDIAN(Data_Cleaned!X2:X1471)</f>
        <v>14</v>
      </c>
      <c r="E15" s="22">
        <f>_xlfn.STDEV.S(Data_Cleaned!X2:X1471)</f>
        <v>3.6576407628093444</v>
      </c>
      <c r="F15" s="23">
        <f>MIN(Data_Cleaned!X2:X1471)</f>
        <v>11</v>
      </c>
      <c r="G15" s="23">
        <f>MAX(Data_Cleaned!X2:X1471)</f>
        <v>25</v>
      </c>
      <c r="H15" s="23">
        <f>_xlfn.QUARTILE.INC(Data_Cleaned!X2:X1471,1)</f>
        <v>12</v>
      </c>
      <c r="I15" s="23">
        <f>_xlfn.QUARTILE.INC(Data_Cleaned!X2:X1471,3)</f>
        <v>18</v>
      </c>
      <c r="J15" s="23"/>
      <c r="M15" t="str">
        <f>Data_Cleaned!B15</f>
        <v>No</v>
      </c>
      <c r="N15">
        <f>Data_Cleaned!S15</f>
        <v>2661</v>
      </c>
      <c r="P15">
        <v>1</v>
      </c>
      <c r="Q15">
        <v>3388</v>
      </c>
      <c r="R15">
        <v>6</v>
      </c>
      <c r="S15">
        <v>3298</v>
      </c>
    </row>
    <row r="16" spans="1:35" x14ac:dyDescent="0.3">
      <c r="A16" t="s">
        <v>28</v>
      </c>
      <c r="B16">
        <f>COUNT(Data_Cleaned!AC2:AC1471)</f>
        <v>1470</v>
      </c>
      <c r="C16" s="22">
        <f>AVERAGE(Data_Cleaned!AC2:AC1471)</f>
        <v>11.303401360544218</v>
      </c>
      <c r="D16" s="22">
        <f>MEDIAN(Data_Cleaned!AC2:AC1471)</f>
        <v>10</v>
      </c>
      <c r="E16" s="22">
        <f>_xlfn.STDEV.S(Data_Cleaned!AC2:AC1471)</f>
        <v>7.7667968571005632</v>
      </c>
      <c r="F16" s="23">
        <f>MIN(Data_Cleaned!AC2:AC1471)</f>
        <v>0</v>
      </c>
      <c r="G16" s="23">
        <f>MAX(Data_Cleaned!AC2:AC1471)</f>
        <v>40</v>
      </c>
      <c r="H16" s="23">
        <f>_xlfn.QUARTILE.INC(Data_Cleaned!AC2:AC1471,1)</f>
        <v>6</v>
      </c>
      <c r="I16" s="23">
        <f>_xlfn.QUARTILE.INC(Data_Cleaned!AC2:AC1471,3)</f>
        <v>15</v>
      </c>
      <c r="J16" s="23"/>
      <c r="M16" t="str">
        <f>Data_Cleaned!B16</f>
        <v>Yes</v>
      </c>
      <c r="N16">
        <f>Data_Cleaned!S16</f>
        <v>2028</v>
      </c>
      <c r="P16">
        <v>9</v>
      </c>
      <c r="Q16">
        <v>9619</v>
      </c>
      <c r="R16">
        <v>1</v>
      </c>
      <c r="S16">
        <v>2935</v>
      </c>
    </row>
    <row r="17" spans="1:19" x14ac:dyDescent="0.3">
      <c r="A17" t="s">
        <v>29</v>
      </c>
      <c r="B17">
        <f>COUNT(Data_Cleaned!AD2:AD1471)</f>
        <v>1470</v>
      </c>
      <c r="C17" s="22">
        <f>AVERAGE(Data_Cleaned!AD2:AD1471)</f>
        <v>2.7993197278911564</v>
      </c>
      <c r="D17" s="22">
        <f>MEDIAN(Data_Cleaned!AD2:AD1471)</f>
        <v>3</v>
      </c>
      <c r="E17" s="22">
        <f>_xlfn.STDEV.S(Data_Cleaned!AD2:AD1471)</f>
        <v>1.2892706207958458</v>
      </c>
      <c r="F17" s="23">
        <f>MIN(Data_Cleaned!AD2:AD1471)</f>
        <v>0</v>
      </c>
      <c r="G17" s="23">
        <f>MAX(Data_Cleaned!AD2:AD1471)</f>
        <v>6</v>
      </c>
      <c r="H17" s="23">
        <f>_xlfn.QUARTILE.INC(Data_Cleaned!AD2:AD1471,1)</f>
        <v>2</v>
      </c>
      <c r="I17" s="23">
        <f>_xlfn.QUARTILE.INC(Data_Cleaned!AD2:AD1471,3)</f>
        <v>3</v>
      </c>
      <c r="J17" s="23"/>
      <c r="M17" t="str">
        <f>Data_Cleaned!B17</f>
        <v>No</v>
      </c>
      <c r="N17">
        <f>Data_Cleaned!S17</f>
        <v>9980</v>
      </c>
      <c r="P17">
        <v>3</v>
      </c>
      <c r="Q17">
        <v>2073</v>
      </c>
      <c r="R17">
        <v>25</v>
      </c>
      <c r="S17">
        <v>15427</v>
      </c>
    </row>
    <row r="18" spans="1:19" x14ac:dyDescent="0.3">
      <c r="A18" t="s">
        <v>31</v>
      </c>
      <c r="B18">
        <f>COUNT(Data_Cleaned!AF2:AF1471)</f>
        <v>1470</v>
      </c>
      <c r="C18" s="22">
        <f>AVERAGE(Data_Cleaned!AF2:AF1471)</f>
        <v>7.0081632653061225</v>
      </c>
      <c r="D18" s="22">
        <f>MEDIAN(Data_Cleaned!AF2:AF1471)</f>
        <v>5</v>
      </c>
      <c r="E18" s="22">
        <f>_xlfn.STDEV.S(Data_Cleaned!AF2:AF1471)</f>
        <v>6.1265251524035689</v>
      </c>
      <c r="F18" s="23">
        <f>MIN(Data_Cleaned!AF2:AF1471)</f>
        <v>0</v>
      </c>
      <c r="G18" s="23">
        <f>MAX(Data_Cleaned!AF2:AF1471)</f>
        <v>40</v>
      </c>
      <c r="H18" s="23">
        <f>_xlfn.QUARTILE.INC(Data_Cleaned!AF2:AF1471,1)</f>
        <v>3</v>
      </c>
      <c r="I18" s="23">
        <f>_xlfn.QUARTILE.INC(Data_Cleaned!AF2:AF1471,3)</f>
        <v>9</v>
      </c>
      <c r="J18" s="23"/>
      <c r="M18" t="str">
        <f>Data_Cleaned!B18</f>
        <v>No</v>
      </c>
      <c r="N18">
        <f>Data_Cleaned!S18</f>
        <v>3298</v>
      </c>
      <c r="P18">
        <v>1</v>
      </c>
      <c r="Q18">
        <v>2926</v>
      </c>
      <c r="R18">
        <v>3</v>
      </c>
      <c r="S18">
        <v>3944</v>
      </c>
    </row>
    <row r="19" spans="1:19" x14ac:dyDescent="0.3">
      <c r="A19" t="s">
        <v>32</v>
      </c>
      <c r="B19">
        <f>COUNT(Data_Cleaned!AG2:AG1471)</f>
        <v>1470</v>
      </c>
      <c r="C19" s="22">
        <f>AVERAGE(Data_Cleaned!AG2:AG1471)</f>
        <v>4.2292517006802717</v>
      </c>
      <c r="D19" s="22">
        <f>MEDIAN(Data_Cleaned!AG2:AG1471)</f>
        <v>3</v>
      </c>
      <c r="E19" s="22">
        <f>_xlfn.STDEV.S(Data_Cleaned!AG2:AG1471)</f>
        <v>3.623137034670628</v>
      </c>
      <c r="F19" s="23">
        <f>MIN(Data_Cleaned!AG2:AG1471)</f>
        <v>0</v>
      </c>
      <c r="G19" s="23">
        <f>MAX(Data_Cleaned!AG2:AG1471)</f>
        <v>18</v>
      </c>
      <c r="H19" s="23">
        <f>_xlfn.QUARTILE.INC(Data_Cleaned!AG2:AG1471,1)</f>
        <v>2</v>
      </c>
      <c r="I19" s="23">
        <f>_xlfn.QUARTILE.INC(Data_Cleaned!AG2:AG1471,3)</f>
        <v>7</v>
      </c>
      <c r="J19" s="23"/>
      <c r="M19" t="str">
        <f>Data_Cleaned!B19</f>
        <v>No</v>
      </c>
      <c r="N19">
        <f>Data_Cleaned!S19</f>
        <v>2935</v>
      </c>
      <c r="P19">
        <v>6</v>
      </c>
      <c r="Q19">
        <v>5744</v>
      </c>
      <c r="R19">
        <v>4</v>
      </c>
      <c r="S19">
        <v>4011</v>
      </c>
    </row>
    <row r="20" spans="1:19" x14ac:dyDescent="0.3">
      <c r="A20" t="s">
        <v>33</v>
      </c>
      <c r="B20">
        <f>COUNT(Data_Cleaned!AH2:AH1471)</f>
        <v>1470</v>
      </c>
      <c r="C20" s="22">
        <f>AVERAGE(Data_Cleaned!AH2:AH1471)</f>
        <v>2.1877551020408164</v>
      </c>
      <c r="D20" s="22">
        <f>MEDIAN(Data_Cleaned!AH2:AH1471)</f>
        <v>1</v>
      </c>
      <c r="E20" s="22">
        <f>_xlfn.STDEV.S(Data_Cleaned!AH2:AH1471)</f>
        <v>3.2224302791379671</v>
      </c>
      <c r="F20" s="23">
        <f>MIN(Data_Cleaned!AH2:AH1471)</f>
        <v>0</v>
      </c>
      <c r="G20" s="23">
        <f>MAX(Data_Cleaned!AH2:AH1471)</f>
        <v>15</v>
      </c>
      <c r="H20" s="23">
        <f>_xlfn.QUARTILE.INC(Data_Cleaned!AH2:AH1471,1)</f>
        <v>0</v>
      </c>
      <c r="I20" s="23">
        <f>_xlfn.QUARTILE.INC(Data_Cleaned!AH2:AH1471,3)</f>
        <v>3</v>
      </c>
      <c r="J20" s="23"/>
      <c r="M20" t="str">
        <f>Data_Cleaned!B20</f>
        <v>No</v>
      </c>
      <c r="N20">
        <f>Data_Cleaned!S20</f>
        <v>15427</v>
      </c>
      <c r="P20">
        <v>9</v>
      </c>
      <c r="Q20">
        <v>6074</v>
      </c>
      <c r="R20">
        <v>12</v>
      </c>
      <c r="S20">
        <v>11994</v>
      </c>
    </row>
    <row r="21" spans="1:19" x14ac:dyDescent="0.3">
      <c r="A21" t="s">
        <v>16</v>
      </c>
      <c r="B21">
        <f>COUNT(Data_Cleaned!Q2:Q1471)</f>
        <v>1470</v>
      </c>
      <c r="C21" s="22">
        <f>AVERAGE(Data_Cleaned!Q2:Q1471)</f>
        <v>2.7285714285714286</v>
      </c>
      <c r="D21" s="22">
        <f>MEDIAN(Data_Cleaned!Q2:Q1471)</f>
        <v>3</v>
      </c>
      <c r="E21" s="22">
        <f>_xlfn.STDEV.S(Data_Cleaned!Q2:Q1471)</f>
        <v>1.1028461230547209</v>
      </c>
      <c r="F21" s="23">
        <f>MIN(Data_Cleaned!Q2:Q1471)</f>
        <v>1</v>
      </c>
      <c r="G21" s="23">
        <f>MAX(Data_Cleaned!Q2:Q1471)</f>
        <v>4</v>
      </c>
      <c r="H21" s="23">
        <f>_xlfn.QUARTILE.INC(Data_Cleaned!Q2:Q1471,1)</f>
        <v>2</v>
      </c>
      <c r="I21" s="23">
        <f>_xlfn.QUARTILE.INC(Data_Cleaned!Q2:Q1471,3)</f>
        <v>4</v>
      </c>
      <c r="J21" s="23"/>
      <c r="M21" t="str">
        <f>Data_Cleaned!B21</f>
        <v>No</v>
      </c>
      <c r="N21">
        <f>Data_Cleaned!S21</f>
        <v>3944</v>
      </c>
      <c r="P21">
        <v>5</v>
      </c>
      <c r="Q21">
        <v>4963</v>
      </c>
      <c r="R21">
        <v>0</v>
      </c>
      <c r="S21">
        <v>1232</v>
      </c>
    </row>
    <row r="22" spans="1:19" x14ac:dyDescent="0.3">
      <c r="A22" t="s">
        <v>10</v>
      </c>
      <c r="B22">
        <f>COUNT(Data_Cleaned!K2:K1471)</f>
        <v>1470</v>
      </c>
      <c r="C22" s="22">
        <f>AVERAGE(Data_Cleaned!K2:K1471)</f>
        <v>2.7272108843537417</v>
      </c>
      <c r="D22" s="22">
        <f>MEDIAN(Data_Cleaned!K2:K1471)</f>
        <v>3</v>
      </c>
      <c r="E22" s="22">
        <f>_xlfn.STDEV.S(Data_Cleaned!K2:K1471)</f>
        <v>1.0894667304341323</v>
      </c>
      <c r="F22" s="23">
        <f>MIN(Data_Cleaned!K2:K1471)</f>
        <v>1</v>
      </c>
      <c r="G22" s="23">
        <f>MAX(Data_Cleaned!K2:K1471)</f>
        <v>4</v>
      </c>
      <c r="H22" s="23">
        <f>_xlfn.QUARTILE.INC(Data_Cleaned!K2:K1471,1)</f>
        <v>2</v>
      </c>
      <c r="I22" s="23">
        <f>_xlfn.QUARTILE.INC(Data_Cleaned!K2:K1471,3)</f>
        <v>4</v>
      </c>
      <c r="J22" s="23"/>
      <c r="M22" t="str">
        <f>Data_Cleaned!B22</f>
        <v>No</v>
      </c>
      <c r="N22">
        <f>Data_Cleaned!S22</f>
        <v>4011</v>
      </c>
      <c r="P22">
        <v>7</v>
      </c>
      <c r="Q22">
        <v>6172</v>
      </c>
      <c r="R22">
        <v>14</v>
      </c>
      <c r="S22">
        <v>19094</v>
      </c>
    </row>
    <row r="23" spans="1:19" x14ac:dyDescent="0.3">
      <c r="A23" t="s">
        <v>30</v>
      </c>
      <c r="B23">
        <f>COUNT(Data_Cleaned!AE2:AE1471)</f>
        <v>1470</v>
      </c>
      <c r="C23" s="22">
        <f>AVERAGE(Data_Cleaned!AE2:AE1471)</f>
        <v>2.7612244897959184</v>
      </c>
      <c r="D23" s="22">
        <f>MEDIAN(Data_Cleaned!AE2:AE1471)</f>
        <v>3</v>
      </c>
      <c r="E23" s="22">
        <f>_xlfn.STDEV.S(Data_Cleaned!AE2:AE1471)</f>
        <v>0.70647582971415102</v>
      </c>
      <c r="F23" s="23">
        <f>MIN(Data_Cleaned!AE2:AE1471)</f>
        <v>1</v>
      </c>
      <c r="G23" s="23">
        <f>MAX(Data_Cleaned!AE2:AE1471)</f>
        <v>4</v>
      </c>
      <c r="H23" s="23">
        <f>_xlfn.QUARTILE.INC(Data_Cleaned!AE2:AE1471,1)</f>
        <v>2</v>
      </c>
      <c r="I23" s="23">
        <f>_xlfn.QUARTILE.INC(Data_Cleaned!AE2:AE1471,3)</f>
        <v>3</v>
      </c>
      <c r="J23" s="23"/>
      <c r="M23" t="str">
        <f>Data_Cleaned!B23</f>
        <v>Yes</v>
      </c>
      <c r="N23">
        <f>Data_Cleaned!S23</f>
        <v>3407</v>
      </c>
      <c r="P23">
        <v>40</v>
      </c>
      <c r="Q23">
        <v>10312</v>
      </c>
      <c r="R23">
        <v>9</v>
      </c>
      <c r="S23">
        <v>6825</v>
      </c>
    </row>
    <row r="24" spans="1:19" x14ac:dyDescent="0.3">
      <c r="M24" t="str">
        <f>Data_Cleaned!B24</f>
        <v>No</v>
      </c>
      <c r="N24">
        <f>Data_Cleaned!S24</f>
        <v>11994</v>
      </c>
      <c r="P24">
        <v>0</v>
      </c>
      <c r="Q24">
        <v>1675</v>
      </c>
      <c r="R24">
        <v>22</v>
      </c>
      <c r="S24">
        <v>10248</v>
      </c>
    </row>
    <row r="25" spans="1:19" x14ac:dyDescent="0.3">
      <c r="M25" t="str">
        <f>Data_Cleaned!B25</f>
        <v>No</v>
      </c>
      <c r="N25">
        <f>Data_Cleaned!S25</f>
        <v>1232</v>
      </c>
      <c r="P25">
        <v>2</v>
      </c>
      <c r="Q25">
        <v>4559</v>
      </c>
      <c r="R25">
        <v>2</v>
      </c>
      <c r="S25">
        <v>18947</v>
      </c>
    </row>
    <row r="26" spans="1:19" ht="15.6" x14ac:dyDescent="0.3">
      <c r="A26" s="3" t="s">
        <v>194</v>
      </c>
      <c r="M26" t="str">
        <f>Data_Cleaned!B26</f>
        <v>Yes</v>
      </c>
      <c r="N26">
        <f>Data_Cleaned!S26</f>
        <v>2960</v>
      </c>
      <c r="P26">
        <v>4</v>
      </c>
      <c r="Q26">
        <v>10650</v>
      </c>
      <c r="R26">
        <v>1</v>
      </c>
      <c r="S26">
        <v>2496</v>
      </c>
    </row>
    <row r="27" spans="1:19" x14ac:dyDescent="0.3">
      <c r="A27" t="s">
        <v>195</v>
      </c>
      <c r="B27" cm="1">
        <f t="array" ref="B27">SUMPRODUCT(--(Data_Cleaned!A2:AI1471=""))</f>
        <v>0</v>
      </c>
      <c r="M27" t="str">
        <f>Data_Cleaned!B27</f>
        <v>No</v>
      </c>
      <c r="N27">
        <f>Data_Cleaned!S27</f>
        <v>19094</v>
      </c>
      <c r="P27">
        <v>5</v>
      </c>
      <c r="Q27">
        <v>4200</v>
      </c>
      <c r="R27">
        <v>4</v>
      </c>
      <c r="S27">
        <v>6465</v>
      </c>
    </row>
    <row r="28" spans="1:19" x14ac:dyDescent="0.3">
      <c r="A28" t="s">
        <v>196</v>
      </c>
      <c r="M28" t="str">
        <f>Data_Cleaned!B28</f>
        <v>Yes</v>
      </c>
      <c r="N28">
        <f>Data_Cleaned!S28</f>
        <v>3919</v>
      </c>
      <c r="P28">
        <v>0</v>
      </c>
      <c r="Q28">
        <v>2325</v>
      </c>
      <c r="R28">
        <v>10</v>
      </c>
      <c r="S28">
        <v>2206</v>
      </c>
    </row>
    <row r="29" spans="1:19" x14ac:dyDescent="0.3">
      <c r="M29" t="str">
        <f>Data_Cleaned!B29</f>
        <v>No</v>
      </c>
      <c r="N29">
        <f>Data_Cleaned!S29</f>
        <v>6825</v>
      </c>
      <c r="P29">
        <v>1</v>
      </c>
      <c r="Q29">
        <v>1102</v>
      </c>
      <c r="R29">
        <v>5</v>
      </c>
      <c r="S29">
        <v>2645</v>
      </c>
    </row>
    <row r="30" spans="1:19" ht="15.6" x14ac:dyDescent="0.3">
      <c r="A30" s="3" t="s">
        <v>197</v>
      </c>
      <c r="M30" t="str">
        <f>Data_Cleaned!B30</f>
        <v>No</v>
      </c>
      <c r="N30">
        <f>Data_Cleaned!S30</f>
        <v>10248</v>
      </c>
      <c r="P30">
        <v>4</v>
      </c>
      <c r="Q30">
        <v>3140</v>
      </c>
      <c r="R30">
        <v>2</v>
      </c>
      <c r="S30">
        <v>2014</v>
      </c>
    </row>
    <row r="31" spans="1:19" x14ac:dyDescent="0.3">
      <c r="A31" t="s">
        <v>198</v>
      </c>
      <c r="B31">
        <f>COUNTIF(Data_Cleaned!B2:B1471,"Yes")</f>
        <v>237</v>
      </c>
      <c r="M31" t="str">
        <f>Data_Cleaned!B31</f>
        <v>No</v>
      </c>
      <c r="N31">
        <f>Data_Cleaned!S31</f>
        <v>18947</v>
      </c>
      <c r="P31">
        <v>1</v>
      </c>
      <c r="Q31">
        <v>5916</v>
      </c>
      <c r="R31">
        <v>1</v>
      </c>
      <c r="S31">
        <v>3419</v>
      </c>
    </row>
    <row r="32" spans="1:19" x14ac:dyDescent="0.3">
      <c r="A32" t="s">
        <v>199</v>
      </c>
      <c r="B32">
        <f>COUNTIF(Data_Cleaned!B2:B1471,"No")</f>
        <v>1233</v>
      </c>
      <c r="M32" t="str">
        <f>Data_Cleaned!B32</f>
        <v>No</v>
      </c>
      <c r="N32">
        <f>Data_Cleaned!S32</f>
        <v>2496</v>
      </c>
      <c r="P32">
        <v>1</v>
      </c>
      <c r="Q32">
        <v>6673</v>
      </c>
      <c r="R32">
        <v>5</v>
      </c>
      <c r="S32">
        <v>5376</v>
      </c>
    </row>
    <row r="33" spans="1:19" x14ac:dyDescent="0.3">
      <c r="A33" t="s">
        <v>200</v>
      </c>
      <c r="B33" s="21">
        <f>B31/(B31+B32)</f>
        <v>0.16122448979591836</v>
      </c>
      <c r="M33" t="str">
        <f>Data_Cleaned!B33</f>
        <v>No</v>
      </c>
      <c r="N33">
        <f>Data_Cleaned!S33</f>
        <v>6465</v>
      </c>
      <c r="P33">
        <v>10</v>
      </c>
      <c r="Q33">
        <v>7639</v>
      </c>
      <c r="R33">
        <v>1</v>
      </c>
      <c r="S33">
        <v>1951</v>
      </c>
    </row>
    <row r="34" spans="1:19" x14ac:dyDescent="0.3">
      <c r="A34" t="s">
        <v>201</v>
      </c>
      <c r="M34" t="str">
        <f>Data_Cleaned!B34</f>
        <v>No</v>
      </c>
      <c r="N34">
        <f>Data_Cleaned!S34</f>
        <v>2206</v>
      </c>
      <c r="P34">
        <v>14</v>
      </c>
      <c r="Q34">
        <v>10400</v>
      </c>
      <c r="R34">
        <v>1</v>
      </c>
      <c r="S34">
        <v>2341</v>
      </c>
    </row>
    <row r="35" spans="1:19" x14ac:dyDescent="0.3">
      <c r="M35" t="str">
        <f>Data_Cleaned!B35</f>
        <v>Yes</v>
      </c>
      <c r="N35">
        <f>Data_Cleaned!S35</f>
        <v>2086</v>
      </c>
      <c r="P35">
        <v>5</v>
      </c>
      <c r="Q35">
        <v>2657</v>
      </c>
      <c r="R35">
        <v>9</v>
      </c>
      <c r="S35">
        <v>8726</v>
      </c>
    </row>
    <row r="36" spans="1:19" ht="15.6" x14ac:dyDescent="0.3">
      <c r="A36" s="3" t="s">
        <v>202</v>
      </c>
      <c r="M36" t="str">
        <f>Data_Cleaned!B36</f>
        <v>Yes</v>
      </c>
      <c r="N36">
        <f>Data_Cleaned!S36</f>
        <v>2293</v>
      </c>
      <c r="P36">
        <v>6</v>
      </c>
      <c r="Q36">
        <v>6696</v>
      </c>
      <c r="R36">
        <v>12</v>
      </c>
      <c r="S36">
        <v>4011</v>
      </c>
    </row>
    <row r="37" spans="1:19" x14ac:dyDescent="0.3">
      <c r="M37" t="str">
        <f>Data_Cleaned!B37</f>
        <v>No</v>
      </c>
      <c r="N37">
        <f>Data_Cleaned!S37</f>
        <v>2645</v>
      </c>
      <c r="P37">
        <v>6</v>
      </c>
      <c r="Q37">
        <v>2058</v>
      </c>
      <c r="R37">
        <v>9</v>
      </c>
      <c r="S37">
        <v>4568</v>
      </c>
    </row>
    <row r="38" spans="1:19" x14ac:dyDescent="0.3">
      <c r="A38" s="2" t="s">
        <v>203</v>
      </c>
      <c r="E38" s="2" t="s">
        <v>206</v>
      </c>
      <c r="I38" s="2" t="s">
        <v>207</v>
      </c>
      <c r="M38" t="str">
        <f>Data_Cleaned!B38</f>
        <v>Yes</v>
      </c>
      <c r="N38">
        <f>Data_Cleaned!S38</f>
        <v>2683</v>
      </c>
      <c r="P38">
        <v>4</v>
      </c>
      <c r="Q38">
        <v>2389</v>
      </c>
      <c r="R38">
        <v>1</v>
      </c>
      <c r="S38">
        <v>3022</v>
      </c>
    </row>
    <row r="39" spans="1:19" x14ac:dyDescent="0.3">
      <c r="A39" s="2" t="s">
        <v>4</v>
      </c>
      <c r="B39" s="2" t="s">
        <v>204</v>
      </c>
      <c r="C39" s="2" t="s">
        <v>205</v>
      </c>
      <c r="E39" s="2" t="s">
        <v>22</v>
      </c>
      <c r="F39" s="2" t="s">
        <v>204</v>
      </c>
      <c r="G39" s="2" t="s">
        <v>205</v>
      </c>
      <c r="I39" s="2" t="s">
        <v>11</v>
      </c>
      <c r="J39" s="2" t="s">
        <v>204</v>
      </c>
      <c r="K39" s="2" t="s">
        <v>205</v>
      </c>
      <c r="M39" t="str">
        <f>Data_Cleaned!B39</f>
        <v>No</v>
      </c>
      <c r="N39">
        <f>Data_Cleaned!S39</f>
        <v>2014</v>
      </c>
      <c r="P39">
        <v>5</v>
      </c>
      <c r="Q39">
        <v>2436</v>
      </c>
      <c r="R39">
        <v>9</v>
      </c>
      <c r="S39">
        <v>5772</v>
      </c>
    </row>
    <row r="40" spans="1:19" x14ac:dyDescent="0.3">
      <c r="A40" t="s">
        <v>37</v>
      </c>
      <c r="B40">
        <f>COUNTIF(Data_Cleaned!$E$2:$E$1471,A40)</f>
        <v>445</v>
      </c>
      <c r="C40" s="21">
        <f>AVERAGEIFS(Data_Cleaned!$AJ$2:$AJ$1471,Data_Cleaned!$E$2:$E$1471,A40)</f>
        <v>0.20898876404494382</v>
      </c>
      <c r="E40" t="s">
        <v>35</v>
      </c>
      <c r="F40">
        <f>COUNTIF(Data_Cleaned!$W$2:$W$1471,E40)</f>
        <v>417</v>
      </c>
      <c r="G40" s="21">
        <f>AVERAGEIFS(Data_Cleaned!$AJ$2:$AJ$1471,Data_Cleaned!$W$2:$W$1471,E40)</f>
        <v>0.30455635491606714</v>
      </c>
      <c r="I40" t="s">
        <v>46</v>
      </c>
      <c r="J40">
        <f>COUNTIF(Data_Cleaned!$L$2:$L$1471,I40)</f>
        <v>882</v>
      </c>
      <c r="K40" s="21">
        <f>AVERAGEIFS(Data_Cleaned!$AJ$2:$AJ$1471,Data_Cleaned!$L$2:$L$1471,I40)</f>
        <v>0.16893424036281179</v>
      </c>
      <c r="M40" t="str">
        <f>Data_Cleaned!B40</f>
        <v>No</v>
      </c>
      <c r="N40">
        <f>Data_Cleaned!S40</f>
        <v>3419</v>
      </c>
      <c r="P40">
        <v>9</v>
      </c>
      <c r="Q40">
        <v>2707</v>
      </c>
      <c r="R40">
        <v>1</v>
      </c>
      <c r="S40">
        <v>2269</v>
      </c>
    </row>
    <row r="41" spans="1:19" x14ac:dyDescent="0.3">
      <c r="A41" t="s">
        <v>45</v>
      </c>
      <c r="B41">
        <f>COUNTIF(Data_Cleaned!$E$2:$E$1471,A41)</f>
        <v>962</v>
      </c>
      <c r="C41" s="21">
        <f>AVERAGEIFS(Data_Cleaned!$AJ$2:$AJ$1471,Data_Cleaned!$E$2:$E$1471,A41)</f>
        <v>0.13825363825363826</v>
      </c>
      <c r="E41" t="s">
        <v>43</v>
      </c>
      <c r="F41">
        <f>COUNTIF(Data_Cleaned!$W$2:$W$1471,E41)</f>
        <v>1053</v>
      </c>
      <c r="G41" s="21">
        <f>AVERAGEIFS(Data_Cleaned!$AJ$2:$AJ$1471,Data_Cleaned!$W$2:$W$1471,E41)</f>
        <v>0.10446343779677113</v>
      </c>
      <c r="I41" t="s">
        <v>39</v>
      </c>
      <c r="J41">
        <f>COUNTIF(Data_Cleaned!$L$2:$L$1471,I41)</f>
        <v>588</v>
      </c>
      <c r="K41" s="21">
        <f>AVERAGEIFS(Data_Cleaned!$AJ$2:$AJ$1471,Data_Cleaned!$L$2:$L$1471,I41)</f>
        <v>0.14965986394557823</v>
      </c>
      <c r="M41" t="str">
        <f>Data_Cleaned!B41</f>
        <v>No</v>
      </c>
      <c r="N41">
        <f>Data_Cleaned!S41</f>
        <v>5376</v>
      </c>
      <c r="P41">
        <v>3</v>
      </c>
      <c r="Q41">
        <v>3730</v>
      </c>
      <c r="R41">
        <v>4</v>
      </c>
      <c r="S41">
        <v>5454</v>
      </c>
    </row>
    <row r="42" spans="1:19" x14ac:dyDescent="0.3">
      <c r="A42" t="s">
        <v>61</v>
      </c>
      <c r="B42">
        <f>COUNTIF(Data_Cleaned!$E$2:$E$1471,A42)</f>
        <v>63</v>
      </c>
      <c r="C42" s="21">
        <f>AVERAGEIFS(Data_Cleaned!$AJ$2:$AJ$1471,Data_Cleaned!$E$2:$E$1471,A42)</f>
        <v>0.17460317460317459</v>
      </c>
      <c r="M42" t="str">
        <f>Data_Cleaned!B42</f>
        <v>No</v>
      </c>
      <c r="N42">
        <f>Data_Cleaned!S42</f>
        <v>1951</v>
      </c>
      <c r="P42">
        <v>1</v>
      </c>
      <c r="Q42">
        <v>10048</v>
      </c>
      <c r="R42">
        <v>4</v>
      </c>
      <c r="S42">
        <v>9884</v>
      </c>
    </row>
    <row r="43" spans="1:19" x14ac:dyDescent="0.3">
      <c r="M43" t="str">
        <f>Data_Cleaned!B43</f>
        <v>No</v>
      </c>
      <c r="N43">
        <f>Data_Cleaned!S43</f>
        <v>2341</v>
      </c>
      <c r="P43">
        <v>5</v>
      </c>
      <c r="Q43">
        <v>3479</v>
      </c>
      <c r="R43">
        <v>2</v>
      </c>
      <c r="S43">
        <v>4157</v>
      </c>
    </row>
    <row r="44" spans="1:19" x14ac:dyDescent="0.3">
      <c r="A44" s="2" t="s">
        <v>208</v>
      </c>
      <c r="E44" s="2" t="s">
        <v>209</v>
      </c>
      <c r="I44" s="2" t="s">
        <v>214</v>
      </c>
      <c r="M44" t="str">
        <f>Data_Cleaned!B44</f>
        <v>Yes</v>
      </c>
      <c r="N44">
        <f>Data_Cleaned!S44</f>
        <v>2293</v>
      </c>
      <c r="P44">
        <v>0</v>
      </c>
      <c r="Q44">
        <v>3485</v>
      </c>
      <c r="R44">
        <v>15</v>
      </c>
      <c r="S44">
        <v>5993</v>
      </c>
    </row>
    <row r="45" spans="1:19" x14ac:dyDescent="0.3">
      <c r="A45" s="2" t="s">
        <v>17</v>
      </c>
      <c r="B45" s="2" t="s">
        <v>204</v>
      </c>
      <c r="C45" s="2" t="s">
        <v>205</v>
      </c>
      <c r="E45" s="2" t="s">
        <v>119</v>
      </c>
      <c r="F45" s="2" t="s">
        <v>204</v>
      </c>
      <c r="G45" s="2" t="s">
        <v>205</v>
      </c>
      <c r="I45" s="2" t="s">
        <v>120</v>
      </c>
      <c r="J45" s="2" t="s">
        <v>204</v>
      </c>
      <c r="K45" s="2" t="s">
        <v>205</v>
      </c>
      <c r="M45" t="str">
        <f>Data_Cleaned!B45</f>
        <v>No</v>
      </c>
      <c r="N45">
        <f>Data_Cleaned!S45</f>
        <v>8726</v>
      </c>
      <c r="P45">
        <v>10</v>
      </c>
      <c r="Q45">
        <v>11849</v>
      </c>
      <c r="R45">
        <v>9</v>
      </c>
      <c r="S45">
        <v>9069</v>
      </c>
    </row>
    <row r="46" spans="1:19" x14ac:dyDescent="0.3">
      <c r="A46" t="s">
        <v>41</v>
      </c>
      <c r="B46">
        <f>COUNTIF(Data_Cleaned!$R$2:$R$1471,A46)</f>
        <v>468</v>
      </c>
      <c r="C46" s="21">
        <f>AVERAGEIFS(Data_Cleaned!$AJ$2:$AJ$1471,Data_Cleaned!$R$2:$R$1471,A46)</f>
        <v>0.25641025641025639</v>
      </c>
      <c r="E46" t="s">
        <v>210</v>
      </c>
      <c r="F46">
        <f>COUNTIF(Data_Cleaned!$AP$2:$AP$1471,E46)</f>
        <v>327</v>
      </c>
      <c r="G46" s="21">
        <f>AVERAGEIFS(Data_Cleaned!$AJ$2:$AJ$1471,Data_Cleaned!$AP$2:$AP$1471,E46)</f>
        <v>0.27828746177370028</v>
      </c>
      <c r="I46" t="s">
        <v>215</v>
      </c>
      <c r="J46">
        <f>COUNTIF(Data_Cleaned!$AQ$2:$AQ$1471,I46)</f>
        <v>368</v>
      </c>
      <c r="K46" s="21">
        <f>AVERAGEIFS(Data_Cleaned!$AJ$2:$AJ$1471,Data_Cleaned!$AQ$2:$AQ$1471,I46)</f>
        <v>0.29076086956521741</v>
      </c>
      <c r="M46" t="str">
        <f>Data_Cleaned!B46</f>
        <v>No</v>
      </c>
      <c r="N46">
        <f>Data_Cleaned!S46</f>
        <v>4011</v>
      </c>
      <c r="P46">
        <v>1</v>
      </c>
      <c r="Q46">
        <v>3161</v>
      </c>
      <c r="R46">
        <v>2</v>
      </c>
      <c r="S46">
        <v>4014</v>
      </c>
    </row>
    <row r="47" spans="1:19" x14ac:dyDescent="0.3">
      <c r="A47" t="s">
        <v>48</v>
      </c>
      <c r="B47">
        <f>COUNTIF(Data_Cleaned!$R$2:$R$1471,A47)</f>
        <v>675</v>
      </c>
      <c r="C47" s="21">
        <f>AVERAGEIFS(Data_Cleaned!$AJ$2:$AJ$1471,Data_Cleaned!$R$2:$R$1471,A47)</f>
        <v>0.12444444444444444</v>
      </c>
      <c r="E47" t="s">
        <v>211</v>
      </c>
      <c r="F47">
        <f>COUNTIF(Data_Cleaned!$AP$2:$AP$1471,E47)</f>
        <v>624</v>
      </c>
      <c r="G47" s="21">
        <f>AVERAGEIFS(Data_Cleaned!$AJ$2:$AJ$1471,Data_Cleaned!$AP$2:$AP$1471,E47)</f>
        <v>0.14423076923076922</v>
      </c>
      <c r="I47" t="s">
        <v>216</v>
      </c>
      <c r="J47">
        <f>COUNTIF(Data_Cleaned!$AQ$2:$AQ$1471,I47)</f>
        <v>367</v>
      </c>
      <c r="K47" s="21">
        <f>AVERAGEIFS(Data_Cleaned!$AJ$2:$AJ$1471,Data_Cleaned!$AQ$2:$AQ$1471,I47)</f>
        <v>0.1444141689373297</v>
      </c>
      <c r="M47" t="str">
        <f>Data_Cleaned!B47</f>
        <v>Yes</v>
      </c>
      <c r="N47">
        <f>Data_Cleaned!S47</f>
        <v>19545</v>
      </c>
      <c r="P47">
        <v>3</v>
      </c>
      <c r="Q47">
        <v>2373</v>
      </c>
      <c r="R47">
        <v>7</v>
      </c>
      <c r="S47">
        <v>5915</v>
      </c>
    </row>
    <row r="48" spans="1:19" x14ac:dyDescent="0.3">
      <c r="A48" t="s">
        <v>52</v>
      </c>
      <c r="B48">
        <f>COUNTIF(Data_Cleaned!$R$2:$R$1471,A48)</f>
        <v>327</v>
      </c>
      <c r="C48" s="21">
        <f>AVERAGEIFS(Data_Cleaned!$AJ$2:$AJ$1471,Data_Cleaned!$R$2:$R$1471,A48)</f>
        <v>0.10091743119266056</v>
      </c>
      <c r="E48" t="s">
        <v>212</v>
      </c>
      <c r="F48">
        <f>COUNTIF(Data_Cleaned!$AP$2:$AP$1471,E48)</f>
        <v>348</v>
      </c>
      <c r="G48" s="21">
        <f>AVERAGEIFS(Data_Cleaned!$AJ$2:$AJ$1471,Data_Cleaned!$AP$2:$AP$1471,E48)</f>
        <v>9.7701149425287362E-2</v>
      </c>
      <c r="I48" t="s">
        <v>217</v>
      </c>
      <c r="J48">
        <f>COUNTIF(Data_Cleaned!$AQ$2:$AQ$1471,I48)</f>
        <v>367</v>
      </c>
      <c r="K48" s="21">
        <f>AVERAGEIFS(Data_Cleaned!$AJ$2:$AJ$1471,Data_Cleaned!$AQ$2:$AQ$1471,I48)</f>
        <v>0.10626702997275204</v>
      </c>
      <c r="M48" t="str">
        <f>Data_Cleaned!B48</f>
        <v>No</v>
      </c>
      <c r="N48">
        <f>Data_Cleaned!S48</f>
        <v>4568</v>
      </c>
      <c r="P48">
        <v>8</v>
      </c>
      <c r="Q48">
        <v>5828</v>
      </c>
      <c r="R48">
        <v>7</v>
      </c>
      <c r="S48">
        <v>5993</v>
      </c>
    </row>
    <row r="49" spans="1:19" x14ac:dyDescent="0.3">
      <c r="E49" t="s">
        <v>213</v>
      </c>
      <c r="F49">
        <f>COUNTIF(Data_Cleaned!$AP$2:$AP$1471,E49)</f>
        <v>171</v>
      </c>
      <c r="G49" s="21">
        <f>AVERAGEIFS(Data_Cleaned!$AJ$2:$AJ$1471,Data_Cleaned!$AP$2:$AP$1471,E49)</f>
        <v>0.12865497076023391</v>
      </c>
      <c r="I49" t="s">
        <v>218</v>
      </c>
      <c r="J49">
        <f>COUNTIF(Data_Cleaned!$AQ$2:$AQ$1471,I49)</f>
        <v>368</v>
      </c>
      <c r="K49" s="21">
        <f>AVERAGEIFS(Data_Cleaned!$AJ$2:$AJ$1471,Data_Cleaned!$AQ$2:$AQ$1471,I49)</f>
        <v>0.10326086956521739</v>
      </c>
      <c r="M49" t="str">
        <f>Data_Cleaned!B49</f>
        <v>No</v>
      </c>
      <c r="N49">
        <f>Data_Cleaned!S49</f>
        <v>3022</v>
      </c>
      <c r="P49">
        <v>0</v>
      </c>
      <c r="Q49">
        <v>1420</v>
      </c>
      <c r="R49">
        <v>9</v>
      </c>
      <c r="S49">
        <v>6162</v>
      </c>
    </row>
    <row r="50" spans="1:19" x14ac:dyDescent="0.3">
      <c r="M50" t="str">
        <f>Data_Cleaned!B50</f>
        <v>No</v>
      </c>
      <c r="N50">
        <f>Data_Cleaned!S50</f>
        <v>5772</v>
      </c>
      <c r="P50">
        <v>8</v>
      </c>
      <c r="Q50">
        <v>4941</v>
      </c>
      <c r="R50">
        <v>10</v>
      </c>
      <c r="S50">
        <v>2406</v>
      </c>
    </row>
    <row r="51" spans="1:19" x14ac:dyDescent="0.3">
      <c r="A51" s="2" t="s">
        <v>219</v>
      </c>
      <c r="M51" t="str">
        <f>Data_Cleaned!B51</f>
        <v>No</v>
      </c>
      <c r="N51">
        <f>Data_Cleaned!S51</f>
        <v>2269</v>
      </c>
      <c r="P51">
        <v>3</v>
      </c>
      <c r="Q51">
        <v>3464</v>
      </c>
      <c r="R51">
        <v>27</v>
      </c>
      <c r="S51">
        <v>18740</v>
      </c>
    </row>
    <row r="52" spans="1:19" x14ac:dyDescent="0.3">
      <c r="A52" s="2" t="s">
        <v>15</v>
      </c>
      <c r="B52" s="2" t="s">
        <v>204</v>
      </c>
      <c r="C52" s="2" t="s">
        <v>205</v>
      </c>
      <c r="M52" t="str">
        <f>Data_Cleaned!B52</f>
        <v>Yes</v>
      </c>
      <c r="N52">
        <f>Data_Cleaned!S52</f>
        <v>5381</v>
      </c>
      <c r="P52">
        <v>1</v>
      </c>
      <c r="Q52">
        <v>5238</v>
      </c>
      <c r="R52">
        <v>21</v>
      </c>
      <c r="S52">
        <v>7637</v>
      </c>
    </row>
    <row r="53" spans="1:19" x14ac:dyDescent="0.3">
      <c r="A53" t="s">
        <v>40</v>
      </c>
      <c r="B53">
        <f>COUNTIF(Data_Cleaned!$P$2:$P$1471,A53)</f>
        <v>326</v>
      </c>
      <c r="C53" s="21">
        <f>AVERAGEIFS(Data_Cleaned!$AJ$2:$AJ$1471,Data_Cleaned!$P$2:$P$1471,A53)</f>
        <v>0.17484662576687116</v>
      </c>
      <c r="M53" t="str">
        <f>Data_Cleaned!B53</f>
        <v>Yes</v>
      </c>
      <c r="N53">
        <f>Data_Cleaned!S53</f>
        <v>3441</v>
      </c>
      <c r="P53">
        <v>7</v>
      </c>
      <c r="Q53">
        <v>2119</v>
      </c>
      <c r="R53">
        <v>17</v>
      </c>
      <c r="S53">
        <v>10096</v>
      </c>
    </row>
    <row r="54" spans="1:19" x14ac:dyDescent="0.3">
      <c r="A54" t="s">
        <v>47</v>
      </c>
      <c r="B54">
        <f>COUNTIF(Data_Cleaned!$P$2:$P$1471,A54)</f>
        <v>292</v>
      </c>
      <c r="C54" s="21">
        <f>AVERAGEIFS(Data_Cleaned!$AJ$2:$AJ$1471,Data_Cleaned!$P$2:$P$1471,A54)</f>
        <v>0.16095890410958905</v>
      </c>
      <c r="M54" t="str">
        <f>Data_Cleaned!B54</f>
        <v>No</v>
      </c>
      <c r="N54">
        <f>Data_Cleaned!S54</f>
        <v>5454</v>
      </c>
      <c r="P54">
        <v>3</v>
      </c>
      <c r="Q54">
        <v>2174</v>
      </c>
      <c r="R54">
        <v>5</v>
      </c>
      <c r="S54">
        <v>4200</v>
      </c>
    </row>
    <row r="55" spans="1:19" x14ac:dyDescent="0.3">
      <c r="A55" t="s">
        <v>50</v>
      </c>
      <c r="B55">
        <f>COUNTIF(Data_Cleaned!$P$2:$P$1471,A55)</f>
        <v>259</v>
      </c>
      <c r="C55" s="21">
        <f>AVERAGEIFS(Data_Cleaned!$AJ$2:$AJ$1471,Data_Cleaned!$P$2:$P$1471,A55)</f>
        <v>0.23938223938223938</v>
      </c>
      <c r="M55" t="str">
        <f>Data_Cleaned!B55</f>
        <v>No</v>
      </c>
      <c r="N55">
        <f>Data_Cleaned!S55</f>
        <v>9884</v>
      </c>
      <c r="P55">
        <v>1</v>
      </c>
      <c r="Q55">
        <v>2851</v>
      </c>
      <c r="R55">
        <v>6</v>
      </c>
      <c r="S55">
        <v>6499</v>
      </c>
    </row>
    <row r="56" spans="1:19" x14ac:dyDescent="0.3">
      <c r="A56" t="s">
        <v>53</v>
      </c>
      <c r="B56">
        <f>COUNTIF(Data_Cleaned!$P$2:$P$1471,A56)</f>
        <v>145</v>
      </c>
      <c r="C56" s="21">
        <f>AVERAGEIFS(Data_Cleaned!$AJ$2:$AJ$1471,Data_Cleaned!$P$2:$P$1471,A56)</f>
        <v>6.8965517241379309E-2</v>
      </c>
      <c r="M56" t="str">
        <f>Data_Cleaned!B56</f>
        <v>No</v>
      </c>
      <c r="N56">
        <f>Data_Cleaned!S56</f>
        <v>4157</v>
      </c>
      <c r="P56">
        <v>8</v>
      </c>
      <c r="Q56">
        <v>9355</v>
      </c>
      <c r="R56">
        <v>1</v>
      </c>
      <c r="S56">
        <v>9724</v>
      </c>
    </row>
    <row r="57" spans="1:19" x14ac:dyDescent="0.3">
      <c r="A57" t="s">
        <v>54</v>
      </c>
      <c r="B57">
        <f>COUNTIF(Data_Cleaned!$P$2:$P$1471,A57)</f>
        <v>131</v>
      </c>
      <c r="C57" s="21">
        <f>AVERAGEIFS(Data_Cleaned!$AJ$2:$AJ$1471,Data_Cleaned!$P$2:$P$1471,A57)</f>
        <v>6.8702290076335881E-2</v>
      </c>
      <c r="M57" t="str">
        <f>Data_Cleaned!B57</f>
        <v>No</v>
      </c>
      <c r="N57">
        <f>Data_Cleaned!S57</f>
        <v>5993</v>
      </c>
      <c r="P57">
        <v>6</v>
      </c>
      <c r="Q57">
        <v>6380</v>
      </c>
      <c r="R57">
        <v>3</v>
      </c>
      <c r="S57">
        <v>2194</v>
      </c>
    </row>
    <row r="58" spans="1:19" x14ac:dyDescent="0.3">
      <c r="A58" t="s">
        <v>56</v>
      </c>
      <c r="B58">
        <f>COUNTIF(Data_Cleaned!$P$2:$P$1471,A58)</f>
        <v>102</v>
      </c>
      <c r="C58" s="21">
        <f>AVERAGEIFS(Data_Cleaned!$AJ$2:$AJ$1471,Data_Cleaned!$P$2:$P$1471,A58)</f>
        <v>4.9019607843137254E-2</v>
      </c>
      <c r="M58" t="str">
        <f>Data_Cleaned!B58</f>
        <v>No</v>
      </c>
      <c r="N58">
        <f>Data_Cleaned!S58</f>
        <v>9069</v>
      </c>
      <c r="P58">
        <v>1</v>
      </c>
      <c r="Q58">
        <v>2716</v>
      </c>
      <c r="R58">
        <v>4</v>
      </c>
      <c r="S58">
        <v>5473</v>
      </c>
    </row>
    <row r="59" spans="1:19" x14ac:dyDescent="0.3">
      <c r="A59" t="s">
        <v>57</v>
      </c>
      <c r="B59">
        <f>COUNTIF(Data_Cleaned!$P$2:$P$1471,A59)</f>
        <v>83</v>
      </c>
      <c r="C59" s="21">
        <f>AVERAGEIFS(Data_Cleaned!$AJ$2:$AJ$1471,Data_Cleaned!$P$2:$P$1471,A59)</f>
        <v>0.39759036144578314</v>
      </c>
      <c r="M59" t="str">
        <f>Data_Cleaned!B59</f>
        <v>No</v>
      </c>
      <c r="N59">
        <f>Data_Cleaned!S59</f>
        <v>4014</v>
      </c>
      <c r="P59">
        <v>5</v>
      </c>
      <c r="Q59">
        <v>5304</v>
      </c>
      <c r="R59">
        <v>5</v>
      </c>
      <c r="S59">
        <v>2703</v>
      </c>
    </row>
    <row r="60" spans="1:19" x14ac:dyDescent="0.3">
      <c r="A60" t="s">
        <v>58</v>
      </c>
      <c r="B60">
        <f>COUNTIF(Data_Cleaned!$P$2:$P$1471,A60)</f>
        <v>80</v>
      </c>
      <c r="C60" s="21">
        <f>AVERAGEIFS(Data_Cleaned!$AJ$2:$AJ$1471,Data_Cleaned!$P$2:$P$1471,A60)</f>
        <v>2.5000000000000001E-2</v>
      </c>
      <c r="M60" t="str">
        <f>Data_Cleaned!B60</f>
        <v>No</v>
      </c>
      <c r="N60">
        <f>Data_Cleaned!S60</f>
        <v>5915</v>
      </c>
      <c r="P60">
        <v>6</v>
      </c>
      <c r="Q60">
        <v>3102</v>
      </c>
      <c r="R60">
        <v>1</v>
      </c>
      <c r="S60">
        <v>2501</v>
      </c>
    </row>
    <row r="61" spans="1:19" x14ac:dyDescent="0.3">
      <c r="A61" t="s">
        <v>61</v>
      </c>
      <c r="B61">
        <f>COUNTIF(Data_Cleaned!$P$2:$P$1471,A61)</f>
        <v>52</v>
      </c>
      <c r="C61" s="21">
        <f>AVERAGEIFS(Data_Cleaned!$AJ$2:$AJ$1471,Data_Cleaned!$P$2:$P$1471,A61)</f>
        <v>0.23076923076923078</v>
      </c>
      <c r="M61" t="str">
        <f>Data_Cleaned!B61</f>
        <v>No</v>
      </c>
      <c r="N61">
        <f>Data_Cleaned!S61</f>
        <v>5993</v>
      </c>
      <c r="P61">
        <v>1</v>
      </c>
      <c r="Q61">
        <v>2285</v>
      </c>
      <c r="R61">
        <v>10</v>
      </c>
      <c r="S61">
        <v>6220</v>
      </c>
    </row>
    <row r="62" spans="1:19" x14ac:dyDescent="0.3">
      <c r="M62" t="str">
        <f>Data_Cleaned!B62</f>
        <v>No</v>
      </c>
      <c r="N62">
        <f>Data_Cleaned!S62</f>
        <v>6162</v>
      </c>
      <c r="P62">
        <v>2</v>
      </c>
      <c r="Q62">
        <v>4031</v>
      </c>
      <c r="R62">
        <v>1</v>
      </c>
      <c r="S62">
        <v>3038</v>
      </c>
    </row>
    <row r="63" spans="1:19" x14ac:dyDescent="0.3">
      <c r="M63" t="str">
        <f>Data_Cleaned!B63</f>
        <v>No</v>
      </c>
      <c r="N63">
        <f>Data_Cleaned!S63</f>
        <v>2406</v>
      </c>
      <c r="P63">
        <v>5</v>
      </c>
      <c r="Q63">
        <v>3202</v>
      </c>
      <c r="R63">
        <v>11</v>
      </c>
      <c r="S63">
        <v>6500</v>
      </c>
    </row>
    <row r="64" spans="1:19" ht="15.6" x14ac:dyDescent="0.3">
      <c r="A64" s="3" t="s">
        <v>220</v>
      </c>
      <c r="M64" t="str">
        <f>Data_Cleaned!B64</f>
        <v>No</v>
      </c>
      <c r="N64">
        <f>Data_Cleaned!S64</f>
        <v>18740</v>
      </c>
      <c r="P64">
        <v>2</v>
      </c>
      <c r="Q64">
        <v>2351</v>
      </c>
      <c r="R64">
        <v>15</v>
      </c>
      <c r="S64">
        <v>4312</v>
      </c>
    </row>
    <row r="65" spans="1:19" x14ac:dyDescent="0.3">
      <c r="A65" s="2" t="s">
        <v>181</v>
      </c>
      <c r="B65" s="2" t="s">
        <v>221</v>
      </c>
      <c r="M65" t="str">
        <f>Data_Cleaned!B65</f>
        <v>No</v>
      </c>
      <c r="N65">
        <f>Data_Cleaned!S65</f>
        <v>7637</v>
      </c>
      <c r="P65">
        <v>2</v>
      </c>
      <c r="Q65">
        <v>2546</v>
      </c>
      <c r="R65">
        <v>0</v>
      </c>
      <c r="S65">
        <v>13245</v>
      </c>
    </row>
    <row r="66" spans="1:19" x14ac:dyDescent="0.3">
      <c r="A66" t="s">
        <v>114</v>
      </c>
      <c r="B66" s="24">
        <f>CORREL(Data_Cleaned!AK2:AK1471,Data_Cleaned!AJ2:AJ1471)</f>
        <v>0.24527778610073339</v>
      </c>
      <c r="M66" t="str">
        <f>Data_Cleaned!B66</f>
        <v>No</v>
      </c>
      <c r="N66">
        <f>Data_Cleaned!S66</f>
        <v>10096</v>
      </c>
      <c r="P66">
        <v>1</v>
      </c>
      <c r="Q66">
        <v>2564</v>
      </c>
      <c r="R66">
        <v>5</v>
      </c>
      <c r="S66">
        <v>13664</v>
      </c>
    </row>
    <row r="67" spans="1:19" x14ac:dyDescent="0.3">
      <c r="A67" t="s">
        <v>18</v>
      </c>
      <c r="B67" s="24">
        <f>CORREL(Data_Cleaned!S2:S1471,Data_Cleaned!AJ2:AJ1471)</f>
        <v>-0.15841423723601611</v>
      </c>
      <c r="M67" t="str">
        <f>Data_Cleaned!B67</f>
        <v>No</v>
      </c>
      <c r="N67">
        <f>Data_Cleaned!S67</f>
        <v>4200</v>
      </c>
      <c r="P67">
        <v>7</v>
      </c>
      <c r="Q67">
        <v>13610</v>
      </c>
      <c r="R67">
        <v>4</v>
      </c>
      <c r="S67">
        <v>5021</v>
      </c>
    </row>
    <row r="68" spans="1:19" x14ac:dyDescent="0.3">
      <c r="A68" t="s">
        <v>0</v>
      </c>
      <c r="B68" s="24">
        <f>CORREL(Data_Cleaned!A2:A1471,Data_Cleaned!AJ2:AJ1471)</f>
        <v>-0.1621041481161461</v>
      </c>
      <c r="M68" t="str">
        <f>Data_Cleaned!B68</f>
        <v>No</v>
      </c>
      <c r="N68">
        <f>Data_Cleaned!S68</f>
        <v>6499</v>
      </c>
      <c r="P68">
        <v>4</v>
      </c>
      <c r="Q68">
        <v>3408</v>
      </c>
      <c r="R68">
        <v>10</v>
      </c>
      <c r="S68">
        <v>5126</v>
      </c>
    </row>
    <row r="69" spans="1:19" x14ac:dyDescent="0.3">
      <c r="A69" t="s">
        <v>28</v>
      </c>
      <c r="B69" s="24">
        <f>CORREL(Data_Cleaned!AC2:AC1471,Data_Cleaned!AJ2:AJ1471)</f>
        <v>-0.1674740172883645</v>
      </c>
      <c r="M69" t="str">
        <f>Data_Cleaned!B69</f>
        <v>No</v>
      </c>
      <c r="N69">
        <f>Data_Cleaned!S69</f>
        <v>9724</v>
      </c>
      <c r="P69">
        <v>1</v>
      </c>
      <c r="Q69">
        <v>9824</v>
      </c>
      <c r="R69">
        <v>6</v>
      </c>
      <c r="S69">
        <v>2859</v>
      </c>
    </row>
    <row r="70" spans="1:19" x14ac:dyDescent="0.3">
      <c r="A70" t="s">
        <v>31</v>
      </c>
      <c r="B70" s="24">
        <f>CORREL(Data_Cleaned!AF2:AF1471,Data_Cleaned!AJ2:AJ1471)</f>
        <v>-0.13439221398997619</v>
      </c>
      <c r="M70" t="str">
        <f>Data_Cleaned!B70</f>
        <v>No</v>
      </c>
      <c r="N70">
        <f>Data_Cleaned!S70</f>
        <v>2194</v>
      </c>
      <c r="P70">
        <v>3</v>
      </c>
      <c r="Q70">
        <v>9950</v>
      </c>
      <c r="R70">
        <v>1</v>
      </c>
      <c r="S70">
        <v>10239</v>
      </c>
    </row>
    <row r="71" spans="1:19" x14ac:dyDescent="0.3">
      <c r="A71" t="s">
        <v>33</v>
      </c>
      <c r="B71" s="24">
        <f>CORREL(Data_Cleaned!AH2:AH1471,Data_Cleaned!AJ2:AJ1471)</f>
        <v>-3.3018775142583681E-2</v>
      </c>
      <c r="M71" t="str">
        <f>Data_Cleaned!B71</f>
        <v>Yes</v>
      </c>
      <c r="N71">
        <f>Data_Cleaned!S71</f>
        <v>3388</v>
      </c>
      <c r="P71">
        <v>2</v>
      </c>
      <c r="Q71">
        <v>3894</v>
      </c>
      <c r="R71">
        <v>13</v>
      </c>
      <c r="S71">
        <v>5329</v>
      </c>
    </row>
    <row r="72" spans="1:19" x14ac:dyDescent="0.3">
      <c r="A72" t="s">
        <v>16</v>
      </c>
      <c r="B72" s="24">
        <f>CORREL(Data_Cleaned!Q2:Q1471,Data_Cleaned!AJ2:AJ1471)</f>
        <v>-0.10348112606902207</v>
      </c>
      <c r="M72" t="str">
        <f>Data_Cleaned!B72</f>
        <v>No</v>
      </c>
      <c r="N72">
        <f>Data_Cleaned!S72</f>
        <v>5473</v>
      </c>
      <c r="P72">
        <v>7</v>
      </c>
      <c r="Q72">
        <v>2741</v>
      </c>
      <c r="R72">
        <v>5</v>
      </c>
      <c r="S72">
        <v>4325</v>
      </c>
    </row>
    <row r="73" spans="1:19" x14ac:dyDescent="0.3">
      <c r="A73" t="s">
        <v>10</v>
      </c>
      <c r="B73" s="24">
        <f>CORREL(Data_Cleaned!K2:K1471,Data_Cleaned!AJ2:AJ1471)</f>
        <v>-0.10590279831917523</v>
      </c>
      <c r="M73" t="str">
        <f>Data_Cleaned!B73</f>
        <v>No</v>
      </c>
      <c r="N73">
        <f>Data_Cleaned!S73</f>
        <v>2703</v>
      </c>
      <c r="P73">
        <v>0</v>
      </c>
      <c r="Q73">
        <v>1878</v>
      </c>
      <c r="R73">
        <v>6</v>
      </c>
      <c r="S73">
        <v>7260</v>
      </c>
    </row>
    <row r="74" spans="1:19" x14ac:dyDescent="0.3">
      <c r="A74" t="s">
        <v>30</v>
      </c>
      <c r="B74" s="24">
        <f>CORREL(Data_Cleaned!AE2:AE1471,Data_Cleaned!AJ2:AJ1471)</f>
        <v>-6.3939047217409117E-2</v>
      </c>
      <c r="M74" t="str">
        <f>Data_Cleaned!B74</f>
        <v>No</v>
      </c>
      <c r="N74">
        <f>Data_Cleaned!S74</f>
        <v>2501</v>
      </c>
      <c r="P74">
        <v>1</v>
      </c>
      <c r="Q74">
        <v>2340</v>
      </c>
      <c r="R74">
        <v>0</v>
      </c>
      <c r="S74">
        <v>2322</v>
      </c>
    </row>
    <row r="75" spans="1:19" x14ac:dyDescent="0.3">
      <c r="A75" t="s">
        <v>5</v>
      </c>
      <c r="B75" s="24">
        <f>CORREL(Data_Cleaned!F2:F1471,Data_Cleaned!AJ2:AJ1471)</f>
        <v>7.7568387440985903E-2</v>
      </c>
      <c r="M75" t="str">
        <f>Data_Cleaned!B75</f>
        <v>No</v>
      </c>
      <c r="N75">
        <f>Data_Cleaned!S75</f>
        <v>6220</v>
      </c>
      <c r="P75">
        <v>4</v>
      </c>
      <c r="Q75">
        <v>4707</v>
      </c>
      <c r="R75">
        <v>4</v>
      </c>
      <c r="S75">
        <v>2075</v>
      </c>
    </row>
    <row r="76" spans="1:19" x14ac:dyDescent="0.3">
      <c r="A76" t="s">
        <v>20</v>
      </c>
      <c r="B76" s="24">
        <f>CORREL(Data_Cleaned!U2:U1471,Data_Cleaned!AJ2:AJ1471)</f>
        <v>4.3270865229659304E-2</v>
      </c>
      <c r="M76" t="str">
        <f>Data_Cleaned!B76</f>
        <v>No</v>
      </c>
      <c r="N76">
        <f>Data_Cleaned!S76</f>
        <v>3038</v>
      </c>
      <c r="P76">
        <v>6</v>
      </c>
      <c r="Q76">
        <v>2886</v>
      </c>
      <c r="R76">
        <v>11</v>
      </c>
      <c r="S76">
        <v>4152</v>
      </c>
    </row>
    <row r="77" spans="1:19" x14ac:dyDescent="0.3">
      <c r="A77" t="s">
        <v>27</v>
      </c>
      <c r="B77" s="24">
        <f>CORREL(Data_Cleaned!AB2:AB1471,Data_Cleaned!AJ2:AJ1471)</f>
        <v>-0.13714491893332414</v>
      </c>
      <c r="M77" t="str">
        <f>Data_Cleaned!B77</f>
        <v>No</v>
      </c>
      <c r="N77">
        <f>Data_Cleaned!S77</f>
        <v>6500</v>
      </c>
      <c r="P77">
        <v>1</v>
      </c>
      <c r="Q77">
        <v>2033</v>
      </c>
      <c r="R77">
        <v>22</v>
      </c>
      <c r="S77">
        <v>13503</v>
      </c>
    </row>
    <row r="78" spans="1:19" x14ac:dyDescent="0.3">
      <c r="A78" t="s">
        <v>23</v>
      </c>
      <c r="B78" s="24">
        <f>CORREL(Data_Cleaned!X2:X1471,Data_Cleaned!AJ2:AJ1471)</f>
        <v>-1.2834118887793294E-2</v>
      </c>
      <c r="M78" t="str">
        <f>Data_Cleaned!B78</f>
        <v>No</v>
      </c>
      <c r="N78">
        <f>Data_Cleaned!S78</f>
        <v>4312</v>
      </c>
      <c r="P78">
        <v>3</v>
      </c>
      <c r="Q78">
        <v>4233</v>
      </c>
      <c r="R78">
        <v>10</v>
      </c>
      <c r="S78">
        <v>5441</v>
      </c>
    </row>
    <row r="79" spans="1:19" x14ac:dyDescent="0.3">
      <c r="A79" t="s">
        <v>29</v>
      </c>
      <c r="B79" s="24">
        <f>CORREL(Data_Cleaned!AD2:AD1471,Data_Cleaned!AJ2:AJ1471)</f>
        <v>-5.9477798556420665E-2</v>
      </c>
      <c r="M79" t="str">
        <f>Data_Cleaned!B79</f>
        <v>No</v>
      </c>
      <c r="N79">
        <f>Data_Cleaned!S79</f>
        <v>13245</v>
      </c>
      <c r="P79">
        <v>4</v>
      </c>
      <c r="Q79">
        <v>3041</v>
      </c>
      <c r="R79">
        <v>11</v>
      </c>
      <c r="S79">
        <v>5209</v>
      </c>
    </row>
    <row r="80" spans="1:19" x14ac:dyDescent="0.3">
      <c r="M80" t="str">
        <f>Data_Cleaned!B80</f>
        <v>No</v>
      </c>
      <c r="N80">
        <f>Data_Cleaned!S80</f>
        <v>13664</v>
      </c>
      <c r="P80">
        <v>1</v>
      </c>
      <c r="Q80">
        <v>4286</v>
      </c>
      <c r="R80">
        <v>10</v>
      </c>
      <c r="S80">
        <v>10673</v>
      </c>
    </row>
    <row r="81" spans="1:19" ht="15.6" x14ac:dyDescent="0.3">
      <c r="A81" s="3" t="s">
        <v>222</v>
      </c>
      <c r="M81" t="str">
        <f>Data_Cleaned!B81</f>
        <v>No</v>
      </c>
      <c r="N81">
        <f>Data_Cleaned!S81</f>
        <v>5021</v>
      </c>
      <c r="P81">
        <v>1</v>
      </c>
      <c r="Q81">
        <v>1009</v>
      </c>
      <c r="R81">
        <v>11</v>
      </c>
      <c r="S81">
        <v>5010</v>
      </c>
    </row>
    <row r="82" spans="1:19" x14ac:dyDescent="0.3">
      <c r="A82" s="2" t="s">
        <v>4</v>
      </c>
      <c r="B82" s="2" t="s">
        <v>223</v>
      </c>
      <c r="C82" s="2" t="s">
        <v>224</v>
      </c>
      <c r="D82" s="2" t="s">
        <v>225</v>
      </c>
      <c r="M82" t="str">
        <f>Data_Cleaned!B82</f>
        <v>No</v>
      </c>
      <c r="N82">
        <f>Data_Cleaned!S82</f>
        <v>5126</v>
      </c>
      <c r="P82">
        <v>10</v>
      </c>
      <c r="Q82">
        <v>3348</v>
      </c>
      <c r="R82">
        <v>4</v>
      </c>
      <c r="S82">
        <v>13549</v>
      </c>
    </row>
    <row r="83" spans="1:19" x14ac:dyDescent="0.3">
      <c r="A83" t="s">
        <v>37</v>
      </c>
      <c r="B83" s="25">
        <f>AVERAGEIFS(Data_Cleaned!$S$2:$S$1471,Data_Cleaned!$E$2:$E$1471,$A83,Data_Cleaned!$B$2:$B$1471,"No")</f>
        <v>7213.315340909091</v>
      </c>
      <c r="C83" s="25">
        <f>AVERAGEIFS(Data_Cleaned!$S$2:$S$1471,Data_Cleaned!$E$2:$E$1471,$A83,Data_Cleaned!$B$2:$B$1471,"Yes")</f>
        <v>5867.2150537634407</v>
      </c>
      <c r="D83" s="25">
        <f>B83-C83</f>
        <v>1346.1002871456503</v>
      </c>
      <c r="M83" t="str">
        <f>Data_Cleaned!B83</f>
        <v>No</v>
      </c>
      <c r="N83">
        <f>Data_Cleaned!S83</f>
        <v>2859</v>
      </c>
      <c r="P83">
        <v>2</v>
      </c>
      <c r="Q83">
        <v>4577</v>
      </c>
      <c r="R83">
        <v>3</v>
      </c>
      <c r="S83">
        <v>4999</v>
      </c>
    </row>
    <row r="84" spans="1:19" x14ac:dyDescent="0.3">
      <c r="A84" t="s">
        <v>45</v>
      </c>
      <c r="B84" s="25">
        <f>AVERAGEIFS(Data_Cleaned!$S$2:$S$1471,Data_Cleaned!$E$2:$E$1471,$A84,Data_Cleaned!$B$2:$B$1471,"No")</f>
        <v>6616.4402895054282</v>
      </c>
      <c r="C84" s="25">
        <f>AVERAGEIFS(Data_Cleaned!$S$2:$S$1471,Data_Cleaned!$E$2:$E$1471,$A84,Data_Cleaned!$B$2:$B$1471,"Yes")</f>
        <v>4117.894736842105</v>
      </c>
      <c r="D84" s="25">
        <f>B84-C84</f>
        <v>2498.5455526633232</v>
      </c>
      <c r="M84" t="str">
        <f>Data_Cleaned!B84</f>
        <v>No</v>
      </c>
      <c r="N84">
        <f>Data_Cleaned!S84</f>
        <v>10239</v>
      </c>
      <c r="P84">
        <v>4</v>
      </c>
      <c r="Q84">
        <v>6796</v>
      </c>
      <c r="R84">
        <v>5</v>
      </c>
      <c r="S84">
        <v>4221</v>
      </c>
    </row>
    <row r="85" spans="1:19" x14ac:dyDescent="0.3">
      <c r="A85" t="s">
        <v>61</v>
      </c>
      <c r="B85" s="25">
        <f>AVERAGEIFS(Data_Cleaned!$S$2:$S$1471,Data_Cleaned!$E$2:$E$1471,$A85,Data_Cleaned!$B$2:$B$1471,"No")</f>
        <v>7326.2884615384619</v>
      </c>
      <c r="C85" s="25">
        <f>AVERAGEIFS(Data_Cleaned!$S$2:$S$1471,Data_Cleaned!$E$2:$E$1471,$A85,Data_Cleaned!$B$2:$B$1471,"Yes")</f>
        <v>3865.090909090909</v>
      </c>
      <c r="D85" s="25">
        <f>B85-C85</f>
        <v>3461.1975524475529</v>
      </c>
      <c r="M85" t="str">
        <f>Data_Cleaned!B85</f>
        <v>No</v>
      </c>
      <c r="N85">
        <f>Data_Cleaned!S85</f>
        <v>5329</v>
      </c>
      <c r="P85">
        <v>7</v>
      </c>
      <c r="Q85">
        <v>2216</v>
      </c>
      <c r="R85">
        <v>37</v>
      </c>
      <c r="S85">
        <v>13872</v>
      </c>
    </row>
    <row r="86" spans="1:19" x14ac:dyDescent="0.3">
      <c r="M86" t="str">
        <f>Data_Cleaned!B86</f>
        <v>No</v>
      </c>
      <c r="N86">
        <f>Data_Cleaned!S86</f>
        <v>4325</v>
      </c>
      <c r="P86">
        <v>2</v>
      </c>
      <c r="Q86">
        <v>2759</v>
      </c>
      <c r="R86">
        <v>3</v>
      </c>
      <c r="S86">
        <v>2042</v>
      </c>
    </row>
    <row r="87" spans="1:19" ht="15.6" x14ac:dyDescent="0.3">
      <c r="A87" s="3" t="s">
        <v>226</v>
      </c>
      <c r="M87" t="str">
        <f>Data_Cleaned!B87</f>
        <v>No</v>
      </c>
      <c r="N87">
        <f>Data_Cleaned!S87</f>
        <v>7260</v>
      </c>
      <c r="P87">
        <v>10</v>
      </c>
      <c r="Q87">
        <v>2686</v>
      </c>
      <c r="R87">
        <v>1</v>
      </c>
      <c r="S87">
        <v>2956</v>
      </c>
    </row>
    <row r="88" spans="1:19" x14ac:dyDescent="0.3">
      <c r="A88" s="2" t="s">
        <v>227</v>
      </c>
      <c r="B88" s="2" t="s">
        <v>204</v>
      </c>
      <c r="C88" s="2" t="s">
        <v>205</v>
      </c>
      <c r="M88" t="str">
        <f>Data_Cleaned!B88</f>
        <v>No</v>
      </c>
      <c r="N88">
        <f>Data_Cleaned!S88</f>
        <v>2322</v>
      </c>
      <c r="P88">
        <v>5</v>
      </c>
      <c r="Q88">
        <v>6397</v>
      </c>
      <c r="R88">
        <v>16</v>
      </c>
      <c r="S88">
        <v>4809</v>
      </c>
    </row>
    <row r="89" spans="1:19" x14ac:dyDescent="0.3">
      <c r="A89" t="s">
        <v>228</v>
      </c>
      <c r="B89">
        <f>COUNTIFS(Data_Cleaned!$AF$2:$AF$1471,"&gt;=0",Data_Cleaned!$AF$2:$AF$1471,"&lt;=2")</f>
        <v>342</v>
      </c>
      <c r="C89" s="21">
        <f>AVERAGEIFS(Data_Cleaned!$AJ$2:$AJ$1471,Data_Cleaned!$AF$2:$AF$1471,"&gt;=0",Data_Cleaned!$AF$2:$AF$1471,"&lt;=2")</f>
        <v>0.2982456140350877</v>
      </c>
      <c r="M89" t="str">
        <f>Data_Cleaned!B89</f>
        <v>No</v>
      </c>
      <c r="N89">
        <f>Data_Cleaned!S89</f>
        <v>2075</v>
      </c>
      <c r="P89">
        <v>5</v>
      </c>
      <c r="Q89">
        <v>19859</v>
      </c>
      <c r="R89">
        <v>1</v>
      </c>
      <c r="S89">
        <v>5163</v>
      </c>
    </row>
    <row r="90" spans="1:19" x14ac:dyDescent="0.3">
      <c r="A90" t="s">
        <v>229</v>
      </c>
      <c r="B90">
        <f>COUNTIFS(Data_Cleaned!$AF$2:$AF$1471,"&gt;=3",Data_Cleaned!$AF$2:$AF$1471,"&lt;=5")</f>
        <v>434</v>
      </c>
      <c r="C90" s="21">
        <f>AVERAGEIFS(Data_Cleaned!$AJ$2:$AJ$1471,Data_Cleaned!$AF$2:$AF$1471,"&gt;=3",Data_Cleaned!$AF$2:$AF$1471,"&lt;=5")</f>
        <v>0.13824884792626729</v>
      </c>
      <c r="M90" t="str">
        <f>Data_Cleaned!B90</f>
        <v>No</v>
      </c>
      <c r="N90">
        <f>Data_Cleaned!S90</f>
        <v>4152</v>
      </c>
      <c r="P90">
        <v>4</v>
      </c>
      <c r="Q90">
        <v>5326</v>
      </c>
      <c r="R90">
        <v>3</v>
      </c>
      <c r="S90">
        <v>18844</v>
      </c>
    </row>
    <row r="91" spans="1:19" x14ac:dyDescent="0.3">
      <c r="A91" t="s">
        <v>230</v>
      </c>
      <c r="B91">
        <f>COUNTIFS(Data_Cleaned!$AF$2:$AF$1471,"&gt;=6",Data_Cleaned!$AF$2:$AF$1471,"&lt;=10")</f>
        <v>448</v>
      </c>
      <c r="C91" s="21">
        <f>AVERAGEIFS(Data_Cleaned!$AJ$2:$AJ$1471,Data_Cleaned!$AF$2:$AF$1471,"&gt;=6",Data_Cleaned!$AF$2:$AF$1471,"&lt;=10")</f>
        <v>0.12276785714285714</v>
      </c>
      <c r="M91" t="str">
        <f>Data_Cleaned!B91</f>
        <v>Yes</v>
      </c>
      <c r="N91">
        <f>Data_Cleaned!S91</f>
        <v>9619</v>
      </c>
      <c r="P91">
        <v>0</v>
      </c>
      <c r="Q91">
        <v>1601</v>
      </c>
      <c r="R91">
        <v>8</v>
      </c>
      <c r="S91">
        <v>18172</v>
      </c>
    </row>
    <row r="92" spans="1:19" x14ac:dyDescent="0.3">
      <c r="A92" t="s">
        <v>231</v>
      </c>
      <c r="B92">
        <f>COUNTIFS(Data_Cleaned!$AF$2:$AF$1471,"&gt;=11")</f>
        <v>246</v>
      </c>
      <c r="C92" s="21">
        <f>AVERAGEIFS(Data_Cleaned!$AJ$2:$AJ$1471,Data_Cleaned!$AF$2:$AF$1471,"&gt;=11")</f>
        <v>8.1300813008130079E-2</v>
      </c>
      <c r="M92" t="str">
        <f>Data_Cleaned!B92</f>
        <v>No</v>
      </c>
      <c r="N92">
        <f>Data_Cleaned!S92</f>
        <v>13503</v>
      </c>
      <c r="P92">
        <v>1</v>
      </c>
      <c r="Q92">
        <v>2319</v>
      </c>
      <c r="R92">
        <v>2</v>
      </c>
      <c r="S92">
        <v>2889</v>
      </c>
    </row>
    <row r="93" spans="1:19" x14ac:dyDescent="0.3">
      <c r="M93" t="str">
        <f>Data_Cleaned!B93</f>
        <v>No</v>
      </c>
      <c r="N93">
        <f>Data_Cleaned!S93</f>
        <v>5441</v>
      </c>
      <c r="P93">
        <v>3</v>
      </c>
      <c r="Q93">
        <v>5324</v>
      </c>
      <c r="R93">
        <v>0</v>
      </c>
      <c r="S93">
        <v>2871</v>
      </c>
    </row>
    <row r="94" spans="1:19" x14ac:dyDescent="0.3">
      <c r="M94" t="str">
        <f>Data_Cleaned!B94</f>
        <v>No</v>
      </c>
      <c r="N94">
        <f>Data_Cleaned!S94</f>
        <v>5209</v>
      </c>
      <c r="P94">
        <v>31</v>
      </c>
      <c r="Q94">
        <v>19246</v>
      </c>
      <c r="R94">
        <v>13</v>
      </c>
      <c r="S94">
        <v>7484</v>
      </c>
    </row>
    <row r="95" spans="1:19" x14ac:dyDescent="0.3">
      <c r="M95" t="str">
        <f>Data_Cleaned!B95</f>
        <v>No</v>
      </c>
      <c r="N95">
        <f>Data_Cleaned!S95</f>
        <v>10673</v>
      </c>
      <c r="P95">
        <v>2</v>
      </c>
      <c r="Q95">
        <v>4382</v>
      </c>
      <c r="R95">
        <v>5</v>
      </c>
      <c r="S95">
        <v>17328</v>
      </c>
    </row>
    <row r="96" spans="1:19" x14ac:dyDescent="0.3">
      <c r="M96" t="str">
        <f>Data_Cleaned!B96</f>
        <v>No</v>
      </c>
      <c r="N96">
        <f>Data_Cleaned!S96</f>
        <v>5010</v>
      </c>
      <c r="P96">
        <v>9</v>
      </c>
      <c r="Q96">
        <v>7654</v>
      </c>
      <c r="R96">
        <v>5</v>
      </c>
      <c r="S96">
        <v>2774</v>
      </c>
    </row>
    <row r="97" spans="13:19" x14ac:dyDescent="0.3">
      <c r="M97" t="str">
        <f>Data_Cleaned!B97</f>
        <v>No</v>
      </c>
      <c r="N97">
        <f>Data_Cleaned!S97</f>
        <v>13549</v>
      </c>
      <c r="P97">
        <v>9</v>
      </c>
      <c r="Q97">
        <v>5160</v>
      </c>
      <c r="R97">
        <v>1</v>
      </c>
      <c r="S97">
        <v>4505</v>
      </c>
    </row>
    <row r="98" spans="13:19" x14ac:dyDescent="0.3">
      <c r="M98" t="str">
        <f>Data_Cleaned!B98</f>
        <v>No</v>
      </c>
      <c r="N98">
        <f>Data_Cleaned!S98</f>
        <v>4999</v>
      </c>
      <c r="P98">
        <v>8</v>
      </c>
      <c r="Q98">
        <v>2366</v>
      </c>
      <c r="R98">
        <v>5</v>
      </c>
      <c r="S98">
        <v>7428</v>
      </c>
    </row>
    <row r="99" spans="13:19" x14ac:dyDescent="0.3">
      <c r="M99" t="str">
        <f>Data_Cleaned!B99</f>
        <v>No</v>
      </c>
      <c r="N99">
        <f>Data_Cleaned!S99</f>
        <v>4221</v>
      </c>
      <c r="P99">
        <v>10</v>
      </c>
      <c r="Q99">
        <v>2022</v>
      </c>
      <c r="R99">
        <v>11</v>
      </c>
      <c r="S99">
        <v>11631</v>
      </c>
    </row>
    <row r="100" spans="13:19" x14ac:dyDescent="0.3">
      <c r="M100" t="str">
        <f>Data_Cleaned!B100</f>
        <v>No</v>
      </c>
      <c r="N100">
        <f>Data_Cleaned!S100</f>
        <v>13872</v>
      </c>
      <c r="P100">
        <v>3</v>
      </c>
      <c r="Q100">
        <v>2800</v>
      </c>
      <c r="R100">
        <v>9</v>
      </c>
      <c r="S100">
        <v>9738</v>
      </c>
    </row>
    <row r="101" spans="13:19" x14ac:dyDescent="0.3">
      <c r="M101" t="str">
        <f>Data_Cleaned!B101</f>
        <v>No</v>
      </c>
      <c r="N101">
        <f>Data_Cleaned!S101</f>
        <v>2042</v>
      </c>
      <c r="P101">
        <v>1</v>
      </c>
      <c r="Q101">
        <v>2795</v>
      </c>
      <c r="R101">
        <v>1</v>
      </c>
      <c r="S101">
        <v>2835</v>
      </c>
    </row>
    <row r="102" spans="13:19" x14ac:dyDescent="0.3">
      <c r="M102" t="str">
        <f>Data_Cleaned!B102</f>
        <v>Yes</v>
      </c>
      <c r="N102">
        <f>Data_Cleaned!S102</f>
        <v>2073</v>
      </c>
      <c r="P102">
        <v>1</v>
      </c>
      <c r="Q102">
        <v>2380</v>
      </c>
      <c r="R102">
        <v>25</v>
      </c>
      <c r="S102">
        <v>16959</v>
      </c>
    </row>
    <row r="103" spans="13:19" x14ac:dyDescent="0.3">
      <c r="M103" t="str">
        <f>Data_Cleaned!B103</f>
        <v>No</v>
      </c>
      <c r="N103">
        <f>Data_Cleaned!S103</f>
        <v>2956</v>
      </c>
      <c r="P103">
        <v>2</v>
      </c>
      <c r="Q103">
        <v>2044</v>
      </c>
      <c r="R103">
        <v>10</v>
      </c>
      <c r="S103">
        <v>2674</v>
      </c>
    </row>
    <row r="104" spans="13:19" x14ac:dyDescent="0.3">
      <c r="M104" t="str">
        <f>Data_Cleaned!B104</f>
        <v>Yes</v>
      </c>
      <c r="N104">
        <f>Data_Cleaned!S104</f>
        <v>2926</v>
      </c>
      <c r="P104">
        <v>1</v>
      </c>
      <c r="Q104">
        <v>2693</v>
      </c>
      <c r="R104">
        <v>7</v>
      </c>
      <c r="S104">
        <v>6146</v>
      </c>
    </row>
    <row r="105" spans="13:19" x14ac:dyDescent="0.3">
      <c r="M105" t="str">
        <f>Data_Cleaned!B105</f>
        <v>No</v>
      </c>
      <c r="N105">
        <f>Data_Cleaned!S105</f>
        <v>4809</v>
      </c>
      <c r="P105">
        <v>3</v>
      </c>
      <c r="Q105">
        <v>4171</v>
      </c>
      <c r="R105">
        <v>20</v>
      </c>
      <c r="S105">
        <v>19537</v>
      </c>
    </row>
    <row r="106" spans="13:19" x14ac:dyDescent="0.3">
      <c r="M106" t="str">
        <f>Data_Cleaned!B106</f>
        <v>No</v>
      </c>
      <c r="N106">
        <f>Data_Cleaned!S106</f>
        <v>5163</v>
      </c>
      <c r="P106">
        <v>7</v>
      </c>
      <c r="Q106">
        <v>2778</v>
      </c>
      <c r="R106">
        <v>5</v>
      </c>
      <c r="S106">
        <v>2368</v>
      </c>
    </row>
    <row r="107" spans="13:19" x14ac:dyDescent="0.3">
      <c r="M107" t="str">
        <f>Data_Cleaned!B107</f>
        <v>No</v>
      </c>
      <c r="N107">
        <f>Data_Cleaned!S107</f>
        <v>18844</v>
      </c>
      <c r="P107">
        <v>2</v>
      </c>
      <c r="Q107">
        <v>2404</v>
      </c>
      <c r="R107">
        <v>2</v>
      </c>
      <c r="S107">
        <v>2523</v>
      </c>
    </row>
    <row r="108" spans="13:19" x14ac:dyDescent="0.3">
      <c r="M108" t="str">
        <f>Data_Cleaned!B108</f>
        <v>No</v>
      </c>
      <c r="N108">
        <f>Data_Cleaned!S108</f>
        <v>18172</v>
      </c>
      <c r="P108">
        <v>1</v>
      </c>
      <c r="Q108">
        <v>2413</v>
      </c>
      <c r="R108">
        <v>15</v>
      </c>
      <c r="S108">
        <v>6567</v>
      </c>
    </row>
    <row r="109" spans="13:19" x14ac:dyDescent="0.3">
      <c r="M109" t="str">
        <f>Data_Cleaned!B109</f>
        <v>Yes</v>
      </c>
      <c r="N109">
        <f>Data_Cleaned!S109</f>
        <v>5744</v>
      </c>
      <c r="P109">
        <v>1</v>
      </c>
      <c r="Q109">
        <v>2121</v>
      </c>
      <c r="R109">
        <v>3</v>
      </c>
      <c r="S109">
        <v>4739</v>
      </c>
    </row>
    <row r="110" spans="13:19" x14ac:dyDescent="0.3">
      <c r="M110" t="str">
        <f>Data_Cleaned!B110</f>
        <v>No</v>
      </c>
      <c r="N110">
        <f>Data_Cleaned!S110</f>
        <v>2889</v>
      </c>
      <c r="P110">
        <v>1</v>
      </c>
      <c r="Q110">
        <v>2973</v>
      </c>
      <c r="R110">
        <v>2</v>
      </c>
      <c r="S110">
        <v>9208</v>
      </c>
    </row>
    <row r="111" spans="13:19" x14ac:dyDescent="0.3">
      <c r="M111" t="str">
        <f>Data_Cleaned!B111</f>
        <v>No</v>
      </c>
      <c r="N111">
        <f>Data_Cleaned!S111</f>
        <v>2871</v>
      </c>
      <c r="P111">
        <v>16</v>
      </c>
      <c r="Q111">
        <v>10325</v>
      </c>
      <c r="R111">
        <v>9</v>
      </c>
      <c r="S111">
        <v>8189</v>
      </c>
    </row>
    <row r="112" spans="13:19" x14ac:dyDescent="0.3">
      <c r="M112" t="str">
        <f>Data_Cleaned!B112</f>
        <v>No</v>
      </c>
      <c r="N112">
        <f>Data_Cleaned!S112</f>
        <v>7484</v>
      </c>
      <c r="P112">
        <v>14</v>
      </c>
      <c r="Q112">
        <v>10609</v>
      </c>
      <c r="R112">
        <v>8</v>
      </c>
      <c r="S112">
        <v>2942</v>
      </c>
    </row>
    <row r="113" spans="13:19" x14ac:dyDescent="0.3">
      <c r="M113" t="str">
        <f>Data_Cleaned!B113</f>
        <v>Yes</v>
      </c>
      <c r="N113">
        <f>Data_Cleaned!S113</f>
        <v>6074</v>
      </c>
      <c r="P113">
        <v>1</v>
      </c>
      <c r="Q113">
        <v>2479</v>
      </c>
      <c r="R113">
        <v>3</v>
      </c>
      <c r="S113">
        <v>4941</v>
      </c>
    </row>
    <row r="114" spans="13:19" x14ac:dyDescent="0.3">
      <c r="M114" t="str">
        <f>Data_Cleaned!B114</f>
        <v>No</v>
      </c>
      <c r="N114">
        <f>Data_Cleaned!S114</f>
        <v>17328</v>
      </c>
      <c r="P114">
        <v>1</v>
      </c>
      <c r="Q114">
        <v>13194</v>
      </c>
      <c r="R114">
        <v>15</v>
      </c>
      <c r="S114">
        <v>5902</v>
      </c>
    </row>
    <row r="115" spans="13:19" x14ac:dyDescent="0.3">
      <c r="M115" t="str">
        <f>Data_Cleaned!B115</f>
        <v>No</v>
      </c>
      <c r="N115">
        <f>Data_Cleaned!S115</f>
        <v>2774</v>
      </c>
      <c r="P115">
        <v>3</v>
      </c>
      <c r="Q115">
        <v>2321</v>
      </c>
      <c r="R115">
        <v>2</v>
      </c>
      <c r="S115">
        <v>8639</v>
      </c>
    </row>
    <row r="116" spans="13:19" x14ac:dyDescent="0.3">
      <c r="M116" t="str">
        <f>Data_Cleaned!B116</f>
        <v>No</v>
      </c>
      <c r="N116">
        <f>Data_Cleaned!S116</f>
        <v>4505</v>
      </c>
      <c r="P116">
        <v>0</v>
      </c>
      <c r="Q116">
        <v>2404</v>
      </c>
      <c r="R116">
        <v>11</v>
      </c>
      <c r="S116">
        <v>6347</v>
      </c>
    </row>
    <row r="117" spans="13:19" x14ac:dyDescent="0.3">
      <c r="M117" t="str">
        <f>Data_Cleaned!B117</f>
        <v>No</v>
      </c>
      <c r="N117">
        <f>Data_Cleaned!S117</f>
        <v>7428</v>
      </c>
      <c r="P117">
        <v>5</v>
      </c>
      <c r="Q117">
        <v>2132</v>
      </c>
      <c r="R117">
        <v>6</v>
      </c>
      <c r="S117">
        <v>3452</v>
      </c>
    </row>
    <row r="118" spans="13:19" x14ac:dyDescent="0.3">
      <c r="M118" t="str">
        <f>Data_Cleaned!B118</f>
        <v>No</v>
      </c>
      <c r="N118">
        <f>Data_Cleaned!S118</f>
        <v>11631</v>
      </c>
      <c r="P118">
        <v>4</v>
      </c>
      <c r="Q118">
        <v>3743</v>
      </c>
      <c r="R118">
        <v>3</v>
      </c>
      <c r="S118">
        <v>4317</v>
      </c>
    </row>
    <row r="119" spans="13:19" x14ac:dyDescent="0.3">
      <c r="M119" t="str">
        <f>Data_Cleaned!B119</f>
        <v>No</v>
      </c>
      <c r="N119">
        <f>Data_Cleaned!S119</f>
        <v>9738</v>
      </c>
      <c r="P119">
        <v>1</v>
      </c>
      <c r="Q119">
        <v>2600</v>
      </c>
      <c r="R119">
        <v>5</v>
      </c>
      <c r="S119">
        <v>2632</v>
      </c>
    </row>
    <row r="120" spans="13:19" x14ac:dyDescent="0.3">
      <c r="M120" t="str">
        <f>Data_Cleaned!B120</f>
        <v>No</v>
      </c>
      <c r="N120">
        <f>Data_Cleaned!S120</f>
        <v>2835</v>
      </c>
      <c r="P120">
        <v>3</v>
      </c>
      <c r="Q120">
        <v>2422</v>
      </c>
      <c r="R120">
        <v>8</v>
      </c>
      <c r="S120">
        <v>4668</v>
      </c>
    </row>
    <row r="121" spans="13:19" x14ac:dyDescent="0.3">
      <c r="M121" t="str">
        <f>Data_Cleaned!B121</f>
        <v>No</v>
      </c>
      <c r="N121">
        <f>Data_Cleaned!S121</f>
        <v>16959</v>
      </c>
      <c r="P121">
        <v>1</v>
      </c>
      <c r="Q121">
        <v>4777</v>
      </c>
      <c r="R121">
        <v>3</v>
      </c>
      <c r="S121">
        <v>3204</v>
      </c>
    </row>
    <row r="122" spans="13:19" x14ac:dyDescent="0.3">
      <c r="M122" t="str">
        <f>Data_Cleaned!B122</f>
        <v>No</v>
      </c>
      <c r="N122">
        <f>Data_Cleaned!S122</f>
        <v>2674</v>
      </c>
      <c r="P122">
        <v>2</v>
      </c>
      <c r="Q122">
        <v>4969</v>
      </c>
      <c r="R122">
        <v>5</v>
      </c>
      <c r="S122">
        <v>2720</v>
      </c>
    </row>
    <row r="123" spans="13:19" x14ac:dyDescent="0.3">
      <c r="M123" t="str">
        <f>Data_Cleaned!B123</f>
        <v>No</v>
      </c>
      <c r="N123">
        <f>Data_Cleaned!S123</f>
        <v>6146</v>
      </c>
      <c r="P123">
        <v>32</v>
      </c>
      <c r="Q123">
        <v>19845</v>
      </c>
      <c r="R123">
        <v>7</v>
      </c>
      <c r="S123">
        <v>17181</v>
      </c>
    </row>
    <row r="124" spans="13:19" x14ac:dyDescent="0.3">
      <c r="M124" t="str">
        <f>Data_Cleaned!B124</f>
        <v>Yes</v>
      </c>
      <c r="N124">
        <f>Data_Cleaned!S124</f>
        <v>4963</v>
      </c>
      <c r="P124">
        <v>17</v>
      </c>
      <c r="Q124">
        <v>2743</v>
      </c>
      <c r="R124">
        <v>5</v>
      </c>
      <c r="S124">
        <v>2238</v>
      </c>
    </row>
    <row r="125" spans="13:19" x14ac:dyDescent="0.3">
      <c r="M125" t="str">
        <f>Data_Cleaned!B125</f>
        <v>No</v>
      </c>
      <c r="N125">
        <f>Data_Cleaned!S125</f>
        <v>19537</v>
      </c>
      <c r="P125">
        <v>1</v>
      </c>
      <c r="Q125">
        <v>4834</v>
      </c>
      <c r="R125">
        <v>1</v>
      </c>
      <c r="S125">
        <v>1483</v>
      </c>
    </row>
    <row r="126" spans="13:19" x14ac:dyDescent="0.3">
      <c r="M126" t="str">
        <f>Data_Cleaned!B126</f>
        <v>Yes</v>
      </c>
      <c r="N126">
        <f>Data_Cleaned!S126</f>
        <v>6172</v>
      </c>
      <c r="P126">
        <v>3</v>
      </c>
      <c r="Q126">
        <v>2042</v>
      </c>
      <c r="R126">
        <v>20</v>
      </c>
      <c r="S126">
        <v>5605</v>
      </c>
    </row>
    <row r="127" spans="13:19" x14ac:dyDescent="0.3">
      <c r="M127" t="str">
        <f>Data_Cleaned!B127</f>
        <v>No</v>
      </c>
      <c r="N127">
        <f>Data_Cleaned!S127</f>
        <v>2368</v>
      </c>
      <c r="P127">
        <v>2</v>
      </c>
      <c r="Q127">
        <v>2323</v>
      </c>
      <c r="R127">
        <v>10</v>
      </c>
      <c r="S127">
        <v>7295</v>
      </c>
    </row>
    <row r="128" spans="13:19" x14ac:dyDescent="0.3">
      <c r="M128" t="str">
        <f>Data_Cleaned!B128</f>
        <v>Yes</v>
      </c>
      <c r="N128">
        <f>Data_Cleaned!S128</f>
        <v>10312</v>
      </c>
      <c r="P128">
        <v>1</v>
      </c>
      <c r="Q128">
        <v>1416</v>
      </c>
      <c r="R128">
        <v>7</v>
      </c>
      <c r="S128">
        <v>2306</v>
      </c>
    </row>
    <row r="129" spans="13:19" x14ac:dyDescent="0.3">
      <c r="M129" t="str">
        <f>Data_Cleaned!B129</f>
        <v>Yes</v>
      </c>
      <c r="N129">
        <f>Data_Cleaned!S129</f>
        <v>1675</v>
      </c>
      <c r="P129">
        <v>10</v>
      </c>
      <c r="Q129">
        <v>2461</v>
      </c>
      <c r="R129">
        <v>17</v>
      </c>
      <c r="S129">
        <v>2348</v>
      </c>
    </row>
    <row r="130" spans="13:19" x14ac:dyDescent="0.3">
      <c r="M130" t="str">
        <f>Data_Cleaned!B130</f>
        <v>No</v>
      </c>
      <c r="N130">
        <f>Data_Cleaned!S130</f>
        <v>2523</v>
      </c>
      <c r="P130">
        <v>10</v>
      </c>
      <c r="Q130">
        <v>9950</v>
      </c>
      <c r="R130">
        <v>9</v>
      </c>
      <c r="S130">
        <v>8998</v>
      </c>
    </row>
    <row r="131" spans="13:19" x14ac:dyDescent="0.3">
      <c r="M131" t="str">
        <f>Data_Cleaned!B131</f>
        <v>No</v>
      </c>
      <c r="N131">
        <f>Data_Cleaned!S131</f>
        <v>6567</v>
      </c>
      <c r="P131">
        <v>20</v>
      </c>
      <c r="Q131">
        <v>10482</v>
      </c>
      <c r="R131">
        <v>10</v>
      </c>
      <c r="S131">
        <v>4319</v>
      </c>
    </row>
    <row r="132" spans="13:19" x14ac:dyDescent="0.3">
      <c r="M132" t="str">
        <f>Data_Cleaned!B132</f>
        <v>No</v>
      </c>
      <c r="N132">
        <f>Data_Cleaned!S132</f>
        <v>4739</v>
      </c>
      <c r="P132">
        <v>8</v>
      </c>
      <c r="Q132">
        <v>9582</v>
      </c>
      <c r="R132">
        <v>1</v>
      </c>
      <c r="S132">
        <v>6132</v>
      </c>
    </row>
    <row r="133" spans="13:19" x14ac:dyDescent="0.3">
      <c r="M133" t="str">
        <f>Data_Cleaned!B133</f>
        <v>No</v>
      </c>
      <c r="N133">
        <f>Data_Cleaned!S133</f>
        <v>9208</v>
      </c>
      <c r="P133">
        <v>13</v>
      </c>
      <c r="Q133">
        <v>4508</v>
      </c>
      <c r="R133">
        <v>1</v>
      </c>
      <c r="S133">
        <v>3346</v>
      </c>
    </row>
    <row r="134" spans="13:19" x14ac:dyDescent="0.3">
      <c r="M134" t="str">
        <f>Data_Cleaned!B134</f>
        <v>Yes</v>
      </c>
      <c r="N134">
        <f>Data_Cleaned!S134</f>
        <v>4559</v>
      </c>
      <c r="P134">
        <v>7</v>
      </c>
      <c r="Q134">
        <v>3691</v>
      </c>
      <c r="R134">
        <v>12</v>
      </c>
      <c r="S134">
        <v>10855</v>
      </c>
    </row>
    <row r="135" spans="13:19" x14ac:dyDescent="0.3">
      <c r="M135" t="str">
        <f>Data_Cleaned!B135</f>
        <v>No</v>
      </c>
      <c r="N135">
        <f>Data_Cleaned!S135</f>
        <v>8189</v>
      </c>
      <c r="P135">
        <v>1</v>
      </c>
      <c r="Q135">
        <v>2377</v>
      </c>
      <c r="R135">
        <v>4</v>
      </c>
      <c r="S135">
        <v>2231</v>
      </c>
    </row>
    <row r="136" spans="13:19" x14ac:dyDescent="0.3">
      <c r="M136" t="str">
        <f>Data_Cleaned!B136</f>
        <v>No</v>
      </c>
      <c r="N136">
        <f>Data_Cleaned!S136</f>
        <v>2942</v>
      </c>
      <c r="P136">
        <v>2</v>
      </c>
      <c r="Q136">
        <v>2313</v>
      </c>
      <c r="R136">
        <v>2</v>
      </c>
      <c r="S136">
        <v>2323</v>
      </c>
    </row>
    <row r="137" spans="13:19" x14ac:dyDescent="0.3">
      <c r="M137" t="str">
        <f>Data_Cleaned!B137</f>
        <v>No</v>
      </c>
      <c r="N137">
        <f>Data_Cleaned!S137</f>
        <v>4941</v>
      </c>
      <c r="P137">
        <v>1</v>
      </c>
      <c r="Q137">
        <v>2674</v>
      </c>
      <c r="R137">
        <v>2</v>
      </c>
      <c r="S137">
        <v>2024</v>
      </c>
    </row>
    <row r="138" spans="13:19" x14ac:dyDescent="0.3">
      <c r="M138" t="str">
        <f>Data_Cleaned!B138</f>
        <v>Yes</v>
      </c>
      <c r="N138">
        <f>Data_Cleaned!S138</f>
        <v>10650</v>
      </c>
      <c r="P138">
        <v>0</v>
      </c>
      <c r="Q138">
        <v>4728</v>
      </c>
      <c r="R138">
        <v>5</v>
      </c>
      <c r="S138">
        <v>2713</v>
      </c>
    </row>
    <row r="139" spans="13:19" x14ac:dyDescent="0.3">
      <c r="M139" t="str">
        <f>Data_Cleaned!B139</f>
        <v>No</v>
      </c>
      <c r="N139">
        <f>Data_Cleaned!S139</f>
        <v>5902</v>
      </c>
      <c r="P139">
        <v>18</v>
      </c>
      <c r="Q139">
        <v>12169</v>
      </c>
      <c r="R139">
        <v>5</v>
      </c>
      <c r="S139">
        <v>9439</v>
      </c>
    </row>
    <row r="140" spans="13:19" x14ac:dyDescent="0.3">
      <c r="M140" t="str">
        <f>Data_Cleaned!B140</f>
        <v>No</v>
      </c>
      <c r="N140">
        <f>Data_Cleaned!S140</f>
        <v>8639</v>
      </c>
      <c r="P140">
        <v>0</v>
      </c>
      <c r="Q140">
        <v>1904</v>
      </c>
      <c r="R140">
        <v>1</v>
      </c>
      <c r="S140">
        <v>2566</v>
      </c>
    </row>
    <row r="141" spans="13:19" x14ac:dyDescent="0.3">
      <c r="M141" t="str">
        <f>Data_Cleaned!B141</f>
        <v>No</v>
      </c>
      <c r="N141">
        <f>Data_Cleaned!S141</f>
        <v>6347</v>
      </c>
      <c r="P141">
        <v>5</v>
      </c>
      <c r="Q141">
        <v>8224</v>
      </c>
      <c r="R141">
        <v>5</v>
      </c>
      <c r="S141">
        <v>19926</v>
      </c>
    </row>
    <row r="142" spans="13:19" x14ac:dyDescent="0.3">
      <c r="M142" t="str">
        <f>Data_Cleaned!B142</f>
        <v>Yes</v>
      </c>
      <c r="N142">
        <f>Data_Cleaned!S142</f>
        <v>4200</v>
      </c>
      <c r="P142">
        <v>2</v>
      </c>
      <c r="Q142">
        <v>2610</v>
      </c>
      <c r="R142">
        <v>9</v>
      </c>
      <c r="S142">
        <v>2451</v>
      </c>
    </row>
    <row r="143" spans="13:19" x14ac:dyDescent="0.3">
      <c r="M143" t="str">
        <f>Data_Cleaned!B143</f>
        <v>No</v>
      </c>
      <c r="N143">
        <f>Data_Cleaned!S143</f>
        <v>3452</v>
      </c>
      <c r="P143">
        <v>11</v>
      </c>
      <c r="Q143">
        <v>7336</v>
      </c>
      <c r="R143">
        <v>10</v>
      </c>
      <c r="S143">
        <v>9419</v>
      </c>
    </row>
    <row r="144" spans="13:19" x14ac:dyDescent="0.3">
      <c r="M144" t="str">
        <f>Data_Cleaned!B144</f>
        <v>No</v>
      </c>
      <c r="N144">
        <f>Data_Cleaned!S144</f>
        <v>4317</v>
      </c>
      <c r="P144">
        <v>21</v>
      </c>
      <c r="Q144">
        <v>13758</v>
      </c>
      <c r="R144">
        <v>8</v>
      </c>
      <c r="S144">
        <v>8686</v>
      </c>
    </row>
    <row r="145" spans="13:19" x14ac:dyDescent="0.3">
      <c r="M145" t="str">
        <f>Data_Cleaned!B145</f>
        <v>No</v>
      </c>
      <c r="N145">
        <f>Data_Cleaned!S145</f>
        <v>2632</v>
      </c>
      <c r="P145">
        <v>1</v>
      </c>
      <c r="Q145">
        <v>2515</v>
      </c>
      <c r="R145">
        <v>5</v>
      </c>
      <c r="S145">
        <v>3038</v>
      </c>
    </row>
    <row r="146" spans="13:19" x14ac:dyDescent="0.3">
      <c r="M146" t="str">
        <f>Data_Cleaned!B146</f>
        <v>No</v>
      </c>
      <c r="N146">
        <f>Data_Cleaned!S146</f>
        <v>4668</v>
      </c>
      <c r="P146">
        <v>4</v>
      </c>
      <c r="Q146">
        <v>5346</v>
      </c>
      <c r="R146">
        <v>5</v>
      </c>
      <c r="S146">
        <v>3058</v>
      </c>
    </row>
    <row r="147" spans="13:19" x14ac:dyDescent="0.3">
      <c r="M147" t="str">
        <f>Data_Cleaned!B147</f>
        <v>No</v>
      </c>
      <c r="N147">
        <f>Data_Cleaned!S147</f>
        <v>3204</v>
      </c>
      <c r="P147">
        <v>6</v>
      </c>
      <c r="Q147">
        <v>2936</v>
      </c>
      <c r="R147">
        <v>8</v>
      </c>
      <c r="S147">
        <v>2088</v>
      </c>
    </row>
    <row r="148" spans="13:19" x14ac:dyDescent="0.3">
      <c r="M148" t="str">
        <f>Data_Cleaned!B148</f>
        <v>No</v>
      </c>
      <c r="N148">
        <f>Data_Cleaned!S148</f>
        <v>2720</v>
      </c>
      <c r="P148">
        <v>0</v>
      </c>
      <c r="Q148">
        <v>2853</v>
      </c>
      <c r="R148">
        <v>12</v>
      </c>
      <c r="S148">
        <v>3072</v>
      </c>
    </row>
    <row r="149" spans="13:19" x14ac:dyDescent="0.3">
      <c r="M149" t="str">
        <f>Data_Cleaned!B149</f>
        <v>No</v>
      </c>
      <c r="N149">
        <f>Data_Cleaned!S149</f>
        <v>17181</v>
      </c>
      <c r="P149">
        <v>1</v>
      </c>
      <c r="Q149">
        <v>2107</v>
      </c>
      <c r="R149">
        <v>5</v>
      </c>
      <c r="S149">
        <v>5006</v>
      </c>
    </row>
    <row r="150" spans="13:19" x14ac:dyDescent="0.3">
      <c r="M150" t="str">
        <f>Data_Cleaned!B150</f>
        <v>No</v>
      </c>
      <c r="N150">
        <f>Data_Cleaned!S150</f>
        <v>2238</v>
      </c>
      <c r="P150">
        <v>1</v>
      </c>
      <c r="Q150">
        <v>2210</v>
      </c>
      <c r="R150">
        <v>2</v>
      </c>
      <c r="S150">
        <v>4257</v>
      </c>
    </row>
    <row r="151" spans="13:19" x14ac:dyDescent="0.3">
      <c r="M151" t="str">
        <f>Data_Cleaned!B151</f>
        <v>No</v>
      </c>
      <c r="N151">
        <f>Data_Cleaned!S151</f>
        <v>1483</v>
      </c>
      <c r="P151">
        <v>1</v>
      </c>
      <c r="Q151">
        <v>1859</v>
      </c>
      <c r="R151">
        <v>3</v>
      </c>
      <c r="S151">
        <v>2500</v>
      </c>
    </row>
    <row r="152" spans="13:19" x14ac:dyDescent="0.3">
      <c r="M152" t="str">
        <f>Data_Cleaned!B152</f>
        <v>No</v>
      </c>
      <c r="N152">
        <f>Data_Cleaned!S152</f>
        <v>5605</v>
      </c>
      <c r="P152">
        <v>1</v>
      </c>
      <c r="Q152">
        <v>1118</v>
      </c>
      <c r="R152">
        <v>24</v>
      </c>
      <c r="S152">
        <v>10453</v>
      </c>
    </row>
    <row r="153" spans="13:19" x14ac:dyDescent="0.3">
      <c r="M153" t="str">
        <f>Data_Cleaned!B153</f>
        <v>No</v>
      </c>
      <c r="N153">
        <f>Data_Cleaned!S153</f>
        <v>7295</v>
      </c>
      <c r="P153">
        <v>24</v>
      </c>
      <c r="Q153">
        <v>18824</v>
      </c>
      <c r="R153">
        <v>2</v>
      </c>
      <c r="S153">
        <v>2288</v>
      </c>
    </row>
    <row r="154" spans="13:19" x14ac:dyDescent="0.3">
      <c r="M154" t="str">
        <f>Data_Cleaned!B154</f>
        <v>No</v>
      </c>
      <c r="N154">
        <f>Data_Cleaned!S154</f>
        <v>2306</v>
      </c>
      <c r="P154">
        <v>2</v>
      </c>
      <c r="Q154">
        <v>2625</v>
      </c>
      <c r="R154">
        <v>4</v>
      </c>
      <c r="S154">
        <v>3929</v>
      </c>
    </row>
    <row r="155" spans="13:19" x14ac:dyDescent="0.3">
      <c r="M155" t="str">
        <f>Data_Cleaned!B155</f>
        <v>No</v>
      </c>
      <c r="N155">
        <f>Data_Cleaned!S155</f>
        <v>2348</v>
      </c>
      <c r="P155">
        <v>10</v>
      </c>
      <c r="Q155">
        <v>7978</v>
      </c>
      <c r="R155">
        <v>3</v>
      </c>
      <c r="S155">
        <v>2311</v>
      </c>
    </row>
    <row r="156" spans="13:19" x14ac:dyDescent="0.3">
      <c r="M156" t="str">
        <f>Data_Cleaned!B156</f>
        <v>No</v>
      </c>
      <c r="N156">
        <f>Data_Cleaned!S156</f>
        <v>8998</v>
      </c>
      <c r="P156">
        <v>7</v>
      </c>
      <c r="Q156">
        <v>3339</v>
      </c>
      <c r="R156">
        <v>3</v>
      </c>
      <c r="S156">
        <v>3690</v>
      </c>
    </row>
    <row r="157" spans="13:19" x14ac:dyDescent="0.3">
      <c r="M157" t="str">
        <f>Data_Cleaned!B157</f>
        <v>No</v>
      </c>
      <c r="N157">
        <f>Data_Cleaned!S157</f>
        <v>4319</v>
      </c>
      <c r="P157">
        <v>10</v>
      </c>
      <c r="Q157">
        <v>4883</v>
      </c>
      <c r="R157">
        <v>4</v>
      </c>
      <c r="S157">
        <v>4450</v>
      </c>
    </row>
    <row r="158" spans="13:19" x14ac:dyDescent="0.3">
      <c r="M158" t="str">
        <f>Data_Cleaned!B158</f>
        <v>No</v>
      </c>
      <c r="N158">
        <f>Data_Cleaned!S158</f>
        <v>6132</v>
      </c>
      <c r="P158">
        <v>5</v>
      </c>
      <c r="Q158">
        <v>3904</v>
      </c>
      <c r="R158">
        <v>8</v>
      </c>
      <c r="S158">
        <v>2756</v>
      </c>
    </row>
    <row r="159" spans="13:19" x14ac:dyDescent="0.3">
      <c r="M159" t="str">
        <f>Data_Cleaned!B159</f>
        <v>No</v>
      </c>
      <c r="N159">
        <f>Data_Cleaned!S159</f>
        <v>3346</v>
      </c>
      <c r="P159">
        <v>5</v>
      </c>
      <c r="Q159">
        <v>9094</v>
      </c>
      <c r="R159">
        <v>20</v>
      </c>
      <c r="S159">
        <v>19033</v>
      </c>
    </row>
    <row r="160" spans="13:19" x14ac:dyDescent="0.3">
      <c r="M160" t="str">
        <f>Data_Cleaned!B160</f>
        <v>No</v>
      </c>
      <c r="N160">
        <f>Data_Cleaned!S160</f>
        <v>10855</v>
      </c>
      <c r="P160">
        <v>8</v>
      </c>
      <c r="Q160">
        <v>8446</v>
      </c>
      <c r="R160">
        <v>24</v>
      </c>
      <c r="S160">
        <v>18722</v>
      </c>
    </row>
    <row r="161" spans="1:19" x14ac:dyDescent="0.3">
      <c r="M161" t="str">
        <f>Data_Cleaned!B161</f>
        <v>No</v>
      </c>
      <c r="N161">
        <f>Data_Cleaned!S161</f>
        <v>2231</v>
      </c>
      <c r="P161">
        <v>3</v>
      </c>
      <c r="Q161">
        <v>2302</v>
      </c>
      <c r="R161">
        <v>10</v>
      </c>
      <c r="S161">
        <v>9547</v>
      </c>
    </row>
    <row r="162" spans="1:19" x14ac:dyDescent="0.3">
      <c r="M162" t="str">
        <f>Data_Cleaned!B162</f>
        <v>No</v>
      </c>
      <c r="N162">
        <f>Data_Cleaned!S162</f>
        <v>2323</v>
      </c>
      <c r="P162">
        <v>3</v>
      </c>
      <c r="Q162">
        <v>2362</v>
      </c>
      <c r="R162">
        <v>7</v>
      </c>
      <c r="S162">
        <v>13734</v>
      </c>
    </row>
    <row r="163" spans="1:19" x14ac:dyDescent="0.3">
      <c r="M163" t="str">
        <f>Data_Cleaned!B163</f>
        <v>No</v>
      </c>
      <c r="N163">
        <f>Data_Cleaned!S163</f>
        <v>2024</v>
      </c>
      <c r="P163">
        <v>10</v>
      </c>
      <c r="Q163">
        <v>10008</v>
      </c>
      <c r="R163">
        <v>33</v>
      </c>
      <c r="S163">
        <v>19999</v>
      </c>
    </row>
    <row r="164" spans="1:19" x14ac:dyDescent="0.3">
      <c r="M164" t="str">
        <f>Data_Cleaned!B164</f>
        <v>No</v>
      </c>
      <c r="N164">
        <f>Data_Cleaned!S164</f>
        <v>2713</v>
      </c>
      <c r="P164">
        <v>19</v>
      </c>
      <c r="Q164">
        <v>13695</v>
      </c>
      <c r="R164">
        <v>7</v>
      </c>
      <c r="S164">
        <v>2279</v>
      </c>
    </row>
    <row r="165" spans="1:19" x14ac:dyDescent="0.3">
      <c r="M165" t="str">
        <f>Data_Cleaned!B165</f>
        <v>No</v>
      </c>
      <c r="N165">
        <f>Data_Cleaned!S165</f>
        <v>9439</v>
      </c>
      <c r="P165">
        <v>1</v>
      </c>
      <c r="Q165">
        <v>2785</v>
      </c>
      <c r="R165">
        <v>5</v>
      </c>
      <c r="S165">
        <v>2089</v>
      </c>
    </row>
    <row r="166" spans="1:19" x14ac:dyDescent="0.3">
      <c r="M166" t="str">
        <f>Data_Cleaned!B166</f>
        <v>No</v>
      </c>
      <c r="N166">
        <f>Data_Cleaned!S166</f>
        <v>2566</v>
      </c>
      <c r="P166">
        <v>4</v>
      </c>
      <c r="Q166">
        <v>4614</v>
      </c>
      <c r="R166">
        <v>20</v>
      </c>
      <c r="S166">
        <v>16792</v>
      </c>
    </row>
    <row r="167" spans="1:19" x14ac:dyDescent="0.3">
      <c r="M167" t="str">
        <f>Data_Cleaned!B167</f>
        <v>No</v>
      </c>
      <c r="N167">
        <f>Data_Cleaned!S167</f>
        <v>19926</v>
      </c>
      <c r="P167">
        <v>10</v>
      </c>
      <c r="Q167">
        <v>6179</v>
      </c>
      <c r="R167">
        <v>8</v>
      </c>
      <c r="S167">
        <v>3564</v>
      </c>
    </row>
    <row r="168" spans="1:19" ht="15.6" x14ac:dyDescent="0.3">
      <c r="A168" s="3" t="s">
        <v>249</v>
      </c>
      <c r="M168" t="str">
        <f>Data_Cleaned!B168</f>
        <v>No</v>
      </c>
      <c r="N168">
        <f>Data_Cleaned!S168</f>
        <v>2451</v>
      </c>
      <c r="P168">
        <v>8</v>
      </c>
      <c r="Q168">
        <v>2394</v>
      </c>
      <c r="R168">
        <v>6</v>
      </c>
      <c r="S168">
        <v>4425</v>
      </c>
    </row>
    <row r="169" spans="1:19" x14ac:dyDescent="0.3">
      <c r="A169" t="s">
        <v>250</v>
      </c>
      <c r="B169" t="str">
        <f>"A: "&amp;TEXT(B33,"0.0%")&amp;" of the 1,470-employee workforce left ("&amp;B31&amp;" of "&amp;B31+B32&amp;"). At an average fully-loaded replacement cost, this represents a material, recurring HR expense that justifies a targeted retention programme rather than a blanket one."</f>
        <v>A: 16.1% of the 1,470-employee workforce left (237 of 1470). At an average fully-loaded replacement cost, this represents a material, recurring HR expense that justifies a targeted retention programme rather than a blanket one.</v>
      </c>
      <c r="M169" t="str">
        <f>Data_Cleaned!B169</f>
        <v>No</v>
      </c>
      <c r="N169">
        <f>Data_Cleaned!S169</f>
        <v>9419</v>
      </c>
      <c r="P169">
        <v>4</v>
      </c>
      <c r="Q169">
        <v>4284</v>
      </c>
      <c r="R169">
        <v>5</v>
      </c>
      <c r="S169">
        <v>5265</v>
      </c>
    </row>
    <row r="170" spans="1:19" x14ac:dyDescent="0.3">
      <c r="A170" t="s">
        <v>251</v>
      </c>
      <c r="B170" t="s">
        <v>252</v>
      </c>
      <c r="M170" t="str">
        <f>Data_Cleaned!B170</f>
        <v>No</v>
      </c>
      <c r="N170">
        <f>Data_Cleaned!S170</f>
        <v>8686</v>
      </c>
      <c r="P170">
        <v>8</v>
      </c>
      <c r="Q170">
        <v>7553</v>
      </c>
      <c r="R170">
        <v>1</v>
      </c>
      <c r="S170">
        <v>6553</v>
      </c>
    </row>
    <row r="171" spans="1:19" x14ac:dyDescent="0.3">
      <c r="A171" t="s">
        <v>253</v>
      </c>
      <c r="B171" t="s">
        <v>254</v>
      </c>
      <c r="M171" t="str">
        <f>Data_Cleaned!B171</f>
        <v>No</v>
      </c>
      <c r="N171">
        <f>Data_Cleaned!S171</f>
        <v>3038</v>
      </c>
      <c r="P171">
        <v>1</v>
      </c>
      <c r="Q171">
        <v>1359</v>
      </c>
      <c r="R171">
        <v>7</v>
      </c>
      <c r="S171">
        <v>6261</v>
      </c>
    </row>
    <row r="172" spans="1:19" x14ac:dyDescent="0.3">
      <c r="A172" t="s">
        <v>255</v>
      </c>
      <c r="B172" t="s">
        <v>256</v>
      </c>
      <c r="M172" t="str">
        <f>Data_Cleaned!B172</f>
        <v>No</v>
      </c>
      <c r="N172">
        <f>Data_Cleaned!S172</f>
        <v>3058</v>
      </c>
      <c r="P172">
        <v>1</v>
      </c>
      <c r="Q172">
        <v>1261</v>
      </c>
      <c r="R172">
        <v>2</v>
      </c>
      <c r="S172">
        <v>4298</v>
      </c>
    </row>
    <row r="173" spans="1:19" x14ac:dyDescent="0.3">
      <c r="A173" t="s">
        <v>257</v>
      </c>
      <c r="B173" t="s">
        <v>258</v>
      </c>
      <c r="M173" t="str">
        <f>Data_Cleaned!B173</f>
        <v>Yes</v>
      </c>
      <c r="N173">
        <f>Data_Cleaned!S173</f>
        <v>2325</v>
      </c>
      <c r="P173">
        <v>3</v>
      </c>
      <c r="Q173">
        <v>4400</v>
      </c>
      <c r="R173">
        <v>7</v>
      </c>
      <c r="S173">
        <v>6804</v>
      </c>
    </row>
    <row r="174" spans="1:19" x14ac:dyDescent="0.3">
      <c r="M174" t="str">
        <f>Data_Cleaned!B174</f>
        <v>No</v>
      </c>
      <c r="N174">
        <f>Data_Cleaned!S174</f>
        <v>2088</v>
      </c>
      <c r="P174">
        <v>7</v>
      </c>
      <c r="Q174">
        <v>10096</v>
      </c>
      <c r="R174">
        <v>5</v>
      </c>
      <c r="S174">
        <v>3815</v>
      </c>
    </row>
    <row r="175" spans="1:19" x14ac:dyDescent="0.3">
      <c r="M175" t="str">
        <f>Data_Cleaned!B175</f>
        <v>No</v>
      </c>
      <c r="N175">
        <f>Data_Cleaned!S175</f>
        <v>3072</v>
      </c>
      <c r="P175">
        <v>1</v>
      </c>
      <c r="Q175">
        <v>3646</v>
      </c>
      <c r="R175">
        <v>7</v>
      </c>
      <c r="S175">
        <v>2741</v>
      </c>
    </row>
    <row r="176" spans="1:19" x14ac:dyDescent="0.3">
      <c r="M176" t="str">
        <f>Data_Cleaned!B176</f>
        <v>No</v>
      </c>
      <c r="N176">
        <f>Data_Cleaned!S176</f>
        <v>5006</v>
      </c>
      <c r="P176">
        <v>10</v>
      </c>
      <c r="Q176">
        <v>7446</v>
      </c>
      <c r="R176">
        <v>4</v>
      </c>
      <c r="S176">
        <v>2328</v>
      </c>
    </row>
    <row r="177" spans="13:19" x14ac:dyDescent="0.3">
      <c r="M177" t="str">
        <f>Data_Cleaned!B177</f>
        <v>No</v>
      </c>
      <c r="N177">
        <f>Data_Cleaned!S177</f>
        <v>4257</v>
      </c>
      <c r="P177">
        <v>2</v>
      </c>
      <c r="Q177">
        <v>3722</v>
      </c>
      <c r="R177">
        <v>8</v>
      </c>
      <c r="S177">
        <v>2153</v>
      </c>
    </row>
    <row r="178" spans="13:19" x14ac:dyDescent="0.3">
      <c r="M178" t="str">
        <f>Data_Cleaned!B178</f>
        <v>No</v>
      </c>
      <c r="N178">
        <f>Data_Cleaned!S178</f>
        <v>2500</v>
      </c>
      <c r="P178">
        <v>2</v>
      </c>
      <c r="Q178">
        <v>2742</v>
      </c>
      <c r="R178">
        <v>3</v>
      </c>
      <c r="S178">
        <v>4876</v>
      </c>
    </row>
    <row r="179" spans="13:19" x14ac:dyDescent="0.3">
      <c r="M179" t="str">
        <f>Data_Cleaned!B179</f>
        <v>Yes</v>
      </c>
      <c r="N179">
        <f>Data_Cleaned!S179</f>
        <v>1102</v>
      </c>
      <c r="P179">
        <v>3</v>
      </c>
      <c r="Q179">
        <v>2909</v>
      </c>
      <c r="R179">
        <v>4</v>
      </c>
      <c r="S179">
        <v>9396</v>
      </c>
    </row>
    <row r="180" spans="13:19" x14ac:dyDescent="0.3">
      <c r="M180" t="str">
        <f>Data_Cleaned!B180</f>
        <v>No</v>
      </c>
      <c r="N180">
        <f>Data_Cleaned!S180</f>
        <v>10453</v>
      </c>
      <c r="P180">
        <v>5</v>
      </c>
      <c r="Q180">
        <v>5765</v>
      </c>
      <c r="R180">
        <v>11</v>
      </c>
      <c r="S180">
        <v>8474</v>
      </c>
    </row>
    <row r="181" spans="13:19" x14ac:dyDescent="0.3">
      <c r="M181" t="str">
        <f>Data_Cleaned!B181</f>
        <v>No</v>
      </c>
      <c r="N181">
        <f>Data_Cleaned!S181</f>
        <v>2288</v>
      </c>
      <c r="P181">
        <v>15</v>
      </c>
      <c r="Q181">
        <v>4599</v>
      </c>
      <c r="R181">
        <v>7</v>
      </c>
      <c r="S181">
        <v>9981</v>
      </c>
    </row>
    <row r="182" spans="13:19" x14ac:dyDescent="0.3">
      <c r="M182" t="str">
        <f>Data_Cleaned!B182</f>
        <v>No</v>
      </c>
      <c r="N182">
        <f>Data_Cleaned!S182</f>
        <v>3929</v>
      </c>
      <c r="P182">
        <v>0</v>
      </c>
      <c r="Q182">
        <v>3172</v>
      </c>
      <c r="R182">
        <v>10</v>
      </c>
      <c r="S182">
        <v>12490</v>
      </c>
    </row>
    <row r="183" spans="13:19" x14ac:dyDescent="0.3">
      <c r="M183" t="str">
        <f>Data_Cleaned!B183</f>
        <v>No</v>
      </c>
      <c r="N183">
        <f>Data_Cleaned!S183</f>
        <v>2311</v>
      </c>
      <c r="P183">
        <v>0</v>
      </c>
      <c r="Q183">
        <v>2561</v>
      </c>
      <c r="R183">
        <v>1</v>
      </c>
      <c r="S183">
        <v>13591</v>
      </c>
    </row>
    <row r="184" spans="13:19" x14ac:dyDescent="0.3">
      <c r="M184" t="str">
        <f>Data_Cleaned!B184</f>
        <v>Yes</v>
      </c>
      <c r="N184">
        <f>Data_Cleaned!S184</f>
        <v>3140</v>
      </c>
      <c r="P184">
        <v>9</v>
      </c>
      <c r="Q184">
        <v>2362</v>
      </c>
      <c r="R184">
        <v>19</v>
      </c>
      <c r="S184">
        <v>8865</v>
      </c>
    </row>
    <row r="185" spans="13:19" x14ac:dyDescent="0.3">
      <c r="M185" t="str">
        <f>Data_Cleaned!B185</f>
        <v>No</v>
      </c>
      <c r="N185">
        <f>Data_Cleaned!S185</f>
        <v>3690</v>
      </c>
      <c r="P185">
        <v>5</v>
      </c>
      <c r="Q185">
        <v>2018</v>
      </c>
      <c r="R185">
        <v>6</v>
      </c>
      <c r="S185">
        <v>5940</v>
      </c>
    </row>
    <row r="186" spans="13:19" x14ac:dyDescent="0.3">
      <c r="M186" t="str">
        <f>Data_Cleaned!B186</f>
        <v>No</v>
      </c>
      <c r="N186">
        <f>Data_Cleaned!S186</f>
        <v>4450</v>
      </c>
      <c r="P186">
        <v>7</v>
      </c>
      <c r="Q186">
        <v>4084</v>
      </c>
      <c r="R186">
        <v>13</v>
      </c>
      <c r="S186">
        <v>5914</v>
      </c>
    </row>
    <row r="187" spans="13:19" x14ac:dyDescent="0.3">
      <c r="M187" t="str">
        <f>Data_Cleaned!B187</f>
        <v>No</v>
      </c>
      <c r="N187">
        <f>Data_Cleaned!S187</f>
        <v>2756</v>
      </c>
      <c r="P187">
        <v>10</v>
      </c>
      <c r="Q187">
        <v>9714</v>
      </c>
      <c r="R187">
        <v>3</v>
      </c>
      <c r="S187">
        <v>2622</v>
      </c>
    </row>
    <row r="188" spans="13:19" x14ac:dyDescent="0.3">
      <c r="M188" t="str">
        <f>Data_Cleaned!B188</f>
        <v>No</v>
      </c>
      <c r="N188">
        <f>Data_Cleaned!S188</f>
        <v>19033</v>
      </c>
      <c r="P188">
        <v>1</v>
      </c>
      <c r="Q188">
        <v>2074</v>
      </c>
      <c r="R188">
        <v>10</v>
      </c>
      <c r="S188">
        <v>12185</v>
      </c>
    </row>
    <row r="189" spans="13:19" x14ac:dyDescent="0.3">
      <c r="M189" t="str">
        <f>Data_Cleaned!B189</f>
        <v>No</v>
      </c>
      <c r="N189">
        <f>Data_Cleaned!S189</f>
        <v>18722</v>
      </c>
      <c r="P189">
        <v>33</v>
      </c>
      <c r="Q189">
        <v>10169</v>
      </c>
      <c r="R189">
        <v>16</v>
      </c>
      <c r="S189">
        <v>10609</v>
      </c>
    </row>
    <row r="190" spans="13:19" x14ac:dyDescent="0.3">
      <c r="M190" t="str">
        <f>Data_Cleaned!B190</f>
        <v>No</v>
      </c>
      <c r="N190">
        <f>Data_Cleaned!S190</f>
        <v>9547</v>
      </c>
      <c r="P190">
        <v>5</v>
      </c>
      <c r="Q190">
        <v>4855</v>
      </c>
      <c r="R190">
        <v>5</v>
      </c>
      <c r="S190">
        <v>4345</v>
      </c>
    </row>
    <row r="191" spans="13:19" x14ac:dyDescent="0.3">
      <c r="M191" t="str">
        <f>Data_Cleaned!B191</f>
        <v>No</v>
      </c>
      <c r="N191">
        <f>Data_Cleaned!S191</f>
        <v>13734</v>
      </c>
      <c r="P191">
        <v>1</v>
      </c>
      <c r="Q191">
        <v>2408</v>
      </c>
      <c r="R191">
        <v>1</v>
      </c>
      <c r="S191">
        <v>2177</v>
      </c>
    </row>
    <row r="192" spans="13:19" x14ac:dyDescent="0.3">
      <c r="M192" t="str">
        <f>Data_Cleaned!B192</f>
        <v>No</v>
      </c>
      <c r="N192">
        <f>Data_Cleaned!S192</f>
        <v>19999</v>
      </c>
      <c r="P192">
        <v>0</v>
      </c>
      <c r="Q192">
        <v>1569</v>
      </c>
      <c r="R192">
        <v>9</v>
      </c>
      <c r="S192">
        <v>2793</v>
      </c>
    </row>
    <row r="193" spans="13:19" x14ac:dyDescent="0.3">
      <c r="M193" t="str">
        <f>Data_Cleaned!B193</f>
        <v>No</v>
      </c>
      <c r="N193">
        <f>Data_Cleaned!S193</f>
        <v>2279</v>
      </c>
      <c r="P193">
        <v>13</v>
      </c>
      <c r="Q193">
        <v>10306</v>
      </c>
      <c r="R193">
        <v>11</v>
      </c>
      <c r="S193">
        <v>7918</v>
      </c>
    </row>
    <row r="194" spans="13:19" x14ac:dyDescent="0.3">
      <c r="M194" t="str">
        <f>Data_Cleaned!B194</f>
        <v>Yes</v>
      </c>
      <c r="N194">
        <f>Data_Cleaned!S194</f>
        <v>5916</v>
      </c>
      <c r="P194">
        <v>2</v>
      </c>
      <c r="Q194">
        <v>5440</v>
      </c>
      <c r="R194">
        <v>10</v>
      </c>
      <c r="S194">
        <v>8789</v>
      </c>
    </row>
    <row r="195" spans="13:19" x14ac:dyDescent="0.3">
      <c r="M195" t="str">
        <f>Data_Cleaned!B195</f>
        <v>No</v>
      </c>
      <c r="N195">
        <f>Data_Cleaned!S195</f>
        <v>2089</v>
      </c>
      <c r="P195">
        <v>4</v>
      </c>
      <c r="Q195">
        <v>2166</v>
      </c>
      <c r="R195">
        <v>2</v>
      </c>
      <c r="S195">
        <v>2674</v>
      </c>
    </row>
    <row r="196" spans="13:19" x14ac:dyDescent="0.3">
      <c r="M196" t="str">
        <f>Data_Cleaned!B196</f>
        <v>No</v>
      </c>
      <c r="N196">
        <f>Data_Cleaned!S196</f>
        <v>16792</v>
      </c>
      <c r="P196">
        <v>11</v>
      </c>
      <c r="Q196">
        <v>4581</v>
      </c>
      <c r="R196">
        <v>22</v>
      </c>
      <c r="S196">
        <v>19232</v>
      </c>
    </row>
    <row r="197" spans="13:19" x14ac:dyDescent="0.3">
      <c r="M197" t="str">
        <f>Data_Cleaned!B197</f>
        <v>No</v>
      </c>
      <c r="N197">
        <f>Data_Cleaned!S197</f>
        <v>3564</v>
      </c>
      <c r="P197">
        <v>5</v>
      </c>
      <c r="Q197">
        <v>3989</v>
      </c>
      <c r="R197">
        <v>2</v>
      </c>
      <c r="S197">
        <v>2267</v>
      </c>
    </row>
    <row r="198" spans="13:19" x14ac:dyDescent="0.3">
      <c r="M198" t="str">
        <f>Data_Cleaned!B198</f>
        <v>No</v>
      </c>
      <c r="N198">
        <f>Data_Cleaned!S198</f>
        <v>4425</v>
      </c>
      <c r="P198">
        <v>9</v>
      </c>
      <c r="Q198">
        <v>2655</v>
      </c>
      <c r="R198">
        <v>7</v>
      </c>
      <c r="S198">
        <v>19517</v>
      </c>
    </row>
    <row r="199" spans="13:19" x14ac:dyDescent="0.3">
      <c r="M199" t="str">
        <f>Data_Cleaned!B199</f>
        <v>No</v>
      </c>
      <c r="N199">
        <f>Data_Cleaned!S199</f>
        <v>5265</v>
      </c>
      <c r="P199">
        <v>1</v>
      </c>
      <c r="Q199">
        <v>1393</v>
      </c>
      <c r="R199">
        <v>17</v>
      </c>
      <c r="S199">
        <v>16064</v>
      </c>
    </row>
    <row r="200" spans="13:19" x14ac:dyDescent="0.3">
      <c r="M200" t="str">
        <f>Data_Cleaned!B200</f>
        <v>No</v>
      </c>
      <c r="N200">
        <f>Data_Cleaned!S200</f>
        <v>6553</v>
      </c>
      <c r="P200">
        <v>3</v>
      </c>
      <c r="Q200">
        <v>2275</v>
      </c>
      <c r="R200">
        <v>33</v>
      </c>
      <c r="S200">
        <v>19068</v>
      </c>
    </row>
    <row r="201" spans="13:19" x14ac:dyDescent="0.3">
      <c r="M201" t="str">
        <f>Data_Cleaned!B201</f>
        <v>No</v>
      </c>
      <c r="N201">
        <f>Data_Cleaned!S201</f>
        <v>6261</v>
      </c>
      <c r="P201">
        <v>1</v>
      </c>
      <c r="Q201">
        <v>1555</v>
      </c>
      <c r="R201">
        <v>4</v>
      </c>
      <c r="S201">
        <v>3931</v>
      </c>
    </row>
    <row r="202" spans="13:19" x14ac:dyDescent="0.3">
      <c r="M202" t="str">
        <f>Data_Cleaned!B202</f>
        <v>No</v>
      </c>
      <c r="N202">
        <f>Data_Cleaned!S202</f>
        <v>4298</v>
      </c>
      <c r="P202">
        <v>23</v>
      </c>
      <c r="Q202">
        <v>12936</v>
      </c>
      <c r="R202">
        <v>3</v>
      </c>
      <c r="S202">
        <v>2232</v>
      </c>
    </row>
    <row r="203" spans="13:19" x14ac:dyDescent="0.3">
      <c r="M203" t="str">
        <f>Data_Cleaned!B203</f>
        <v>No</v>
      </c>
      <c r="N203">
        <f>Data_Cleaned!S203</f>
        <v>6804</v>
      </c>
      <c r="P203">
        <v>2</v>
      </c>
      <c r="Q203">
        <v>6134</v>
      </c>
      <c r="R203">
        <v>3</v>
      </c>
      <c r="S203">
        <v>4465</v>
      </c>
    </row>
    <row r="204" spans="13:19" x14ac:dyDescent="0.3">
      <c r="M204" t="str">
        <f>Data_Cleaned!B204</f>
        <v>No</v>
      </c>
      <c r="N204">
        <f>Data_Cleaned!S204</f>
        <v>3815</v>
      </c>
      <c r="P204">
        <v>0</v>
      </c>
      <c r="Q204">
        <v>6735</v>
      </c>
      <c r="R204">
        <v>1</v>
      </c>
      <c r="S204">
        <v>3072</v>
      </c>
    </row>
    <row r="205" spans="13:19" x14ac:dyDescent="0.3">
      <c r="M205" t="str">
        <f>Data_Cleaned!B205</f>
        <v>No</v>
      </c>
      <c r="N205">
        <f>Data_Cleaned!S205</f>
        <v>2741</v>
      </c>
      <c r="P205">
        <v>4</v>
      </c>
      <c r="Q205">
        <v>2180</v>
      </c>
      <c r="R205">
        <v>9</v>
      </c>
      <c r="S205">
        <v>3319</v>
      </c>
    </row>
    <row r="206" spans="13:19" x14ac:dyDescent="0.3">
      <c r="M206" t="str">
        <f>Data_Cleaned!B206</f>
        <v>Yes</v>
      </c>
      <c r="N206">
        <f>Data_Cleaned!S206</f>
        <v>6673</v>
      </c>
      <c r="P206">
        <v>2</v>
      </c>
      <c r="Q206">
        <v>2760</v>
      </c>
      <c r="R206">
        <v>24</v>
      </c>
      <c r="S206">
        <v>19202</v>
      </c>
    </row>
    <row r="207" spans="13:19" x14ac:dyDescent="0.3">
      <c r="M207" t="str">
        <f>Data_Cleaned!B207</f>
        <v>Yes</v>
      </c>
      <c r="N207">
        <f>Data_Cleaned!S207</f>
        <v>7639</v>
      </c>
      <c r="P207">
        <v>0</v>
      </c>
      <c r="Q207">
        <v>8564</v>
      </c>
      <c r="R207">
        <v>2</v>
      </c>
      <c r="S207">
        <v>13675</v>
      </c>
    </row>
    <row r="208" spans="13:19" x14ac:dyDescent="0.3">
      <c r="M208" t="str">
        <f>Data_Cleaned!B208</f>
        <v>No</v>
      </c>
      <c r="N208">
        <f>Data_Cleaned!S208</f>
        <v>2328</v>
      </c>
      <c r="P208">
        <v>1</v>
      </c>
      <c r="Q208">
        <v>8161</v>
      </c>
      <c r="R208">
        <v>2</v>
      </c>
      <c r="S208">
        <v>2911</v>
      </c>
    </row>
    <row r="209" spans="13:19" x14ac:dyDescent="0.3">
      <c r="M209" t="str">
        <f>Data_Cleaned!B209</f>
        <v>No</v>
      </c>
      <c r="N209">
        <f>Data_Cleaned!S209</f>
        <v>2153</v>
      </c>
      <c r="P209">
        <v>1</v>
      </c>
      <c r="Q209">
        <v>2437</v>
      </c>
      <c r="R209">
        <v>11</v>
      </c>
      <c r="S209">
        <v>5957</v>
      </c>
    </row>
    <row r="210" spans="13:19" x14ac:dyDescent="0.3">
      <c r="M210" t="str">
        <f>Data_Cleaned!B210</f>
        <v>No</v>
      </c>
      <c r="N210">
        <f>Data_Cleaned!S210</f>
        <v>4876</v>
      </c>
      <c r="P210">
        <v>1</v>
      </c>
      <c r="Q210">
        <v>2679</v>
      </c>
      <c r="R210">
        <v>3</v>
      </c>
      <c r="S210">
        <v>3920</v>
      </c>
    </row>
    <row r="211" spans="13:19" x14ac:dyDescent="0.3">
      <c r="M211" t="str">
        <f>Data_Cleaned!B211</f>
        <v>No</v>
      </c>
      <c r="N211">
        <f>Data_Cleaned!S211</f>
        <v>9396</v>
      </c>
      <c r="P211">
        <v>1</v>
      </c>
      <c r="Q211">
        <v>2398</v>
      </c>
      <c r="R211">
        <v>3</v>
      </c>
      <c r="S211">
        <v>6434</v>
      </c>
    </row>
    <row r="212" spans="13:19" x14ac:dyDescent="0.3">
      <c r="M212" t="str">
        <f>Data_Cleaned!B212</f>
        <v>Yes</v>
      </c>
      <c r="N212">
        <f>Data_Cleaned!S212</f>
        <v>10400</v>
      </c>
      <c r="P212">
        <v>5</v>
      </c>
      <c r="Q212">
        <v>2342</v>
      </c>
      <c r="R212">
        <v>19</v>
      </c>
      <c r="S212">
        <v>10938</v>
      </c>
    </row>
    <row r="213" spans="13:19" x14ac:dyDescent="0.3">
      <c r="M213" t="str">
        <f>Data_Cleaned!B213</f>
        <v>No</v>
      </c>
      <c r="N213">
        <f>Data_Cleaned!S213</f>
        <v>8474</v>
      </c>
      <c r="P213">
        <v>10</v>
      </c>
      <c r="Q213">
        <v>5813</v>
      </c>
      <c r="R213">
        <v>6</v>
      </c>
      <c r="S213">
        <v>2340</v>
      </c>
    </row>
    <row r="214" spans="13:19" x14ac:dyDescent="0.3">
      <c r="M214" t="str">
        <f>Data_Cleaned!B214</f>
        <v>No</v>
      </c>
      <c r="N214">
        <f>Data_Cleaned!S214</f>
        <v>9981</v>
      </c>
      <c r="P214">
        <v>7</v>
      </c>
      <c r="Q214">
        <v>5346</v>
      </c>
      <c r="R214">
        <v>3</v>
      </c>
      <c r="S214">
        <v>6545</v>
      </c>
    </row>
    <row r="215" spans="13:19" x14ac:dyDescent="0.3">
      <c r="M215" t="str">
        <f>Data_Cleaned!B215</f>
        <v>No</v>
      </c>
      <c r="N215">
        <f>Data_Cleaned!S215</f>
        <v>12490</v>
      </c>
      <c r="P215">
        <v>10</v>
      </c>
      <c r="Q215">
        <v>4213</v>
      </c>
      <c r="R215">
        <v>3</v>
      </c>
      <c r="S215">
        <v>6931</v>
      </c>
    </row>
    <row r="216" spans="13:19" x14ac:dyDescent="0.3">
      <c r="M216" t="str">
        <f>Data_Cleaned!B216</f>
        <v>Yes</v>
      </c>
      <c r="N216">
        <f>Data_Cleaned!S216</f>
        <v>2657</v>
      </c>
      <c r="P216">
        <v>5</v>
      </c>
      <c r="Q216">
        <v>2148</v>
      </c>
      <c r="R216">
        <v>4</v>
      </c>
      <c r="S216">
        <v>4898</v>
      </c>
    </row>
    <row r="217" spans="13:19" x14ac:dyDescent="0.3">
      <c r="M217" t="str">
        <f>Data_Cleaned!B217</f>
        <v>No</v>
      </c>
      <c r="N217">
        <f>Data_Cleaned!S217</f>
        <v>13591</v>
      </c>
      <c r="P217">
        <v>9</v>
      </c>
      <c r="Q217">
        <v>8926</v>
      </c>
      <c r="R217">
        <v>9</v>
      </c>
      <c r="S217">
        <v>2593</v>
      </c>
    </row>
    <row r="218" spans="13:19" x14ac:dyDescent="0.3">
      <c r="M218" t="str">
        <f>Data_Cleaned!B218</f>
        <v>Yes</v>
      </c>
      <c r="N218">
        <f>Data_Cleaned!S218</f>
        <v>6696</v>
      </c>
      <c r="P218">
        <v>1</v>
      </c>
      <c r="Q218">
        <v>2956</v>
      </c>
      <c r="R218">
        <v>21</v>
      </c>
      <c r="S218">
        <v>19436</v>
      </c>
    </row>
    <row r="219" spans="13:19" x14ac:dyDescent="0.3">
      <c r="M219" t="str">
        <f>Data_Cleaned!B219</f>
        <v>Yes</v>
      </c>
      <c r="N219">
        <f>Data_Cleaned!S219</f>
        <v>2058</v>
      </c>
      <c r="P219">
        <v>2</v>
      </c>
      <c r="Q219">
        <v>2335</v>
      </c>
      <c r="R219">
        <v>1</v>
      </c>
      <c r="S219">
        <v>2723</v>
      </c>
    </row>
    <row r="220" spans="13:19" x14ac:dyDescent="0.3">
      <c r="M220" t="str">
        <f>Data_Cleaned!B220</f>
        <v>No</v>
      </c>
      <c r="N220">
        <f>Data_Cleaned!S220</f>
        <v>8865</v>
      </c>
      <c r="P220">
        <v>2</v>
      </c>
      <c r="Q220">
        <v>9907</v>
      </c>
      <c r="R220">
        <v>5</v>
      </c>
      <c r="S220">
        <v>2794</v>
      </c>
    </row>
    <row r="221" spans="13:19" x14ac:dyDescent="0.3">
      <c r="M221" t="str">
        <f>Data_Cleaned!B221</f>
        <v>No</v>
      </c>
      <c r="N221">
        <f>Data_Cleaned!S221</f>
        <v>5940</v>
      </c>
      <c r="P221">
        <v>1</v>
      </c>
      <c r="Q221">
        <v>2439</v>
      </c>
      <c r="R221">
        <v>8</v>
      </c>
      <c r="S221">
        <v>5249</v>
      </c>
    </row>
    <row r="222" spans="13:19" x14ac:dyDescent="0.3">
      <c r="M222" t="str">
        <f>Data_Cleaned!B222</f>
        <v>No</v>
      </c>
      <c r="N222">
        <f>Data_Cleaned!S222</f>
        <v>5914</v>
      </c>
      <c r="P222">
        <v>8</v>
      </c>
      <c r="Q222">
        <v>7314</v>
      </c>
      <c r="R222">
        <v>6</v>
      </c>
      <c r="S222">
        <v>2176</v>
      </c>
    </row>
    <row r="223" spans="13:19" x14ac:dyDescent="0.3">
      <c r="M223" t="str">
        <f>Data_Cleaned!B223</f>
        <v>No</v>
      </c>
      <c r="N223">
        <f>Data_Cleaned!S223</f>
        <v>2622</v>
      </c>
      <c r="P223">
        <v>1</v>
      </c>
      <c r="Q223">
        <v>1081</v>
      </c>
      <c r="R223">
        <v>7</v>
      </c>
      <c r="S223">
        <v>16872</v>
      </c>
    </row>
    <row r="224" spans="13:19" x14ac:dyDescent="0.3">
      <c r="M224" t="str">
        <f>Data_Cleaned!B224</f>
        <v>No</v>
      </c>
      <c r="N224">
        <f>Data_Cleaned!S224</f>
        <v>12185</v>
      </c>
      <c r="P224">
        <v>1</v>
      </c>
      <c r="Q224">
        <v>2472</v>
      </c>
      <c r="R224">
        <v>0</v>
      </c>
      <c r="S224">
        <v>6644</v>
      </c>
    </row>
    <row r="225" spans="13:19" x14ac:dyDescent="0.3">
      <c r="M225" t="str">
        <f>Data_Cleaned!B225</f>
        <v>No</v>
      </c>
      <c r="N225">
        <f>Data_Cleaned!S225</f>
        <v>10609</v>
      </c>
      <c r="P225">
        <v>5</v>
      </c>
      <c r="Q225">
        <v>2307</v>
      </c>
      <c r="R225">
        <v>9</v>
      </c>
      <c r="S225">
        <v>5582</v>
      </c>
    </row>
    <row r="226" spans="13:19" x14ac:dyDescent="0.3">
      <c r="M226" t="str">
        <f>Data_Cleaned!B226</f>
        <v>No</v>
      </c>
      <c r="N226">
        <f>Data_Cleaned!S226</f>
        <v>4345</v>
      </c>
      <c r="P226">
        <v>4</v>
      </c>
      <c r="Q226">
        <v>2587</v>
      </c>
      <c r="R226">
        <v>6</v>
      </c>
      <c r="S226">
        <v>4000</v>
      </c>
    </row>
    <row r="227" spans="13:19" x14ac:dyDescent="0.3">
      <c r="M227" t="str">
        <f>Data_Cleaned!B227</f>
        <v>No</v>
      </c>
      <c r="N227">
        <f>Data_Cleaned!S227</f>
        <v>2177</v>
      </c>
      <c r="P227">
        <v>1</v>
      </c>
      <c r="Q227">
        <v>1091</v>
      </c>
      <c r="R227">
        <v>20</v>
      </c>
      <c r="S227">
        <v>13496</v>
      </c>
    </row>
    <row r="228" spans="13:19" x14ac:dyDescent="0.3">
      <c r="M228" t="str">
        <f>Data_Cleaned!B228</f>
        <v>No</v>
      </c>
      <c r="N228">
        <f>Data_Cleaned!S228</f>
        <v>2793</v>
      </c>
      <c r="P228">
        <v>2</v>
      </c>
      <c r="Q228">
        <v>9854</v>
      </c>
      <c r="R228">
        <v>15</v>
      </c>
      <c r="S228">
        <v>3210</v>
      </c>
    </row>
    <row r="229" spans="13:19" x14ac:dyDescent="0.3">
      <c r="M229" t="str">
        <f>Data_Cleaned!B229</f>
        <v>No</v>
      </c>
      <c r="N229">
        <f>Data_Cleaned!S229</f>
        <v>7918</v>
      </c>
      <c r="P229">
        <v>4</v>
      </c>
      <c r="Q229">
        <v>2432</v>
      </c>
      <c r="R229">
        <v>36</v>
      </c>
      <c r="S229">
        <v>19045</v>
      </c>
    </row>
    <row r="230" spans="13:19" x14ac:dyDescent="0.3">
      <c r="M230" t="str">
        <f>Data_Cleaned!B230</f>
        <v>No</v>
      </c>
      <c r="N230">
        <f>Data_Cleaned!S230</f>
        <v>8789</v>
      </c>
      <c r="P230">
        <v>1</v>
      </c>
      <c r="Q230">
        <v>2863</v>
      </c>
      <c r="R230">
        <v>5</v>
      </c>
      <c r="S230">
        <v>2070</v>
      </c>
    </row>
    <row r="231" spans="13:19" x14ac:dyDescent="0.3">
      <c r="M231" t="str">
        <f>Data_Cleaned!B231</f>
        <v>Yes</v>
      </c>
      <c r="N231">
        <f>Data_Cleaned!S231</f>
        <v>2389</v>
      </c>
      <c r="P231">
        <v>4</v>
      </c>
      <c r="Q231">
        <v>2367</v>
      </c>
      <c r="R231">
        <v>5</v>
      </c>
      <c r="S231">
        <v>6502</v>
      </c>
    </row>
    <row r="232" spans="13:19" x14ac:dyDescent="0.3">
      <c r="M232" t="str">
        <f>Data_Cleaned!B232</f>
        <v>No</v>
      </c>
      <c r="N232">
        <f>Data_Cleaned!S232</f>
        <v>2674</v>
      </c>
      <c r="P232">
        <v>10</v>
      </c>
      <c r="Q232">
        <v>5617</v>
      </c>
      <c r="R232">
        <v>3</v>
      </c>
      <c r="S232">
        <v>3230</v>
      </c>
    </row>
    <row r="233" spans="13:19" x14ac:dyDescent="0.3">
      <c r="M233" t="str">
        <f>Data_Cleaned!B233</f>
        <v>No</v>
      </c>
      <c r="N233">
        <f>Data_Cleaned!S233</f>
        <v>19232</v>
      </c>
      <c r="P233">
        <v>2</v>
      </c>
      <c r="Q233">
        <v>10448</v>
      </c>
      <c r="R233">
        <v>5</v>
      </c>
      <c r="S233">
        <v>13603</v>
      </c>
    </row>
    <row r="234" spans="13:19" x14ac:dyDescent="0.3">
      <c r="M234" t="str">
        <f>Data_Cleaned!B234</f>
        <v>No</v>
      </c>
      <c r="N234">
        <f>Data_Cleaned!S234</f>
        <v>2267</v>
      </c>
      <c r="P234">
        <v>1</v>
      </c>
      <c r="Q234">
        <v>1790</v>
      </c>
      <c r="R234">
        <v>7</v>
      </c>
      <c r="S234">
        <v>11996</v>
      </c>
    </row>
    <row r="235" spans="13:19" x14ac:dyDescent="0.3">
      <c r="M235" t="str">
        <f>Data_Cleaned!B235</f>
        <v>No</v>
      </c>
      <c r="N235">
        <f>Data_Cleaned!S235</f>
        <v>19517</v>
      </c>
      <c r="P235">
        <v>2</v>
      </c>
      <c r="Q235">
        <v>4787</v>
      </c>
      <c r="R235">
        <v>8</v>
      </c>
      <c r="S235">
        <v>5605</v>
      </c>
    </row>
    <row r="236" spans="13:19" x14ac:dyDescent="0.3">
      <c r="M236" t="str">
        <f>Data_Cleaned!B236</f>
        <v>Yes</v>
      </c>
      <c r="N236">
        <f>Data_Cleaned!S236</f>
        <v>2436</v>
      </c>
      <c r="P236">
        <v>10</v>
      </c>
      <c r="Q236">
        <v>2339</v>
      </c>
      <c r="R236">
        <v>6</v>
      </c>
      <c r="S236">
        <v>6397</v>
      </c>
    </row>
    <row r="237" spans="13:19" x14ac:dyDescent="0.3">
      <c r="M237" t="str">
        <f>Data_Cleaned!B237</f>
        <v>No</v>
      </c>
      <c r="N237">
        <f>Data_Cleaned!S237</f>
        <v>16064</v>
      </c>
      <c r="P237">
        <v>6</v>
      </c>
      <c r="Q237">
        <v>6728</v>
      </c>
      <c r="R237">
        <v>10</v>
      </c>
      <c r="S237">
        <v>19144</v>
      </c>
    </row>
    <row r="238" spans="13:19" x14ac:dyDescent="0.3">
      <c r="M238" t="str">
        <f>Data_Cleaned!B238</f>
        <v>Yes</v>
      </c>
      <c r="N238">
        <f>Data_Cleaned!S238</f>
        <v>2707</v>
      </c>
      <c r="P238">
        <v>3</v>
      </c>
      <c r="Q238">
        <v>10854</v>
      </c>
      <c r="R238">
        <v>5</v>
      </c>
      <c r="S238">
        <v>17584</v>
      </c>
    </row>
    <row r="239" spans="13:19" x14ac:dyDescent="0.3">
      <c r="M239" t="str">
        <f>Data_Cleaned!B239</f>
        <v>No</v>
      </c>
      <c r="N239">
        <f>Data_Cleaned!S239</f>
        <v>19068</v>
      </c>
      <c r="R239">
        <v>20</v>
      </c>
      <c r="S239">
        <v>4907</v>
      </c>
    </row>
    <row r="240" spans="13:19" x14ac:dyDescent="0.3">
      <c r="M240" t="str">
        <f>Data_Cleaned!B240</f>
        <v>No</v>
      </c>
      <c r="N240">
        <f>Data_Cleaned!S240</f>
        <v>3931</v>
      </c>
      <c r="R240">
        <v>10</v>
      </c>
      <c r="S240">
        <v>4554</v>
      </c>
    </row>
    <row r="241" spans="13:19" x14ac:dyDescent="0.3">
      <c r="M241" t="str">
        <f>Data_Cleaned!B241</f>
        <v>Yes</v>
      </c>
      <c r="N241">
        <f>Data_Cleaned!S241</f>
        <v>3730</v>
      </c>
      <c r="R241">
        <v>10</v>
      </c>
      <c r="S241">
        <v>5415</v>
      </c>
    </row>
    <row r="242" spans="13:19" x14ac:dyDescent="0.3">
      <c r="M242" t="str">
        <f>Data_Cleaned!B242</f>
        <v>No</v>
      </c>
      <c r="N242">
        <f>Data_Cleaned!S242</f>
        <v>2232</v>
      </c>
      <c r="R242">
        <v>5</v>
      </c>
      <c r="S242">
        <v>4741</v>
      </c>
    </row>
    <row r="243" spans="13:19" x14ac:dyDescent="0.3">
      <c r="M243" t="str">
        <f>Data_Cleaned!B243</f>
        <v>No</v>
      </c>
      <c r="N243">
        <f>Data_Cleaned!S243</f>
        <v>4465</v>
      </c>
      <c r="R243">
        <v>17</v>
      </c>
      <c r="S243">
        <v>2115</v>
      </c>
    </row>
    <row r="244" spans="13:19" x14ac:dyDescent="0.3">
      <c r="M244" t="str">
        <f>Data_Cleaned!B244</f>
        <v>No</v>
      </c>
      <c r="N244">
        <f>Data_Cleaned!S244</f>
        <v>3072</v>
      </c>
      <c r="R244">
        <v>2</v>
      </c>
      <c r="S244">
        <v>5745</v>
      </c>
    </row>
    <row r="245" spans="13:19" x14ac:dyDescent="0.3">
      <c r="M245" t="str">
        <f>Data_Cleaned!B245</f>
        <v>No</v>
      </c>
      <c r="N245">
        <f>Data_Cleaned!S245</f>
        <v>3319</v>
      </c>
      <c r="R245">
        <v>5</v>
      </c>
      <c r="S245">
        <v>3310</v>
      </c>
    </row>
    <row r="246" spans="13:19" x14ac:dyDescent="0.3">
      <c r="M246" t="str">
        <f>Data_Cleaned!B246</f>
        <v>No</v>
      </c>
      <c r="N246">
        <f>Data_Cleaned!S246</f>
        <v>19202</v>
      </c>
      <c r="R246">
        <v>3</v>
      </c>
      <c r="S246">
        <v>18665</v>
      </c>
    </row>
    <row r="247" spans="13:19" x14ac:dyDescent="0.3">
      <c r="M247" t="str">
        <f>Data_Cleaned!B247</f>
        <v>No</v>
      </c>
      <c r="N247">
        <f>Data_Cleaned!S247</f>
        <v>13675</v>
      </c>
      <c r="R247">
        <v>8</v>
      </c>
      <c r="S247">
        <v>4485</v>
      </c>
    </row>
    <row r="248" spans="13:19" x14ac:dyDescent="0.3">
      <c r="M248" t="str">
        <f>Data_Cleaned!B248</f>
        <v>No</v>
      </c>
      <c r="N248">
        <f>Data_Cleaned!S248</f>
        <v>2911</v>
      </c>
      <c r="R248">
        <v>2</v>
      </c>
      <c r="S248">
        <v>2789</v>
      </c>
    </row>
    <row r="249" spans="13:19" x14ac:dyDescent="0.3">
      <c r="M249" t="str">
        <f>Data_Cleaned!B249</f>
        <v>No</v>
      </c>
      <c r="N249">
        <f>Data_Cleaned!S249</f>
        <v>5957</v>
      </c>
      <c r="R249">
        <v>4</v>
      </c>
      <c r="S249">
        <v>2326</v>
      </c>
    </row>
    <row r="250" spans="13:19" x14ac:dyDescent="0.3">
      <c r="M250" t="str">
        <f>Data_Cleaned!B250</f>
        <v>No</v>
      </c>
      <c r="N250">
        <f>Data_Cleaned!S250</f>
        <v>3920</v>
      </c>
      <c r="R250">
        <v>20</v>
      </c>
      <c r="S250">
        <v>13525</v>
      </c>
    </row>
    <row r="251" spans="13:19" x14ac:dyDescent="0.3">
      <c r="M251" t="str">
        <f>Data_Cleaned!B251</f>
        <v>No</v>
      </c>
      <c r="N251">
        <f>Data_Cleaned!S251</f>
        <v>6434</v>
      </c>
      <c r="R251">
        <v>11</v>
      </c>
      <c r="S251">
        <v>8020</v>
      </c>
    </row>
    <row r="252" spans="13:19" x14ac:dyDescent="0.3">
      <c r="M252" t="str">
        <f>Data_Cleaned!B252</f>
        <v>Yes</v>
      </c>
      <c r="N252">
        <f>Data_Cleaned!S252</f>
        <v>10048</v>
      </c>
      <c r="R252">
        <v>1</v>
      </c>
      <c r="S252">
        <v>3688</v>
      </c>
    </row>
    <row r="253" spans="13:19" x14ac:dyDescent="0.3">
      <c r="M253" t="str">
        <f>Data_Cleaned!B253</f>
        <v>No</v>
      </c>
      <c r="N253">
        <f>Data_Cleaned!S253</f>
        <v>10938</v>
      </c>
      <c r="R253">
        <v>4</v>
      </c>
      <c r="S253">
        <v>5482</v>
      </c>
    </row>
    <row r="254" spans="13:19" x14ac:dyDescent="0.3">
      <c r="M254" t="str">
        <f>Data_Cleaned!B254</f>
        <v>No</v>
      </c>
      <c r="N254">
        <f>Data_Cleaned!S254</f>
        <v>2340</v>
      </c>
      <c r="R254">
        <v>22</v>
      </c>
      <c r="S254">
        <v>16015</v>
      </c>
    </row>
    <row r="255" spans="13:19" x14ac:dyDescent="0.3">
      <c r="M255" t="str">
        <f>Data_Cleaned!B255</f>
        <v>No</v>
      </c>
      <c r="N255">
        <f>Data_Cleaned!S255</f>
        <v>6545</v>
      </c>
      <c r="R255">
        <v>0</v>
      </c>
      <c r="S255">
        <v>1200</v>
      </c>
    </row>
    <row r="256" spans="13:19" x14ac:dyDescent="0.3">
      <c r="M256" t="str">
        <f>Data_Cleaned!B256</f>
        <v>No</v>
      </c>
      <c r="N256">
        <f>Data_Cleaned!S256</f>
        <v>6931</v>
      </c>
      <c r="R256">
        <v>8</v>
      </c>
      <c r="S256">
        <v>5661</v>
      </c>
    </row>
    <row r="257" spans="13:19" x14ac:dyDescent="0.3">
      <c r="M257" t="str">
        <f>Data_Cleaned!B257</f>
        <v>No</v>
      </c>
      <c r="N257">
        <f>Data_Cleaned!S257</f>
        <v>4898</v>
      </c>
      <c r="R257">
        <v>8</v>
      </c>
      <c r="S257">
        <v>6929</v>
      </c>
    </row>
    <row r="258" spans="13:19" x14ac:dyDescent="0.3">
      <c r="M258" t="str">
        <f>Data_Cleaned!B258</f>
        <v>No</v>
      </c>
      <c r="N258">
        <f>Data_Cleaned!S258</f>
        <v>2593</v>
      </c>
      <c r="R258">
        <v>18</v>
      </c>
      <c r="S258">
        <v>9613</v>
      </c>
    </row>
    <row r="259" spans="13:19" x14ac:dyDescent="0.3">
      <c r="M259" t="str">
        <f>Data_Cleaned!B259</f>
        <v>No</v>
      </c>
      <c r="N259">
        <f>Data_Cleaned!S259</f>
        <v>19436</v>
      </c>
      <c r="R259">
        <v>9</v>
      </c>
      <c r="S259">
        <v>5674</v>
      </c>
    </row>
    <row r="260" spans="13:19" x14ac:dyDescent="0.3">
      <c r="M260" t="str">
        <f>Data_Cleaned!B260</f>
        <v>No</v>
      </c>
      <c r="N260">
        <f>Data_Cleaned!S260</f>
        <v>2723</v>
      </c>
      <c r="R260">
        <v>13</v>
      </c>
      <c r="S260">
        <v>5484</v>
      </c>
    </row>
    <row r="261" spans="13:19" x14ac:dyDescent="0.3">
      <c r="M261" t="str">
        <f>Data_Cleaned!B261</f>
        <v>Yes</v>
      </c>
      <c r="N261">
        <f>Data_Cleaned!S261</f>
        <v>3479</v>
      </c>
      <c r="R261">
        <v>10</v>
      </c>
      <c r="S261">
        <v>12061</v>
      </c>
    </row>
    <row r="262" spans="13:19" x14ac:dyDescent="0.3">
      <c r="M262" t="str">
        <f>Data_Cleaned!B262</f>
        <v>No</v>
      </c>
      <c r="N262">
        <f>Data_Cleaned!S262</f>
        <v>2794</v>
      </c>
      <c r="R262">
        <v>5</v>
      </c>
      <c r="S262">
        <v>5660</v>
      </c>
    </row>
    <row r="263" spans="13:19" x14ac:dyDescent="0.3">
      <c r="M263" t="str">
        <f>Data_Cleaned!B263</f>
        <v>No</v>
      </c>
      <c r="N263">
        <f>Data_Cleaned!S263</f>
        <v>5249</v>
      </c>
      <c r="R263">
        <v>5</v>
      </c>
      <c r="S263">
        <v>4821</v>
      </c>
    </row>
    <row r="264" spans="13:19" x14ac:dyDescent="0.3">
      <c r="M264" t="str">
        <f>Data_Cleaned!B264</f>
        <v>No</v>
      </c>
      <c r="N264">
        <f>Data_Cleaned!S264</f>
        <v>2176</v>
      </c>
      <c r="R264">
        <v>2</v>
      </c>
      <c r="S264">
        <v>6410</v>
      </c>
    </row>
    <row r="265" spans="13:19" x14ac:dyDescent="0.3">
      <c r="M265" t="str">
        <f>Data_Cleaned!B265</f>
        <v>No</v>
      </c>
      <c r="N265">
        <f>Data_Cleaned!S265</f>
        <v>16872</v>
      </c>
      <c r="R265">
        <v>24</v>
      </c>
      <c r="S265">
        <v>5210</v>
      </c>
    </row>
    <row r="266" spans="13:19" x14ac:dyDescent="0.3">
      <c r="M266" t="str">
        <f>Data_Cleaned!B266</f>
        <v>Yes</v>
      </c>
      <c r="N266">
        <f>Data_Cleaned!S266</f>
        <v>3485</v>
      </c>
      <c r="R266">
        <v>2</v>
      </c>
      <c r="S266">
        <v>2695</v>
      </c>
    </row>
    <row r="267" spans="13:19" x14ac:dyDescent="0.3">
      <c r="M267" t="str">
        <f>Data_Cleaned!B267</f>
        <v>No</v>
      </c>
      <c r="N267">
        <f>Data_Cleaned!S267</f>
        <v>6644</v>
      </c>
      <c r="R267">
        <v>10</v>
      </c>
      <c r="S267">
        <v>11878</v>
      </c>
    </row>
    <row r="268" spans="13:19" x14ac:dyDescent="0.3">
      <c r="M268" t="str">
        <f>Data_Cleaned!B268</f>
        <v>No</v>
      </c>
      <c r="N268">
        <f>Data_Cleaned!S268</f>
        <v>5582</v>
      </c>
      <c r="R268">
        <v>21</v>
      </c>
      <c r="S268">
        <v>17068</v>
      </c>
    </row>
    <row r="269" spans="13:19" x14ac:dyDescent="0.3">
      <c r="M269" t="str">
        <f>Data_Cleaned!B269</f>
        <v>No</v>
      </c>
      <c r="N269">
        <f>Data_Cleaned!S269</f>
        <v>4000</v>
      </c>
      <c r="R269">
        <v>8</v>
      </c>
      <c r="S269">
        <v>2455</v>
      </c>
    </row>
    <row r="270" spans="13:19" x14ac:dyDescent="0.3">
      <c r="M270" t="str">
        <f>Data_Cleaned!B270</f>
        <v>No</v>
      </c>
      <c r="N270">
        <f>Data_Cleaned!S270</f>
        <v>13496</v>
      </c>
      <c r="R270">
        <v>7</v>
      </c>
      <c r="S270">
        <v>13964</v>
      </c>
    </row>
    <row r="271" spans="13:19" x14ac:dyDescent="0.3">
      <c r="M271" t="str">
        <f>Data_Cleaned!B271</f>
        <v>No</v>
      </c>
      <c r="N271">
        <f>Data_Cleaned!S271</f>
        <v>3210</v>
      </c>
      <c r="R271">
        <v>4</v>
      </c>
      <c r="S271">
        <v>2478</v>
      </c>
    </row>
    <row r="272" spans="13:19" x14ac:dyDescent="0.3">
      <c r="M272" t="str">
        <f>Data_Cleaned!B272</f>
        <v>No</v>
      </c>
      <c r="N272">
        <f>Data_Cleaned!S272</f>
        <v>19045</v>
      </c>
      <c r="R272">
        <v>13</v>
      </c>
      <c r="S272">
        <v>5228</v>
      </c>
    </row>
    <row r="273" spans="13:19" x14ac:dyDescent="0.3">
      <c r="M273" t="str">
        <f>Data_Cleaned!B273</f>
        <v>Yes</v>
      </c>
      <c r="N273">
        <f>Data_Cleaned!S273</f>
        <v>11849</v>
      </c>
      <c r="R273">
        <v>5</v>
      </c>
      <c r="S273">
        <v>4478</v>
      </c>
    </row>
    <row r="274" spans="13:19" x14ac:dyDescent="0.3">
      <c r="M274" t="str">
        <f>Data_Cleaned!B274</f>
        <v>No</v>
      </c>
      <c r="N274">
        <f>Data_Cleaned!S274</f>
        <v>2070</v>
      </c>
      <c r="R274">
        <v>7</v>
      </c>
      <c r="S274">
        <v>7547</v>
      </c>
    </row>
    <row r="275" spans="13:19" x14ac:dyDescent="0.3">
      <c r="M275" t="str">
        <f>Data_Cleaned!B275</f>
        <v>No</v>
      </c>
      <c r="N275">
        <f>Data_Cleaned!S275</f>
        <v>6502</v>
      </c>
      <c r="R275">
        <v>7</v>
      </c>
      <c r="S275">
        <v>5055</v>
      </c>
    </row>
    <row r="276" spans="13:19" x14ac:dyDescent="0.3">
      <c r="M276" t="str">
        <f>Data_Cleaned!B276</f>
        <v>No</v>
      </c>
      <c r="N276">
        <f>Data_Cleaned!S276</f>
        <v>3230</v>
      </c>
      <c r="R276">
        <v>10</v>
      </c>
      <c r="S276">
        <v>5775</v>
      </c>
    </row>
    <row r="277" spans="13:19" x14ac:dyDescent="0.3">
      <c r="M277" t="str">
        <f>Data_Cleaned!B277</f>
        <v>No</v>
      </c>
      <c r="N277">
        <f>Data_Cleaned!S277</f>
        <v>13603</v>
      </c>
      <c r="R277">
        <v>10</v>
      </c>
      <c r="S277">
        <v>8943</v>
      </c>
    </row>
    <row r="278" spans="13:19" x14ac:dyDescent="0.3">
      <c r="M278" t="str">
        <f>Data_Cleaned!B278</f>
        <v>No</v>
      </c>
      <c r="N278">
        <f>Data_Cleaned!S278</f>
        <v>11996</v>
      </c>
      <c r="R278">
        <v>21</v>
      </c>
      <c r="S278">
        <v>19272</v>
      </c>
    </row>
    <row r="279" spans="13:19" x14ac:dyDescent="0.3">
      <c r="M279" t="str">
        <f>Data_Cleaned!B279</f>
        <v>No</v>
      </c>
      <c r="N279">
        <f>Data_Cleaned!S279</f>
        <v>5605</v>
      </c>
      <c r="R279">
        <v>7</v>
      </c>
      <c r="S279">
        <v>4682</v>
      </c>
    </row>
    <row r="280" spans="13:19" x14ac:dyDescent="0.3">
      <c r="M280" t="str">
        <f>Data_Cleaned!B280</f>
        <v>No</v>
      </c>
      <c r="N280">
        <f>Data_Cleaned!S280</f>
        <v>6397</v>
      </c>
      <c r="R280">
        <v>3</v>
      </c>
      <c r="S280">
        <v>18300</v>
      </c>
    </row>
    <row r="281" spans="13:19" x14ac:dyDescent="0.3">
      <c r="M281" t="str">
        <f>Data_Cleaned!B281</f>
        <v>No</v>
      </c>
      <c r="N281">
        <f>Data_Cleaned!S281</f>
        <v>19144</v>
      </c>
      <c r="R281">
        <v>9</v>
      </c>
      <c r="S281">
        <v>5257</v>
      </c>
    </row>
    <row r="282" spans="13:19" x14ac:dyDescent="0.3">
      <c r="M282" t="str">
        <f>Data_Cleaned!B282</f>
        <v>No</v>
      </c>
      <c r="N282">
        <f>Data_Cleaned!S282</f>
        <v>17584</v>
      </c>
      <c r="R282">
        <v>5</v>
      </c>
      <c r="S282">
        <v>6349</v>
      </c>
    </row>
    <row r="283" spans="13:19" x14ac:dyDescent="0.3">
      <c r="M283" t="str">
        <f>Data_Cleaned!B283</f>
        <v>No</v>
      </c>
      <c r="N283">
        <f>Data_Cleaned!S283</f>
        <v>4907</v>
      </c>
      <c r="R283">
        <v>4</v>
      </c>
      <c r="S283">
        <v>4869</v>
      </c>
    </row>
    <row r="284" spans="13:19" x14ac:dyDescent="0.3">
      <c r="M284" t="str">
        <f>Data_Cleaned!B284</f>
        <v>No</v>
      </c>
      <c r="N284">
        <f>Data_Cleaned!S284</f>
        <v>4554</v>
      </c>
      <c r="R284">
        <v>1</v>
      </c>
      <c r="S284">
        <v>9985</v>
      </c>
    </row>
    <row r="285" spans="13:19" x14ac:dyDescent="0.3">
      <c r="M285" t="str">
        <f>Data_Cleaned!B285</f>
        <v>No</v>
      </c>
      <c r="N285">
        <f>Data_Cleaned!S285</f>
        <v>5415</v>
      </c>
      <c r="R285">
        <v>10</v>
      </c>
      <c r="S285">
        <v>3697</v>
      </c>
    </row>
    <row r="286" spans="13:19" x14ac:dyDescent="0.3">
      <c r="M286" t="str">
        <f>Data_Cleaned!B286</f>
        <v>No</v>
      </c>
      <c r="N286">
        <f>Data_Cleaned!S286</f>
        <v>4741</v>
      </c>
      <c r="R286">
        <v>4</v>
      </c>
      <c r="S286">
        <v>7457</v>
      </c>
    </row>
    <row r="287" spans="13:19" x14ac:dyDescent="0.3">
      <c r="M287" t="str">
        <f>Data_Cleaned!B287</f>
        <v>No</v>
      </c>
      <c r="N287">
        <f>Data_Cleaned!S287</f>
        <v>2115</v>
      </c>
      <c r="R287">
        <v>3</v>
      </c>
      <c r="S287">
        <v>3983</v>
      </c>
    </row>
    <row r="288" spans="13:19" x14ac:dyDescent="0.3">
      <c r="M288" t="str">
        <f>Data_Cleaned!B288</f>
        <v>Yes</v>
      </c>
      <c r="N288">
        <f>Data_Cleaned!S288</f>
        <v>3161</v>
      </c>
      <c r="R288">
        <v>10</v>
      </c>
      <c r="S288">
        <v>6118</v>
      </c>
    </row>
    <row r="289" spans="13:19" x14ac:dyDescent="0.3">
      <c r="M289" t="str">
        <f>Data_Cleaned!B289</f>
        <v>No</v>
      </c>
      <c r="N289">
        <f>Data_Cleaned!S289</f>
        <v>5745</v>
      </c>
      <c r="R289">
        <v>8</v>
      </c>
      <c r="S289">
        <v>6214</v>
      </c>
    </row>
    <row r="290" spans="13:19" x14ac:dyDescent="0.3">
      <c r="M290" t="str">
        <f>Data_Cleaned!B290</f>
        <v>Yes</v>
      </c>
      <c r="N290">
        <f>Data_Cleaned!S290</f>
        <v>2373</v>
      </c>
      <c r="R290">
        <v>6</v>
      </c>
      <c r="S290">
        <v>5343</v>
      </c>
    </row>
    <row r="291" spans="13:19" x14ac:dyDescent="0.3">
      <c r="M291" t="str">
        <f>Data_Cleaned!B291</f>
        <v>No</v>
      </c>
      <c r="N291">
        <f>Data_Cleaned!S291</f>
        <v>3310</v>
      </c>
      <c r="R291">
        <v>11</v>
      </c>
      <c r="S291">
        <v>11510</v>
      </c>
    </row>
    <row r="292" spans="13:19" x14ac:dyDescent="0.3">
      <c r="M292" t="str">
        <f>Data_Cleaned!B292</f>
        <v>No</v>
      </c>
      <c r="N292">
        <f>Data_Cleaned!S292</f>
        <v>18665</v>
      </c>
      <c r="R292">
        <v>11</v>
      </c>
      <c r="S292">
        <v>7143</v>
      </c>
    </row>
    <row r="293" spans="13:19" x14ac:dyDescent="0.3">
      <c r="M293" t="str">
        <f>Data_Cleaned!B293</f>
        <v>No</v>
      </c>
      <c r="N293">
        <f>Data_Cleaned!S293</f>
        <v>4485</v>
      </c>
      <c r="R293">
        <v>7</v>
      </c>
      <c r="S293">
        <v>8268</v>
      </c>
    </row>
    <row r="294" spans="13:19" x14ac:dyDescent="0.3">
      <c r="M294" t="str">
        <f>Data_Cleaned!B294</f>
        <v>No</v>
      </c>
      <c r="N294">
        <f>Data_Cleaned!S294</f>
        <v>2789</v>
      </c>
      <c r="R294">
        <v>16</v>
      </c>
      <c r="S294">
        <v>8095</v>
      </c>
    </row>
    <row r="295" spans="13:19" x14ac:dyDescent="0.3">
      <c r="M295" t="str">
        <f>Data_Cleaned!B295</f>
        <v>Yes</v>
      </c>
      <c r="N295">
        <f>Data_Cleaned!S295</f>
        <v>5828</v>
      </c>
      <c r="R295">
        <v>4</v>
      </c>
      <c r="S295">
        <v>2904</v>
      </c>
    </row>
    <row r="296" spans="13:19" x14ac:dyDescent="0.3">
      <c r="M296" t="str">
        <f>Data_Cleaned!B296</f>
        <v>No</v>
      </c>
      <c r="N296">
        <f>Data_Cleaned!S296</f>
        <v>2326</v>
      </c>
      <c r="R296">
        <v>5</v>
      </c>
      <c r="S296">
        <v>6032</v>
      </c>
    </row>
    <row r="297" spans="13:19" x14ac:dyDescent="0.3">
      <c r="M297" t="str">
        <f>Data_Cleaned!B297</f>
        <v>No</v>
      </c>
      <c r="N297">
        <f>Data_Cleaned!S297</f>
        <v>13525</v>
      </c>
      <c r="R297">
        <v>0</v>
      </c>
      <c r="S297">
        <v>2976</v>
      </c>
    </row>
    <row r="298" spans="13:19" x14ac:dyDescent="0.3">
      <c r="M298" t="str">
        <f>Data_Cleaned!B298</f>
        <v>Yes</v>
      </c>
      <c r="N298">
        <f>Data_Cleaned!S298</f>
        <v>1420</v>
      </c>
      <c r="R298">
        <v>1</v>
      </c>
      <c r="S298">
        <v>15992</v>
      </c>
    </row>
    <row r="299" spans="13:19" x14ac:dyDescent="0.3">
      <c r="M299" t="str">
        <f>Data_Cleaned!B299</f>
        <v>No</v>
      </c>
      <c r="N299">
        <f>Data_Cleaned!S299</f>
        <v>8020</v>
      </c>
      <c r="R299">
        <v>4</v>
      </c>
      <c r="S299">
        <v>4649</v>
      </c>
    </row>
    <row r="300" spans="13:19" x14ac:dyDescent="0.3">
      <c r="M300" t="str">
        <f>Data_Cleaned!B300</f>
        <v>No</v>
      </c>
      <c r="N300">
        <f>Data_Cleaned!S300</f>
        <v>3688</v>
      </c>
      <c r="R300">
        <v>3</v>
      </c>
      <c r="S300">
        <v>2696</v>
      </c>
    </row>
    <row r="301" spans="13:19" x14ac:dyDescent="0.3">
      <c r="M301" t="str">
        <f>Data_Cleaned!B301</f>
        <v>No</v>
      </c>
      <c r="N301">
        <f>Data_Cleaned!S301</f>
        <v>5482</v>
      </c>
      <c r="R301">
        <v>8</v>
      </c>
      <c r="S301">
        <v>2370</v>
      </c>
    </row>
    <row r="302" spans="13:19" x14ac:dyDescent="0.3">
      <c r="M302" t="str">
        <f>Data_Cleaned!B302</f>
        <v>No</v>
      </c>
      <c r="N302">
        <f>Data_Cleaned!S302</f>
        <v>16015</v>
      </c>
      <c r="R302">
        <v>0</v>
      </c>
      <c r="S302">
        <v>12504</v>
      </c>
    </row>
    <row r="303" spans="13:19" x14ac:dyDescent="0.3">
      <c r="M303" t="str">
        <f>Data_Cleaned!B303</f>
        <v>No</v>
      </c>
      <c r="N303">
        <f>Data_Cleaned!S303</f>
        <v>1200</v>
      </c>
      <c r="R303">
        <v>7</v>
      </c>
      <c r="S303">
        <v>5974</v>
      </c>
    </row>
    <row r="304" spans="13:19" x14ac:dyDescent="0.3">
      <c r="M304" t="str">
        <f>Data_Cleaned!B304</f>
        <v>No</v>
      </c>
      <c r="N304">
        <f>Data_Cleaned!S304</f>
        <v>5661</v>
      </c>
      <c r="R304">
        <v>2</v>
      </c>
      <c r="S304">
        <v>4736</v>
      </c>
    </row>
    <row r="305" spans="13:19" x14ac:dyDescent="0.3">
      <c r="M305" t="str">
        <f>Data_Cleaned!B305</f>
        <v>No</v>
      </c>
      <c r="N305">
        <f>Data_Cleaned!S305</f>
        <v>6929</v>
      </c>
      <c r="R305">
        <v>8</v>
      </c>
      <c r="S305">
        <v>5296</v>
      </c>
    </row>
    <row r="306" spans="13:19" x14ac:dyDescent="0.3">
      <c r="M306" t="str">
        <f>Data_Cleaned!B306</f>
        <v>No</v>
      </c>
      <c r="N306">
        <f>Data_Cleaned!S306</f>
        <v>9613</v>
      </c>
      <c r="R306">
        <v>1</v>
      </c>
      <c r="S306">
        <v>6781</v>
      </c>
    </row>
    <row r="307" spans="13:19" x14ac:dyDescent="0.3">
      <c r="M307" t="str">
        <f>Data_Cleaned!B307</f>
        <v>No</v>
      </c>
      <c r="N307">
        <f>Data_Cleaned!S307</f>
        <v>5674</v>
      </c>
      <c r="R307">
        <v>1</v>
      </c>
      <c r="S307">
        <v>6653</v>
      </c>
    </row>
    <row r="308" spans="13:19" x14ac:dyDescent="0.3">
      <c r="M308" t="str">
        <f>Data_Cleaned!B308</f>
        <v>No</v>
      </c>
      <c r="N308">
        <f>Data_Cleaned!S308</f>
        <v>5484</v>
      </c>
      <c r="R308">
        <v>13</v>
      </c>
      <c r="S308">
        <v>9699</v>
      </c>
    </row>
    <row r="309" spans="13:19" x14ac:dyDescent="0.3">
      <c r="M309" t="str">
        <f>Data_Cleaned!B309</f>
        <v>No</v>
      </c>
      <c r="N309">
        <f>Data_Cleaned!S309</f>
        <v>12061</v>
      </c>
      <c r="R309">
        <v>3</v>
      </c>
      <c r="S309">
        <v>6755</v>
      </c>
    </row>
    <row r="310" spans="13:19" x14ac:dyDescent="0.3">
      <c r="M310" t="str">
        <f>Data_Cleaned!B310</f>
        <v>No</v>
      </c>
      <c r="N310">
        <f>Data_Cleaned!S310</f>
        <v>5660</v>
      </c>
      <c r="R310">
        <v>7</v>
      </c>
      <c r="S310">
        <v>2213</v>
      </c>
    </row>
    <row r="311" spans="13:19" x14ac:dyDescent="0.3">
      <c r="M311" t="str">
        <f>Data_Cleaned!B311</f>
        <v>No</v>
      </c>
      <c r="N311">
        <f>Data_Cleaned!S311</f>
        <v>4821</v>
      </c>
      <c r="R311">
        <v>3</v>
      </c>
      <c r="S311">
        <v>2610</v>
      </c>
    </row>
    <row r="312" spans="13:19" x14ac:dyDescent="0.3">
      <c r="M312" t="str">
        <f>Data_Cleaned!B312</f>
        <v>No</v>
      </c>
      <c r="N312">
        <f>Data_Cleaned!S312</f>
        <v>6410</v>
      </c>
      <c r="R312">
        <v>5</v>
      </c>
      <c r="S312">
        <v>3452</v>
      </c>
    </row>
    <row r="313" spans="13:19" x14ac:dyDescent="0.3">
      <c r="M313" t="str">
        <f>Data_Cleaned!B313</f>
        <v>No</v>
      </c>
      <c r="N313">
        <f>Data_Cleaned!S313</f>
        <v>5210</v>
      </c>
      <c r="R313">
        <v>1</v>
      </c>
      <c r="S313">
        <v>5258</v>
      </c>
    </row>
    <row r="314" spans="13:19" x14ac:dyDescent="0.3">
      <c r="M314" t="str">
        <f>Data_Cleaned!B314</f>
        <v>No</v>
      </c>
      <c r="N314">
        <f>Data_Cleaned!S314</f>
        <v>2695</v>
      </c>
      <c r="R314">
        <v>4</v>
      </c>
      <c r="S314">
        <v>10496</v>
      </c>
    </row>
    <row r="315" spans="13:19" x14ac:dyDescent="0.3">
      <c r="M315" t="str">
        <f>Data_Cleaned!B315</f>
        <v>No</v>
      </c>
      <c r="N315">
        <f>Data_Cleaned!S315</f>
        <v>11878</v>
      </c>
      <c r="R315">
        <v>2</v>
      </c>
      <c r="S315">
        <v>2657</v>
      </c>
    </row>
    <row r="316" spans="13:19" x14ac:dyDescent="0.3">
      <c r="M316" t="str">
        <f>Data_Cleaned!B316</f>
        <v>No</v>
      </c>
      <c r="N316">
        <f>Data_Cleaned!S316</f>
        <v>17068</v>
      </c>
      <c r="R316">
        <v>3</v>
      </c>
      <c r="S316">
        <v>2201</v>
      </c>
    </row>
    <row r="317" spans="13:19" x14ac:dyDescent="0.3">
      <c r="M317" t="str">
        <f>Data_Cleaned!B317</f>
        <v>No</v>
      </c>
      <c r="N317">
        <f>Data_Cleaned!S317</f>
        <v>2455</v>
      </c>
      <c r="R317">
        <v>1</v>
      </c>
      <c r="S317">
        <v>6540</v>
      </c>
    </row>
    <row r="318" spans="13:19" x14ac:dyDescent="0.3">
      <c r="M318" t="str">
        <f>Data_Cleaned!B318</f>
        <v>No</v>
      </c>
      <c r="N318">
        <f>Data_Cleaned!S318</f>
        <v>13964</v>
      </c>
      <c r="R318">
        <v>5</v>
      </c>
      <c r="S318">
        <v>3816</v>
      </c>
    </row>
    <row r="319" spans="13:19" x14ac:dyDescent="0.3">
      <c r="M319" t="str">
        <f>Data_Cleaned!B319</f>
        <v>Yes</v>
      </c>
      <c r="N319">
        <f>Data_Cleaned!S319</f>
        <v>4941</v>
      </c>
      <c r="R319">
        <v>7</v>
      </c>
      <c r="S319">
        <v>5253</v>
      </c>
    </row>
    <row r="320" spans="13:19" x14ac:dyDescent="0.3">
      <c r="M320" t="str">
        <f>Data_Cleaned!B320</f>
        <v>No</v>
      </c>
      <c r="N320">
        <f>Data_Cleaned!S320</f>
        <v>2478</v>
      </c>
      <c r="R320">
        <v>5</v>
      </c>
      <c r="S320">
        <v>10965</v>
      </c>
    </row>
    <row r="321" spans="13:19" x14ac:dyDescent="0.3">
      <c r="M321" t="str">
        <f>Data_Cleaned!B321</f>
        <v>No</v>
      </c>
      <c r="N321">
        <f>Data_Cleaned!S321</f>
        <v>5228</v>
      </c>
      <c r="R321">
        <v>7</v>
      </c>
      <c r="S321">
        <v>4936</v>
      </c>
    </row>
    <row r="322" spans="13:19" x14ac:dyDescent="0.3">
      <c r="M322" t="str">
        <f>Data_Cleaned!B322</f>
        <v>No</v>
      </c>
      <c r="N322">
        <f>Data_Cleaned!S322</f>
        <v>4478</v>
      </c>
      <c r="R322">
        <v>2</v>
      </c>
      <c r="S322">
        <v>2543</v>
      </c>
    </row>
    <row r="323" spans="13:19" x14ac:dyDescent="0.3">
      <c r="M323" t="str">
        <f>Data_Cleaned!B323</f>
        <v>No</v>
      </c>
      <c r="N323">
        <f>Data_Cleaned!S323</f>
        <v>7547</v>
      </c>
      <c r="R323">
        <v>5</v>
      </c>
      <c r="S323">
        <v>16659</v>
      </c>
    </row>
    <row r="324" spans="13:19" x14ac:dyDescent="0.3">
      <c r="M324" t="str">
        <f>Data_Cleaned!B324</f>
        <v>No</v>
      </c>
      <c r="N324">
        <f>Data_Cleaned!S324</f>
        <v>5055</v>
      </c>
      <c r="R324">
        <v>5</v>
      </c>
      <c r="S324">
        <v>4260</v>
      </c>
    </row>
    <row r="325" spans="13:19" x14ac:dyDescent="0.3">
      <c r="M325" t="str">
        <f>Data_Cleaned!B325</f>
        <v>Yes</v>
      </c>
      <c r="N325">
        <f>Data_Cleaned!S325</f>
        <v>3464</v>
      </c>
      <c r="R325">
        <v>1</v>
      </c>
      <c r="S325">
        <v>2476</v>
      </c>
    </row>
    <row r="326" spans="13:19" x14ac:dyDescent="0.3">
      <c r="M326" t="str">
        <f>Data_Cleaned!B326</f>
        <v>No</v>
      </c>
      <c r="N326">
        <f>Data_Cleaned!S326</f>
        <v>5775</v>
      </c>
      <c r="R326">
        <v>2</v>
      </c>
      <c r="S326">
        <v>2244</v>
      </c>
    </row>
    <row r="327" spans="13:19" x14ac:dyDescent="0.3">
      <c r="M327" t="str">
        <f>Data_Cleaned!B327</f>
        <v>No</v>
      </c>
      <c r="N327">
        <f>Data_Cleaned!S327</f>
        <v>8943</v>
      </c>
      <c r="R327">
        <v>10</v>
      </c>
      <c r="S327">
        <v>7596</v>
      </c>
    </row>
    <row r="328" spans="13:19" x14ac:dyDescent="0.3">
      <c r="M328" t="str">
        <f>Data_Cleaned!B328</f>
        <v>No</v>
      </c>
      <c r="N328">
        <f>Data_Cleaned!S328</f>
        <v>19272</v>
      </c>
      <c r="R328">
        <v>18</v>
      </c>
      <c r="S328">
        <v>3034</v>
      </c>
    </row>
    <row r="329" spans="13:19" x14ac:dyDescent="0.3">
      <c r="M329" t="str">
        <f>Data_Cleaned!B329</f>
        <v>Yes</v>
      </c>
      <c r="N329">
        <f>Data_Cleaned!S329</f>
        <v>5238</v>
      </c>
      <c r="R329">
        <v>5</v>
      </c>
      <c r="S329">
        <v>5715</v>
      </c>
    </row>
    <row r="330" spans="13:19" x14ac:dyDescent="0.3">
      <c r="M330" t="str">
        <f>Data_Cleaned!B330</f>
        <v>No</v>
      </c>
      <c r="N330">
        <f>Data_Cleaned!S330</f>
        <v>4682</v>
      </c>
      <c r="R330">
        <v>5</v>
      </c>
      <c r="S330">
        <v>2576</v>
      </c>
    </row>
    <row r="331" spans="13:19" x14ac:dyDescent="0.3">
      <c r="M331" t="str">
        <f>Data_Cleaned!B331</f>
        <v>No</v>
      </c>
      <c r="N331">
        <f>Data_Cleaned!S331</f>
        <v>18300</v>
      </c>
      <c r="R331">
        <v>1</v>
      </c>
      <c r="S331">
        <v>4197</v>
      </c>
    </row>
    <row r="332" spans="13:19" x14ac:dyDescent="0.3">
      <c r="M332" t="str">
        <f>Data_Cleaned!B332</f>
        <v>No</v>
      </c>
      <c r="N332">
        <f>Data_Cleaned!S332</f>
        <v>5257</v>
      </c>
      <c r="R332">
        <v>25</v>
      </c>
      <c r="S332">
        <v>14336</v>
      </c>
    </row>
    <row r="333" spans="13:19" x14ac:dyDescent="0.3">
      <c r="M333" t="str">
        <f>Data_Cleaned!B333</f>
        <v>No</v>
      </c>
      <c r="N333">
        <f>Data_Cleaned!S333</f>
        <v>6349</v>
      </c>
      <c r="R333">
        <v>1</v>
      </c>
      <c r="S333">
        <v>3448</v>
      </c>
    </row>
    <row r="334" spans="13:19" x14ac:dyDescent="0.3">
      <c r="M334" t="str">
        <f>Data_Cleaned!B334</f>
        <v>No</v>
      </c>
      <c r="N334">
        <f>Data_Cleaned!S334</f>
        <v>4869</v>
      </c>
      <c r="R334">
        <v>4</v>
      </c>
      <c r="S334">
        <v>19406</v>
      </c>
    </row>
    <row r="335" spans="13:19" x14ac:dyDescent="0.3">
      <c r="M335" t="str">
        <f>Data_Cleaned!B335</f>
        <v>No</v>
      </c>
      <c r="N335">
        <f>Data_Cleaned!S335</f>
        <v>9985</v>
      </c>
      <c r="R335">
        <v>3</v>
      </c>
      <c r="S335">
        <v>6538</v>
      </c>
    </row>
    <row r="336" spans="13:19" x14ac:dyDescent="0.3">
      <c r="M336" t="str">
        <f>Data_Cleaned!B336</f>
        <v>No</v>
      </c>
      <c r="N336">
        <f>Data_Cleaned!S336</f>
        <v>3697</v>
      </c>
      <c r="R336">
        <v>13</v>
      </c>
      <c r="S336">
        <v>4306</v>
      </c>
    </row>
    <row r="337" spans="13:19" x14ac:dyDescent="0.3">
      <c r="M337" t="str">
        <f>Data_Cleaned!B337</f>
        <v>No</v>
      </c>
      <c r="N337">
        <f>Data_Cleaned!S337</f>
        <v>7457</v>
      </c>
      <c r="R337">
        <v>3</v>
      </c>
      <c r="S337">
        <v>2258</v>
      </c>
    </row>
    <row r="338" spans="13:19" x14ac:dyDescent="0.3">
      <c r="M338" t="str">
        <f>Data_Cleaned!B338</f>
        <v>Yes</v>
      </c>
      <c r="N338">
        <f>Data_Cleaned!S338</f>
        <v>2119</v>
      </c>
      <c r="R338">
        <v>5</v>
      </c>
      <c r="S338">
        <v>4522</v>
      </c>
    </row>
    <row r="339" spans="13:19" x14ac:dyDescent="0.3">
      <c r="M339" t="str">
        <f>Data_Cleaned!B339</f>
        <v>No</v>
      </c>
      <c r="N339">
        <f>Data_Cleaned!S339</f>
        <v>3983</v>
      </c>
      <c r="R339">
        <v>5</v>
      </c>
      <c r="S339">
        <v>4487</v>
      </c>
    </row>
    <row r="340" spans="13:19" x14ac:dyDescent="0.3">
      <c r="M340" t="str">
        <f>Data_Cleaned!B340</f>
        <v>No</v>
      </c>
      <c r="N340">
        <f>Data_Cleaned!S340</f>
        <v>6118</v>
      </c>
      <c r="R340">
        <v>13</v>
      </c>
      <c r="S340">
        <v>4449</v>
      </c>
    </row>
    <row r="341" spans="13:19" x14ac:dyDescent="0.3">
      <c r="M341" t="str">
        <f>Data_Cleaned!B341</f>
        <v>No</v>
      </c>
      <c r="N341">
        <f>Data_Cleaned!S341</f>
        <v>6214</v>
      </c>
      <c r="R341">
        <v>4</v>
      </c>
      <c r="S341">
        <v>2218</v>
      </c>
    </row>
    <row r="342" spans="13:19" x14ac:dyDescent="0.3">
      <c r="M342" t="str">
        <f>Data_Cleaned!B342</f>
        <v>No</v>
      </c>
      <c r="N342">
        <f>Data_Cleaned!S342</f>
        <v>5343</v>
      </c>
      <c r="R342">
        <v>21</v>
      </c>
      <c r="S342">
        <v>19197</v>
      </c>
    </row>
    <row r="343" spans="13:19" x14ac:dyDescent="0.3">
      <c r="M343" t="str">
        <f>Data_Cleaned!B343</f>
        <v>No</v>
      </c>
      <c r="N343">
        <f>Data_Cleaned!S343</f>
        <v>11510</v>
      </c>
      <c r="R343">
        <v>7</v>
      </c>
      <c r="S343">
        <v>13212</v>
      </c>
    </row>
    <row r="344" spans="13:19" x14ac:dyDescent="0.3">
      <c r="M344" t="str">
        <f>Data_Cleaned!B344</f>
        <v>No</v>
      </c>
      <c r="N344">
        <f>Data_Cleaned!S344</f>
        <v>7143</v>
      </c>
      <c r="R344">
        <v>5</v>
      </c>
      <c r="S344">
        <v>6577</v>
      </c>
    </row>
    <row r="345" spans="13:19" x14ac:dyDescent="0.3">
      <c r="M345" t="str">
        <f>Data_Cleaned!B345</f>
        <v>No</v>
      </c>
      <c r="N345">
        <f>Data_Cleaned!S345</f>
        <v>8268</v>
      </c>
      <c r="R345">
        <v>10</v>
      </c>
      <c r="S345">
        <v>8392</v>
      </c>
    </row>
    <row r="346" spans="13:19" x14ac:dyDescent="0.3">
      <c r="M346" t="str">
        <f>Data_Cleaned!B346</f>
        <v>No</v>
      </c>
      <c r="N346">
        <f>Data_Cleaned!S346</f>
        <v>8095</v>
      </c>
      <c r="R346">
        <v>10</v>
      </c>
      <c r="S346">
        <v>4558</v>
      </c>
    </row>
    <row r="347" spans="13:19" x14ac:dyDescent="0.3">
      <c r="M347" t="str">
        <f>Data_Cleaned!B347</f>
        <v>No</v>
      </c>
      <c r="N347">
        <f>Data_Cleaned!S347</f>
        <v>2904</v>
      </c>
      <c r="R347">
        <v>5</v>
      </c>
      <c r="S347">
        <v>7969</v>
      </c>
    </row>
    <row r="348" spans="13:19" x14ac:dyDescent="0.3">
      <c r="M348" t="str">
        <f>Data_Cleaned!B348</f>
        <v>No</v>
      </c>
      <c r="N348">
        <f>Data_Cleaned!S348</f>
        <v>6032</v>
      </c>
      <c r="R348">
        <v>2</v>
      </c>
      <c r="S348">
        <v>2654</v>
      </c>
    </row>
    <row r="349" spans="13:19" x14ac:dyDescent="0.3">
      <c r="M349" t="str">
        <f>Data_Cleaned!B349</f>
        <v>No</v>
      </c>
      <c r="N349">
        <f>Data_Cleaned!S349</f>
        <v>2976</v>
      </c>
      <c r="R349">
        <v>5</v>
      </c>
      <c r="S349">
        <v>16555</v>
      </c>
    </row>
    <row r="350" spans="13:19" x14ac:dyDescent="0.3">
      <c r="M350" t="str">
        <f>Data_Cleaned!B350</f>
        <v>No</v>
      </c>
      <c r="N350">
        <f>Data_Cleaned!S350</f>
        <v>15992</v>
      </c>
      <c r="R350">
        <v>5</v>
      </c>
      <c r="S350">
        <v>4556</v>
      </c>
    </row>
    <row r="351" spans="13:19" x14ac:dyDescent="0.3">
      <c r="M351" t="str">
        <f>Data_Cleaned!B351</f>
        <v>No</v>
      </c>
      <c r="N351">
        <f>Data_Cleaned!S351</f>
        <v>4649</v>
      </c>
      <c r="R351">
        <v>5</v>
      </c>
      <c r="S351">
        <v>6091</v>
      </c>
    </row>
    <row r="352" spans="13:19" x14ac:dyDescent="0.3">
      <c r="M352" t="str">
        <f>Data_Cleaned!B352</f>
        <v>No</v>
      </c>
      <c r="N352">
        <f>Data_Cleaned!S352</f>
        <v>2696</v>
      </c>
      <c r="R352">
        <v>29</v>
      </c>
      <c r="S352">
        <v>19566</v>
      </c>
    </row>
    <row r="353" spans="13:19" x14ac:dyDescent="0.3">
      <c r="M353" t="str">
        <f>Data_Cleaned!B353</f>
        <v>No</v>
      </c>
      <c r="N353">
        <f>Data_Cleaned!S353</f>
        <v>2370</v>
      </c>
      <c r="R353">
        <v>10</v>
      </c>
      <c r="S353">
        <v>4810</v>
      </c>
    </row>
    <row r="354" spans="13:19" x14ac:dyDescent="0.3">
      <c r="M354" t="str">
        <f>Data_Cleaned!B354</f>
        <v>No</v>
      </c>
      <c r="N354">
        <f>Data_Cleaned!S354</f>
        <v>12504</v>
      </c>
      <c r="R354">
        <v>6</v>
      </c>
      <c r="S354">
        <v>4523</v>
      </c>
    </row>
    <row r="355" spans="13:19" x14ac:dyDescent="0.3">
      <c r="M355" t="str">
        <f>Data_Cleaned!B355</f>
        <v>No</v>
      </c>
      <c r="N355">
        <f>Data_Cleaned!S355</f>
        <v>5974</v>
      </c>
      <c r="R355">
        <v>1</v>
      </c>
      <c r="S355">
        <v>1702</v>
      </c>
    </row>
    <row r="356" spans="13:19" x14ac:dyDescent="0.3">
      <c r="M356" t="str">
        <f>Data_Cleaned!B356</f>
        <v>No</v>
      </c>
      <c r="N356">
        <f>Data_Cleaned!S356</f>
        <v>4736</v>
      </c>
      <c r="R356">
        <v>20</v>
      </c>
      <c r="S356">
        <v>18041</v>
      </c>
    </row>
    <row r="357" spans="13:19" x14ac:dyDescent="0.3">
      <c r="M357" t="str">
        <f>Data_Cleaned!B357</f>
        <v>No</v>
      </c>
      <c r="N357">
        <f>Data_Cleaned!S357</f>
        <v>5296</v>
      </c>
      <c r="R357">
        <v>3</v>
      </c>
      <c r="S357">
        <v>2886</v>
      </c>
    </row>
    <row r="358" spans="13:19" x14ac:dyDescent="0.3">
      <c r="M358" t="str">
        <f>Data_Cleaned!B358</f>
        <v>No</v>
      </c>
      <c r="N358">
        <f>Data_Cleaned!S358</f>
        <v>6781</v>
      </c>
      <c r="R358">
        <v>5</v>
      </c>
      <c r="S358">
        <v>2097</v>
      </c>
    </row>
    <row r="359" spans="13:19" x14ac:dyDescent="0.3">
      <c r="M359" t="str">
        <f>Data_Cleaned!B359</f>
        <v>Yes</v>
      </c>
      <c r="N359">
        <f>Data_Cleaned!S359</f>
        <v>2174</v>
      </c>
      <c r="R359">
        <v>10</v>
      </c>
      <c r="S359">
        <v>11935</v>
      </c>
    </row>
    <row r="360" spans="13:19" x14ac:dyDescent="0.3">
      <c r="M360" t="str">
        <f>Data_Cleaned!B360</f>
        <v>No</v>
      </c>
      <c r="N360">
        <f>Data_Cleaned!S360</f>
        <v>6653</v>
      </c>
      <c r="R360">
        <v>9</v>
      </c>
      <c r="S360">
        <v>8412</v>
      </c>
    </row>
    <row r="361" spans="13:19" x14ac:dyDescent="0.3">
      <c r="M361" t="str">
        <f>Data_Cleaned!B361</f>
        <v>No</v>
      </c>
      <c r="N361">
        <f>Data_Cleaned!S361</f>
        <v>9699</v>
      </c>
      <c r="R361">
        <v>1</v>
      </c>
      <c r="S361">
        <v>14118</v>
      </c>
    </row>
    <row r="362" spans="13:19" x14ac:dyDescent="0.3">
      <c r="M362" t="str">
        <f>Data_Cleaned!B362</f>
        <v>No</v>
      </c>
      <c r="N362">
        <f>Data_Cleaned!S362</f>
        <v>6755</v>
      </c>
      <c r="R362">
        <v>27</v>
      </c>
      <c r="S362">
        <v>17046</v>
      </c>
    </row>
    <row r="363" spans="13:19" x14ac:dyDescent="0.3">
      <c r="M363" t="str">
        <f>Data_Cleaned!B363</f>
        <v>No</v>
      </c>
      <c r="N363">
        <f>Data_Cleaned!S363</f>
        <v>2213</v>
      </c>
      <c r="R363">
        <v>11</v>
      </c>
      <c r="S363">
        <v>2564</v>
      </c>
    </row>
    <row r="364" spans="13:19" x14ac:dyDescent="0.3">
      <c r="M364" t="str">
        <f>Data_Cleaned!B364</f>
        <v>No</v>
      </c>
      <c r="N364">
        <f>Data_Cleaned!S364</f>
        <v>2610</v>
      </c>
      <c r="R364">
        <v>18</v>
      </c>
      <c r="S364">
        <v>10266</v>
      </c>
    </row>
    <row r="365" spans="13:19" x14ac:dyDescent="0.3">
      <c r="M365" t="str">
        <f>Data_Cleaned!B365</f>
        <v>Yes</v>
      </c>
      <c r="N365">
        <f>Data_Cleaned!S365</f>
        <v>2851</v>
      </c>
      <c r="R365">
        <v>5</v>
      </c>
      <c r="S365">
        <v>5070</v>
      </c>
    </row>
    <row r="366" spans="13:19" x14ac:dyDescent="0.3">
      <c r="M366" t="str">
        <f>Data_Cleaned!B366</f>
        <v>No</v>
      </c>
      <c r="N366">
        <f>Data_Cleaned!S366</f>
        <v>3452</v>
      </c>
      <c r="R366">
        <v>3</v>
      </c>
      <c r="S366">
        <v>17861</v>
      </c>
    </row>
    <row r="367" spans="13:19" x14ac:dyDescent="0.3">
      <c r="M367" t="str">
        <f>Data_Cleaned!B367</f>
        <v>No</v>
      </c>
      <c r="N367">
        <f>Data_Cleaned!S367</f>
        <v>5258</v>
      </c>
      <c r="R367">
        <v>5</v>
      </c>
      <c r="S367">
        <v>4230</v>
      </c>
    </row>
    <row r="368" spans="13:19" x14ac:dyDescent="0.3">
      <c r="M368" t="str">
        <f>Data_Cleaned!B368</f>
        <v>Yes</v>
      </c>
      <c r="N368">
        <f>Data_Cleaned!S368</f>
        <v>9355</v>
      </c>
      <c r="R368">
        <v>1</v>
      </c>
      <c r="S368">
        <v>3780</v>
      </c>
    </row>
    <row r="369" spans="13:19" x14ac:dyDescent="0.3">
      <c r="M369" t="str">
        <f>Data_Cleaned!B369</f>
        <v>No</v>
      </c>
      <c r="N369">
        <f>Data_Cleaned!S369</f>
        <v>10496</v>
      </c>
      <c r="R369">
        <v>7</v>
      </c>
      <c r="S369">
        <v>2768</v>
      </c>
    </row>
    <row r="370" spans="13:19" x14ac:dyDescent="0.3">
      <c r="M370" t="str">
        <f>Data_Cleaned!B370</f>
        <v>Yes</v>
      </c>
      <c r="N370">
        <f>Data_Cleaned!S370</f>
        <v>6380</v>
      </c>
      <c r="R370">
        <v>3</v>
      </c>
      <c r="S370">
        <v>9071</v>
      </c>
    </row>
    <row r="371" spans="13:19" x14ac:dyDescent="0.3">
      <c r="M371" t="str">
        <f>Data_Cleaned!B371</f>
        <v>No</v>
      </c>
      <c r="N371">
        <f>Data_Cleaned!S371</f>
        <v>2657</v>
      </c>
      <c r="R371">
        <v>13</v>
      </c>
      <c r="S371">
        <v>10648</v>
      </c>
    </row>
    <row r="372" spans="13:19" x14ac:dyDescent="0.3">
      <c r="M372" t="str">
        <f>Data_Cleaned!B372</f>
        <v>Yes</v>
      </c>
      <c r="N372">
        <f>Data_Cleaned!S372</f>
        <v>2716</v>
      </c>
      <c r="R372">
        <v>3</v>
      </c>
      <c r="S372">
        <v>2983</v>
      </c>
    </row>
    <row r="373" spans="13:19" x14ac:dyDescent="0.3">
      <c r="M373" t="str">
        <f>Data_Cleaned!B373</f>
        <v>No</v>
      </c>
      <c r="N373">
        <f>Data_Cleaned!S373</f>
        <v>2201</v>
      </c>
      <c r="R373">
        <v>8</v>
      </c>
      <c r="S373">
        <v>7632</v>
      </c>
    </row>
    <row r="374" spans="13:19" x14ac:dyDescent="0.3">
      <c r="M374" t="str">
        <f>Data_Cleaned!B374</f>
        <v>No</v>
      </c>
      <c r="N374">
        <f>Data_Cleaned!S374</f>
        <v>6540</v>
      </c>
      <c r="R374">
        <v>2</v>
      </c>
      <c r="S374">
        <v>2093</v>
      </c>
    </row>
    <row r="375" spans="13:19" x14ac:dyDescent="0.3">
      <c r="M375" t="str">
        <f>Data_Cleaned!B375</f>
        <v>No</v>
      </c>
      <c r="N375">
        <f>Data_Cleaned!S375</f>
        <v>3816</v>
      </c>
      <c r="R375">
        <v>10</v>
      </c>
      <c r="S375">
        <v>9980</v>
      </c>
    </row>
    <row r="376" spans="13:19" x14ac:dyDescent="0.3">
      <c r="M376" t="str">
        <f>Data_Cleaned!B376</f>
        <v>No</v>
      </c>
      <c r="N376">
        <f>Data_Cleaned!S376</f>
        <v>5253</v>
      </c>
      <c r="R376">
        <v>9</v>
      </c>
      <c r="S376">
        <v>4051</v>
      </c>
    </row>
    <row r="377" spans="13:19" x14ac:dyDescent="0.3">
      <c r="M377" t="str">
        <f>Data_Cleaned!B377</f>
        <v>No</v>
      </c>
      <c r="N377">
        <f>Data_Cleaned!S377</f>
        <v>10965</v>
      </c>
      <c r="R377">
        <v>10</v>
      </c>
      <c r="S377">
        <v>16835</v>
      </c>
    </row>
    <row r="378" spans="13:19" x14ac:dyDescent="0.3">
      <c r="M378" t="str">
        <f>Data_Cleaned!B378</f>
        <v>No</v>
      </c>
      <c r="N378">
        <f>Data_Cleaned!S378</f>
        <v>4936</v>
      </c>
      <c r="R378">
        <v>14</v>
      </c>
      <c r="S378">
        <v>6230</v>
      </c>
    </row>
    <row r="379" spans="13:19" x14ac:dyDescent="0.3">
      <c r="M379" t="str">
        <f>Data_Cleaned!B379</f>
        <v>No</v>
      </c>
      <c r="N379">
        <f>Data_Cleaned!S379</f>
        <v>2543</v>
      </c>
      <c r="R379">
        <v>11</v>
      </c>
      <c r="S379">
        <v>4717</v>
      </c>
    </row>
    <row r="380" spans="13:19" x14ac:dyDescent="0.3">
      <c r="M380" t="str">
        <f>Data_Cleaned!B380</f>
        <v>Yes</v>
      </c>
      <c r="N380">
        <f>Data_Cleaned!S380</f>
        <v>5304</v>
      </c>
      <c r="R380">
        <v>20</v>
      </c>
      <c r="S380">
        <v>13237</v>
      </c>
    </row>
    <row r="381" spans="13:19" x14ac:dyDescent="0.3">
      <c r="M381" t="str">
        <f>Data_Cleaned!B381</f>
        <v>No</v>
      </c>
      <c r="N381">
        <f>Data_Cleaned!S381</f>
        <v>16659</v>
      </c>
      <c r="R381">
        <v>8</v>
      </c>
      <c r="S381">
        <v>3755</v>
      </c>
    </row>
    <row r="382" spans="13:19" x14ac:dyDescent="0.3">
      <c r="M382" t="str">
        <f>Data_Cleaned!B382</f>
        <v>No</v>
      </c>
      <c r="N382">
        <f>Data_Cleaned!S382</f>
        <v>4260</v>
      </c>
      <c r="R382">
        <v>6</v>
      </c>
      <c r="S382">
        <v>5343</v>
      </c>
    </row>
    <row r="383" spans="13:19" x14ac:dyDescent="0.3">
      <c r="M383" t="str">
        <f>Data_Cleaned!B383</f>
        <v>No</v>
      </c>
      <c r="N383">
        <f>Data_Cleaned!S383</f>
        <v>2476</v>
      </c>
      <c r="R383">
        <v>10</v>
      </c>
      <c r="S383">
        <v>7406</v>
      </c>
    </row>
    <row r="384" spans="13:19" x14ac:dyDescent="0.3">
      <c r="M384" t="str">
        <f>Data_Cleaned!B384</f>
        <v>Yes</v>
      </c>
      <c r="N384">
        <f>Data_Cleaned!S384</f>
        <v>3102</v>
      </c>
      <c r="R384">
        <v>8</v>
      </c>
      <c r="S384">
        <v>4805</v>
      </c>
    </row>
    <row r="385" spans="13:19" x14ac:dyDescent="0.3">
      <c r="M385" t="str">
        <f>Data_Cleaned!B385</f>
        <v>No</v>
      </c>
      <c r="N385">
        <f>Data_Cleaned!S385</f>
        <v>2244</v>
      </c>
      <c r="R385">
        <v>3</v>
      </c>
      <c r="S385">
        <v>4262</v>
      </c>
    </row>
    <row r="386" spans="13:19" x14ac:dyDescent="0.3">
      <c r="M386" t="str">
        <f>Data_Cleaned!B386</f>
        <v>No</v>
      </c>
      <c r="N386">
        <f>Data_Cleaned!S386</f>
        <v>7596</v>
      </c>
      <c r="R386">
        <v>6</v>
      </c>
      <c r="S386">
        <v>16184</v>
      </c>
    </row>
    <row r="387" spans="13:19" x14ac:dyDescent="0.3">
      <c r="M387" t="str">
        <f>Data_Cleaned!B387</f>
        <v>Yes</v>
      </c>
      <c r="N387">
        <f>Data_Cleaned!S387</f>
        <v>2285</v>
      </c>
      <c r="R387">
        <v>5</v>
      </c>
      <c r="S387">
        <v>11557</v>
      </c>
    </row>
    <row r="388" spans="13:19" x14ac:dyDescent="0.3">
      <c r="M388" t="str">
        <f>Data_Cleaned!B388</f>
        <v>No</v>
      </c>
      <c r="N388">
        <f>Data_Cleaned!S388</f>
        <v>3034</v>
      </c>
      <c r="R388">
        <v>1</v>
      </c>
      <c r="S388">
        <v>10932</v>
      </c>
    </row>
    <row r="389" spans="13:19" x14ac:dyDescent="0.3">
      <c r="M389" t="str">
        <f>Data_Cleaned!B389</f>
        <v>No</v>
      </c>
      <c r="N389">
        <f>Data_Cleaned!S389</f>
        <v>5715</v>
      </c>
      <c r="R389">
        <v>8</v>
      </c>
      <c r="S389">
        <v>6811</v>
      </c>
    </row>
    <row r="390" spans="13:19" x14ac:dyDescent="0.3">
      <c r="M390" t="str">
        <f>Data_Cleaned!B390</f>
        <v>No</v>
      </c>
      <c r="N390">
        <f>Data_Cleaned!S390</f>
        <v>2576</v>
      </c>
      <c r="R390">
        <v>0</v>
      </c>
      <c r="S390">
        <v>4306</v>
      </c>
    </row>
    <row r="391" spans="13:19" x14ac:dyDescent="0.3">
      <c r="M391" t="str">
        <f>Data_Cleaned!B391</f>
        <v>No</v>
      </c>
      <c r="N391">
        <f>Data_Cleaned!S391</f>
        <v>4197</v>
      </c>
      <c r="R391">
        <v>5</v>
      </c>
      <c r="S391">
        <v>4859</v>
      </c>
    </row>
    <row r="392" spans="13:19" x14ac:dyDescent="0.3">
      <c r="M392" t="str">
        <f>Data_Cleaned!B392</f>
        <v>No</v>
      </c>
      <c r="N392">
        <f>Data_Cleaned!S392</f>
        <v>14336</v>
      </c>
      <c r="R392">
        <v>10</v>
      </c>
      <c r="S392">
        <v>5337</v>
      </c>
    </row>
    <row r="393" spans="13:19" x14ac:dyDescent="0.3">
      <c r="M393" t="str">
        <f>Data_Cleaned!B393</f>
        <v>No</v>
      </c>
      <c r="N393">
        <f>Data_Cleaned!S393</f>
        <v>3448</v>
      </c>
      <c r="R393">
        <v>6</v>
      </c>
      <c r="S393">
        <v>7491</v>
      </c>
    </row>
    <row r="394" spans="13:19" x14ac:dyDescent="0.3">
      <c r="M394" t="str">
        <f>Data_Cleaned!B394</f>
        <v>No</v>
      </c>
      <c r="N394">
        <f>Data_Cleaned!S394</f>
        <v>19406</v>
      </c>
      <c r="R394">
        <v>2</v>
      </c>
      <c r="S394">
        <v>10527</v>
      </c>
    </row>
    <row r="395" spans="13:19" x14ac:dyDescent="0.3">
      <c r="M395" t="str">
        <f>Data_Cleaned!B395</f>
        <v>No</v>
      </c>
      <c r="N395">
        <f>Data_Cleaned!S395</f>
        <v>6538</v>
      </c>
      <c r="R395">
        <v>18</v>
      </c>
      <c r="S395">
        <v>16595</v>
      </c>
    </row>
    <row r="396" spans="13:19" x14ac:dyDescent="0.3">
      <c r="M396" t="str">
        <f>Data_Cleaned!B396</f>
        <v>No</v>
      </c>
      <c r="N396">
        <f>Data_Cleaned!S396</f>
        <v>4306</v>
      </c>
      <c r="R396">
        <v>9</v>
      </c>
      <c r="S396">
        <v>8834</v>
      </c>
    </row>
    <row r="397" spans="13:19" x14ac:dyDescent="0.3">
      <c r="M397" t="str">
        <f>Data_Cleaned!B397</f>
        <v>No</v>
      </c>
      <c r="N397">
        <f>Data_Cleaned!S397</f>
        <v>2258</v>
      </c>
      <c r="R397">
        <v>10</v>
      </c>
      <c r="S397">
        <v>5577</v>
      </c>
    </row>
    <row r="398" spans="13:19" x14ac:dyDescent="0.3">
      <c r="M398" t="str">
        <f>Data_Cleaned!B398</f>
        <v>No</v>
      </c>
      <c r="N398">
        <f>Data_Cleaned!S398</f>
        <v>4522</v>
      </c>
      <c r="R398">
        <v>2</v>
      </c>
      <c r="S398">
        <v>2400</v>
      </c>
    </row>
    <row r="399" spans="13:19" x14ac:dyDescent="0.3">
      <c r="M399" t="str">
        <f>Data_Cleaned!B399</f>
        <v>No</v>
      </c>
      <c r="N399">
        <f>Data_Cleaned!S399</f>
        <v>4487</v>
      </c>
      <c r="R399">
        <v>1</v>
      </c>
      <c r="S399">
        <v>9824</v>
      </c>
    </row>
    <row r="400" spans="13:19" x14ac:dyDescent="0.3">
      <c r="M400" t="str">
        <f>Data_Cleaned!B400</f>
        <v>No</v>
      </c>
      <c r="N400">
        <f>Data_Cleaned!S400</f>
        <v>4449</v>
      </c>
      <c r="R400">
        <v>6</v>
      </c>
      <c r="S400">
        <v>6447</v>
      </c>
    </row>
    <row r="401" spans="13:19" x14ac:dyDescent="0.3">
      <c r="M401" t="str">
        <f>Data_Cleaned!B401</f>
        <v>No</v>
      </c>
      <c r="N401">
        <f>Data_Cleaned!S401</f>
        <v>2218</v>
      </c>
      <c r="R401">
        <v>31</v>
      </c>
      <c r="S401">
        <v>19502</v>
      </c>
    </row>
    <row r="402" spans="13:19" x14ac:dyDescent="0.3">
      <c r="M402" t="str">
        <f>Data_Cleaned!B402</f>
        <v>No</v>
      </c>
      <c r="N402">
        <f>Data_Cleaned!S402</f>
        <v>19197</v>
      </c>
      <c r="R402">
        <v>6</v>
      </c>
      <c r="S402">
        <v>2725</v>
      </c>
    </row>
    <row r="403" spans="13:19" x14ac:dyDescent="0.3">
      <c r="M403" t="str">
        <f>Data_Cleaned!B403</f>
        <v>No</v>
      </c>
      <c r="N403">
        <f>Data_Cleaned!S403</f>
        <v>13212</v>
      </c>
      <c r="R403">
        <v>5</v>
      </c>
      <c r="S403">
        <v>6272</v>
      </c>
    </row>
    <row r="404" spans="13:19" x14ac:dyDescent="0.3">
      <c r="M404" t="str">
        <f>Data_Cleaned!B404</f>
        <v>No</v>
      </c>
      <c r="N404">
        <f>Data_Cleaned!S404</f>
        <v>6577</v>
      </c>
      <c r="R404">
        <v>1</v>
      </c>
      <c r="S404">
        <v>2127</v>
      </c>
    </row>
    <row r="405" spans="13:19" x14ac:dyDescent="0.3">
      <c r="M405" t="str">
        <f>Data_Cleaned!B405</f>
        <v>No</v>
      </c>
      <c r="N405">
        <f>Data_Cleaned!S405</f>
        <v>8392</v>
      </c>
      <c r="R405">
        <v>32</v>
      </c>
      <c r="S405">
        <v>18200</v>
      </c>
    </row>
    <row r="406" spans="13:19" x14ac:dyDescent="0.3">
      <c r="M406" t="str">
        <f>Data_Cleaned!B406</f>
        <v>No</v>
      </c>
      <c r="N406">
        <f>Data_Cleaned!S406</f>
        <v>4558</v>
      </c>
      <c r="R406">
        <v>7</v>
      </c>
      <c r="S406">
        <v>2096</v>
      </c>
    </row>
    <row r="407" spans="13:19" x14ac:dyDescent="0.3">
      <c r="M407" t="str">
        <f>Data_Cleaned!B407</f>
        <v>Yes</v>
      </c>
      <c r="N407">
        <f>Data_Cleaned!S407</f>
        <v>4031</v>
      </c>
      <c r="R407">
        <v>6</v>
      </c>
      <c r="S407">
        <v>3622</v>
      </c>
    </row>
    <row r="408" spans="13:19" x14ac:dyDescent="0.3">
      <c r="M408" t="str">
        <f>Data_Cleaned!B408</f>
        <v>No</v>
      </c>
      <c r="N408">
        <f>Data_Cleaned!S408</f>
        <v>7969</v>
      </c>
      <c r="R408">
        <v>3</v>
      </c>
      <c r="S408">
        <v>3681</v>
      </c>
    </row>
    <row r="409" spans="13:19" x14ac:dyDescent="0.3">
      <c r="M409" t="str">
        <f>Data_Cleaned!B409</f>
        <v>No</v>
      </c>
      <c r="N409">
        <f>Data_Cleaned!S409</f>
        <v>2654</v>
      </c>
      <c r="R409">
        <v>7</v>
      </c>
      <c r="S409">
        <v>5460</v>
      </c>
    </row>
    <row r="410" spans="13:19" x14ac:dyDescent="0.3">
      <c r="M410" t="str">
        <f>Data_Cleaned!B410</f>
        <v>No</v>
      </c>
      <c r="N410">
        <f>Data_Cleaned!S410</f>
        <v>16555</v>
      </c>
      <c r="R410">
        <v>5</v>
      </c>
      <c r="S410">
        <v>2187</v>
      </c>
    </row>
    <row r="411" spans="13:19" x14ac:dyDescent="0.3">
      <c r="M411" t="str">
        <f>Data_Cleaned!B411</f>
        <v>No</v>
      </c>
      <c r="N411">
        <f>Data_Cleaned!S411</f>
        <v>4556</v>
      </c>
      <c r="R411">
        <v>3</v>
      </c>
      <c r="S411">
        <v>9602</v>
      </c>
    </row>
    <row r="412" spans="13:19" x14ac:dyDescent="0.3">
      <c r="M412" t="str">
        <f>Data_Cleaned!B412</f>
        <v>No</v>
      </c>
      <c r="N412">
        <f>Data_Cleaned!S412</f>
        <v>6091</v>
      </c>
      <c r="R412">
        <v>1</v>
      </c>
      <c r="S412">
        <v>2836</v>
      </c>
    </row>
    <row r="413" spans="13:19" x14ac:dyDescent="0.3">
      <c r="M413" t="str">
        <f>Data_Cleaned!B413</f>
        <v>No</v>
      </c>
      <c r="N413">
        <f>Data_Cleaned!S413</f>
        <v>19566</v>
      </c>
      <c r="R413">
        <v>10</v>
      </c>
      <c r="S413">
        <v>4089</v>
      </c>
    </row>
    <row r="414" spans="13:19" x14ac:dyDescent="0.3">
      <c r="M414" t="str">
        <f>Data_Cleaned!B414</f>
        <v>No</v>
      </c>
      <c r="N414">
        <f>Data_Cleaned!S414</f>
        <v>4810</v>
      </c>
      <c r="R414">
        <v>1</v>
      </c>
      <c r="S414">
        <v>16627</v>
      </c>
    </row>
    <row r="415" spans="13:19" x14ac:dyDescent="0.3">
      <c r="M415" t="str">
        <f>Data_Cleaned!B415</f>
        <v>No</v>
      </c>
      <c r="N415">
        <f>Data_Cleaned!S415</f>
        <v>4523</v>
      </c>
      <c r="R415">
        <v>0</v>
      </c>
      <c r="S415">
        <v>2619</v>
      </c>
    </row>
    <row r="416" spans="13:19" x14ac:dyDescent="0.3">
      <c r="M416" t="str">
        <f>Data_Cleaned!B416</f>
        <v>Yes</v>
      </c>
      <c r="N416">
        <f>Data_Cleaned!S416</f>
        <v>3202</v>
      </c>
      <c r="R416">
        <v>8</v>
      </c>
      <c r="S416">
        <v>5679</v>
      </c>
    </row>
    <row r="417" spans="13:19" x14ac:dyDescent="0.3">
      <c r="M417" t="str">
        <f>Data_Cleaned!B417</f>
        <v>Yes</v>
      </c>
      <c r="N417">
        <f>Data_Cleaned!S417</f>
        <v>2351</v>
      </c>
      <c r="R417">
        <v>3</v>
      </c>
      <c r="S417">
        <v>15402</v>
      </c>
    </row>
    <row r="418" spans="13:19" x14ac:dyDescent="0.3">
      <c r="M418" t="str">
        <f>Data_Cleaned!B418</f>
        <v>No</v>
      </c>
      <c r="N418">
        <f>Data_Cleaned!S418</f>
        <v>1702</v>
      </c>
      <c r="R418">
        <v>2</v>
      </c>
      <c r="S418">
        <v>5985</v>
      </c>
    </row>
    <row r="419" spans="13:19" x14ac:dyDescent="0.3">
      <c r="M419" t="str">
        <f>Data_Cleaned!B419</f>
        <v>No</v>
      </c>
      <c r="N419">
        <f>Data_Cleaned!S419</f>
        <v>18041</v>
      </c>
      <c r="R419">
        <v>8</v>
      </c>
      <c r="S419">
        <v>2579</v>
      </c>
    </row>
    <row r="420" spans="13:19" x14ac:dyDescent="0.3">
      <c r="M420" t="str">
        <f>Data_Cleaned!B420</f>
        <v>No</v>
      </c>
      <c r="N420">
        <f>Data_Cleaned!S420</f>
        <v>2886</v>
      </c>
      <c r="R420">
        <v>3</v>
      </c>
      <c r="S420">
        <v>3447</v>
      </c>
    </row>
    <row r="421" spans="13:19" x14ac:dyDescent="0.3">
      <c r="M421" t="str">
        <f>Data_Cleaned!B421</f>
        <v>No</v>
      </c>
      <c r="N421">
        <f>Data_Cleaned!S421</f>
        <v>2097</v>
      </c>
      <c r="R421">
        <v>2</v>
      </c>
      <c r="S421">
        <v>19513</v>
      </c>
    </row>
    <row r="422" spans="13:19" x14ac:dyDescent="0.3">
      <c r="M422" t="str">
        <f>Data_Cleaned!B422</f>
        <v>No</v>
      </c>
      <c r="N422">
        <f>Data_Cleaned!S422</f>
        <v>11935</v>
      </c>
      <c r="R422">
        <v>2</v>
      </c>
      <c r="S422">
        <v>2773</v>
      </c>
    </row>
    <row r="423" spans="13:19" x14ac:dyDescent="0.3">
      <c r="M423" t="str">
        <f>Data_Cleaned!B423</f>
        <v>Yes</v>
      </c>
      <c r="N423">
        <f>Data_Cleaned!S423</f>
        <v>2546</v>
      </c>
      <c r="R423">
        <v>5</v>
      </c>
      <c r="S423">
        <v>7104</v>
      </c>
    </row>
    <row r="424" spans="13:19" x14ac:dyDescent="0.3">
      <c r="M424" t="str">
        <f>Data_Cleaned!B424</f>
        <v>Yes</v>
      </c>
      <c r="N424">
        <f>Data_Cleaned!S424</f>
        <v>2564</v>
      </c>
      <c r="R424">
        <v>6</v>
      </c>
      <c r="S424">
        <v>6322</v>
      </c>
    </row>
    <row r="425" spans="13:19" x14ac:dyDescent="0.3">
      <c r="M425" t="str">
        <f>Data_Cleaned!B425</f>
        <v>No</v>
      </c>
      <c r="N425">
        <f>Data_Cleaned!S425</f>
        <v>8412</v>
      </c>
      <c r="R425">
        <v>1</v>
      </c>
      <c r="S425">
        <v>2083</v>
      </c>
    </row>
    <row r="426" spans="13:19" x14ac:dyDescent="0.3">
      <c r="M426" t="str">
        <f>Data_Cleaned!B426</f>
        <v>No</v>
      </c>
      <c r="N426">
        <f>Data_Cleaned!S426</f>
        <v>14118</v>
      </c>
      <c r="R426">
        <v>14</v>
      </c>
      <c r="S426">
        <v>8381</v>
      </c>
    </row>
    <row r="427" spans="13:19" x14ac:dyDescent="0.3">
      <c r="M427" t="str">
        <f>Data_Cleaned!B427</f>
        <v>No</v>
      </c>
      <c r="N427">
        <f>Data_Cleaned!S427</f>
        <v>17046</v>
      </c>
      <c r="R427">
        <v>10</v>
      </c>
      <c r="S427">
        <v>2691</v>
      </c>
    </row>
    <row r="428" spans="13:19" x14ac:dyDescent="0.3">
      <c r="M428" t="str">
        <f>Data_Cleaned!B428</f>
        <v>No</v>
      </c>
      <c r="N428">
        <f>Data_Cleaned!S428</f>
        <v>2564</v>
      </c>
      <c r="R428">
        <v>3</v>
      </c>
      <c r="S428">
        <v>2659</v>
      </c>
    </row>
    <row r="429" spans="13:19" x14ac:dyDescent="0.3">
      <c r="M429" t="str">
        <f>Data_Cleaned!B429</f>
        <v>No</v>
      </c>
      <c r="N429">
        <f>Data_Cleaned!S429</f>
        <v>10266</v>
      </c>
      <c r="R429">
        <v>10</v>
      </c>
      <c r="S429">
        <v>9434</v>
      </c>
    </row>
    <row r="430" spans="13:19" x14ac:dyDescent="0.3">
      <c r="M430" t="str">
        <f>Data_Cleaned!B430</f>
        <v>No</v>
      </c>
      <c r="N430">
        <f>Data_Cleaned!S430</f>
        <v>5070</v>
      </c>
      <c r="R430">
        <v>6</v>
      </c>
      <c r="S430">
        <v>5561</v>
      </c>
    </row>
    <row r="431" spans="13:19" x14ac:dyDescent="0.3">
      <c r="M431" t="str">
        <f>Data_Cleaned!B431</f>
        <v>No</v>
      </c>
      <c r="N431">
        <f>Data_Cleaned!S431</f>
        <v>17861</v>
      </c>
      <c r="R431">
        <v>17</v>
      </c>
      <c r="S431">
        <v>6646</v>
      </c>
    </row>
    <row r="432" spans="13:19" x14ac:dyDescent="0.3">
      <c r="M432" t="str">
        <f>Data_Cleaned!B432</f>
        <v>No</v>
      </c>
      <c r="N432">
        <f>Data_Cleaned!S432</f>
        <v>4230</v>
      </c>
      <c r="R432">
        <v>13</v>
      </c>
      <c r="S432">
        <v>7725</v>
      </c>
    </row>
    <row r="433" spans="13:19" x14ac:dyDescent="0.3">
      <c r="M433" t="str">
        <f>Data_Cleaned!B433</f>
        <v>No</v>
      </c>
      <c r="N433">
        <f>Data_Cleaned!S433</f>
        <v>3780</v>
      </c>
      <c r="R433">
        <v>9</v>
      </c>
      <c r="S433">
        <v>10725</v>
      </c>
    </row>
    <row r="434" spans="13:19" x14ac:dyDescent="0.3">
      <c r="M434" t="str">
        <f>Data_Cleaned!B434</f>
        <v>No</v>
      </c>
      <c r="N434">
        <f>Data_Cleaned!S434</f>
        <v>2768</v>
      </c>
      <c r="R434">
        <v>3</v>
      </c>
      <c r="S434">
        <v>8847</v>
      </c>
    </row>
    <row r="435" spans="13:19" x14ac:dyDescent="0.3">
      <c r="M435" t="str">
        <f>Data_Cleaned!B435</f>
        <v>No</v>
      </c>
      <c r="N435">
        <f>Data_Cleaned!S435</f>
        <v>9071</v>
      </c>
      <c r="R435">
        <v>4</v>
      </c>
      <c r="S435">
        <v>2045</v>
      </c>
    </row>
    <row r="436" spans="13:19" x14ac:dyDescent="0.3">
      <c r="M436" t="str">
        <f>Data_Cleaned!B436</f>
        <v>No</v>
      </c>
      <c r="N436">
        <f>Data_Cleaned!S436</f>
        <v>10648</v>
      </c>
      <c r="R436">
        <v>1</v>
      </c>
      <c r="S436">
        <v>1281</v>
      </c>
    </row>
    <row r="437" spans="13:19" x14ac:dyDescent="0.3">
      <c r="M437" t="str">
        <f>Data_Cleaned!B437</f>
        <v>Yes</v>
      </c>
      <c r="N437">
        <f>Data_Cleaned!S437</f>
        <v>13610</v>
      </c>
      <c r="R437">
        <v>3</v>
      </c>
      <c r="S437">
        <v>2819</v>
      </c>
    </row>
    <row r="438" spans="13:19" x14ac:dyDescent="0.3">
      <c r="M438" t="str">
        <f>Data_Cleaned!B438</f>
        <v>Yes</v>
      </c>
      <c r="N438">
        <f>Data_Cleaned!S438</f>
        <v>3408</v>
      </c>
      <c r="R438">
        <v>3</v>
      </c>
      <c r="S438">
        <v>4851</v>
      </c>
    </row>
    <row r="439" spans="13:19" x14ac:dyDescent="0.3">
      <c r="M439" t="str">
        <f>Data_Cleaned!B439</f>
        <v>No</v>
      </c>
      <c r="N439">
        <f>Data_Cleaned!S439</f>
        <v>2983</v>
      </c>
      <c r="R439">
        <v>7</v>
      </c>
      <c r="S439">
        <v>4028</v>
      </c>
    </row>
    <row r="440" spans="13:19" x14ac:dyDescent="0.3">
      <c r="M440" t="str">
        <f>Data_Cleaned!B440</f>
        <v>No</v>
      </c>
      <c r="N440">
        <f>Data_Cleaned!S440</f>
        <v>7632</v>
      </c>
      <c r="R440">
        <v>10</v>
      </c>
      <c r="S440">
        <v>2720</v>
      </c>
    </row>
    <row r="441" spans="13:19" x14ac:dyDescent="0.3">
      <c r="M441" t="str">
        <f>Data_Cleaned!B441</f>
        <v>Yes</v>
      </c>
      <c r="N441">
        <f>Data_Cleaned!S441</f>
        <v>9824</v>
      </c>
      <c r="R441">
        <v>2</v>
      </c>
      <c r="S441">
        <v>8120</v>
      </c>
    </row>
    <row r="442" spans="13:19" x14ac:dyDescent="0.3">
      <c r="M442" t="str">
        <f>Data_Cleaned!B442</f>
        <v>Yes</v>
      </c>
      <c r="N442">
        <f>Data_Cleaned!S442</f>
        <v>9950</v>
      </c>
      <c r="R442">
        <v>6</v>
      </c>
      <c r="S442">
        <v>4647</v>
      </c>
    </row>
    <row r="443" spans="13:19" x14ac:dyDescent="0.3">
      <c r="M443" t="str">
        <f>Data_Cleaned!B443</f>
        <v>No</v>
      </c>
      <c r="N443">
        <f>Data_Cleaned!S443</f>
        <v>2093</v>
      </c>
      <c r="R443">
        <v>1</v>
      </c>
      <c r="S443">
        <v>4680</v>
      </c>
    </row>
    <row r="444" spans="13:19" x14ac:dyDescent="0.3">
      <c r="M444" t="str">
        <f>Data_Cleaned!B444</f>
        <v>No</v>
      </c>
      <c r="N444">
        <f>Data_Cleaned!S444</f>
        <v>9980</v>
      </c>
      <c r="R444">
        <v>20</v>
      </c>
      <c r="S444">
        <v>3221</v>
      </c>
    </row>
    <row r="445" spans="13:19" x14ac:dyDescent="0.3">
      <c r="M445" t="str">
        <f>Data_Cleaned!B445</f>
        <v>Yes</v>
      </c>
      <c r="N445">
        <f>Data_Cleaned!S445</f>
        <v>3894</v>
      </c>
      <c r="R445">
        <v>8</v>
      </c>
      <c r="S445">
        <v>8621</v>
      </c>
    </row>
    <row r="446" spans="13:19" x14ac:dyDescent="0.3">
      <c r="M446" t="str">
        <f>Data_Cleaned!B446</f>
        <v>No</v>
      </c>
      <c r="N446">
        <f>Data_Cleaned!S446</f>
        <v>4051</v>
      </c>
      <c r="R446">
        <v>20</v>
      </c>
      <c r="S446">
        <v>4553</v>
      </c>
    </row>
    <row r="447" spans="13:19" x14ac:dyDescent="0.3">
      <c r="M447" t="str">
        <f>Data_Cleaned!B447</f>
        <v>No</v>
      </c>
      <c r="N447">
        <f>Data_Cleaned!S447</f>
        <v>16835</v>
      </c>
      <c r="R447">
        <v>10</v>
      </c>
      <c r="S447">
        <v>5396</v>
      </c>
    </row>
    <row r="448" spans="13:19" x14ac:dyDescent="0.3">
      <c r="M448" t="str">
        <f>Data_Cleaned!B448</f>
        <v>No</v>
      </c>
      <c r="N448">
        <f>Data_Cleaned!S448</f>
        <v>6230</v>
      </c>
      <c r="R448">
        <v>9</v>
      </c>
      <c r="S448">
        <v>7625</v>
      </c>
    </row>
    <row r="449" spans="13:19" x14ac:dyDescent="0.3">
      <c r="M449" t="str">
        <f>Data_Cleaned!B449</f>
        <v>No</v>
      </c>
      <c r="N449">
        <f>Data_Cleaned!S449</f>
        <v>4717</v>
      </c>
      <c r="R449">
        <v>9</v>
      </c>
      <c r="S449">
        <v>7412</v>
      </c>
    </row>
    <row r="450" spans="13:19" x14ac:dyDescent="0.3">
      <c r="M450" t="str">
        <f>Data_Cleaned!B450</f>
        <v>No</v>
      </c>
      <c r="N450">
        <f>Data_Cleaned!S450</f>
        <v>13237</v>
      </c>
      <c r="R450">
        <v>7</v>
      </c>
      <c r="S450">
        <v>11159</v>
      </c>
    </row>
    <row r="451" spans="13:19" x14ac:dyDescent="0.3">
      <c r="M451" t="str">
        <f>Data_Cleaned!B451</f>
        <v>No</v>
      </c>
      <c r="N451">
        <f>Data_Cleaned!S451</f>
        <v>3755</v>
      </c>
      <c r="R451">
        <v>7</v>
      </c>
      <c r="S451">
        <v>4960</v>
      </c>
    </row>
    <row r="452" spans="13:19" x14ac:dyDescent="0.3">
      <c r="M452" t="str">
        <f>Data_Cleaned!B452</f>
        <v>No</v>
      </c>
      <c r="N452">
        <f>Data_Cleaned!S452</f>
        <v>5343</v>
      </c>
      <c r="R452">
        <v>18</v>
      </c>
      <c r="S452">
        <v>10475</v>
      </c>
    </row>
    <row r="453" spans="13:19" x14ac:dyDescent="0.3">
      <c r="M453" t="str">
        <f>Data_Cleaned!B453</f>
        <v>No</v>
      </c>
      <c r="N453">
        <f>Data_Cleaned!S453</f>
        <v>7406</v>
      </c>
      <c r="R453">
        <v>5</v>
      </c>
      <c r="S453">
        <v>14814</v>
      </c>
    </row>
    <row r="454" spans="13:19" x14ac:dyDescent="0.3">
      <c r="M454" t="str">
        <f>Data_Cleaned!B454</f>
        <v>No</v>
      </c>
      <c r="N454">
        <f>Data_Cleaned!S454</f>
        <v>4805</v>
      </c>
      <c r="R454">
        <v>21</v>
      </c>
      <c r="S454">
        <v>19141</v>
      </c>
    </row>
    <row r="455" spans="13:19" x14ac:dyDescent="0.3">
      <c r="M455" t="str">
        <f>Data_Cleaned!B455</f>
        <v>Yes</v>
      </c>
      <c r="N455">
        <f>Data_Cleaned!S455</f>
        <v>2741</v>
      </c>
      <c r="R455">
        <v>2</v>
      </c>
      <c r="S455">
        <v>5405</v>
      </c>
    </row>
    <row r="456" spans="13:19" x14ac:dyDescent="0.3">
      <c r="M456" t="str">
        <f>Data_Cleaned!B456</f>
        <v>No</v>
      </c>
      <c r="N456">
        <f>Data_Cleaned!S456</f>
        <v>4262</v>
      </c>
      <c r="R456">
        <v>9</v>
      </c>
      <c r="S456">
        <v>8793</v>
      </c>
    </row>
    <row r="457" spans="13:19" x14ac:dyDescent="0.3">
      <c r="M457" t="str">
        <f>Data_Cleaned!B457</f>
        <v>No</v>
      </c>
      <c r="N457">
        <f>Data_Cleaned!S457</f>
        <v>16184</v>
      </c>
      <c r="R457">
        <v>22</v>
      </c>
      <c r="S457">
        <v>19189</v>
      </c>
    </row>
    <row r="458" spans="13:19" x14ac:dyDescent="0.3">
      <c r="M458" t="str">
        <f>Data_Cleaned!B458</f>
        <v>No</v>
      </c>
      <c r="N458">
        <f>Data_Cleaned!S458</f>
        <v>11557</v>
      </c>
      <c r="R458">
        <v>2</v>
      </c>
      <c r="S458">
        <v>3875</v>
      </c>
    </row>
    <row r="459" spans="13:19" x14ac:dyDescent="0.3">
      <c r="M459" t="str">
        <f>Data_Cleaned!B459</f>
        <v>Yes</v>
      </c>
      <c r="N459">
        <f>Data_Cleaned!S459</f>
        <v>1878</v>
      </c>
      <c r="R459">
        <v>8</v>
      </c>
      <c r="S459">
        <v>11713</v>
      </c>
    </row>
    <row r="460" spans="13:19" x14ac:dyDescent="0.3">
      <c r="M460" t="str">
        <f>Data_Cleaned!B460</f>
        <v>No</v>
      </c>
      <c r="N460">
        <f>Data_Cleaned!S460</f>
        <v>10932</v>
      </c>
      <c r="R460">
        <v>1</v>
      </c>
      <c r="S460">
        <v>7861</v>
      </c>
    </row>
    <row r="461" spans="13:19" x14ac:dyDescent="0.3">
      <c r="M461" t="str">
        <f>Data_Cleaned!B461</f>
        <v>No</v>
      </c>
      <c r="N461">
        <f>Data_Cleaned!S461</f>
        <v>6811</v>
      </c>
      <c r="R461">
        <v>5</v>
      </c>
      <c r="S461">
        <v>3708</v>
      </c>
    </row>
    <row r="462" spans="13:19" x14ac:dyDescent="0.3">
      <c r="M462" t="str">
        <f>Data_Cleaned!B462</f>
        <v>No</v>
      </c>
      <c r="N462">
        <f>Data_Cleaned!S462</f>
        <v>4306</v>
      </c>
      <c r="R462">
        <v>22</v>
      </c>
      <c r="S462">
        <v>13770</v>
      </c>
    </row>
    <row r="463" spans="13:19" x14ac:dyDescent="0.3">
      <c r="M463" t="str">
        <f>Data_Cleaned!B463</f>
        <v>No</v>
      </c>
      <c r="N463">
        <f>Data_Cleaned!S463</f>
        <v>4859</v>
      </c>
      <c r="R463">
        <v>8</v>
      </c>
      <c r="S463">
        <v>5304</v>
      </c>
    </row>
    <row r="464" spans="13:19" x14ac:dyDescent="0.3">
      <c r="M464" t="str">
        <f>Data_Cleaned!B464</f>
        <v>No</v>
      </c>
      <c r="N464">
        <f>Data_Cleaned!S464</f>
        <v>5337</v>
      </c>
      <c r="R464">
        <v>1</v>
      </c>
      <c r="S464">
        <v>2642</v>
      </c>
    </row>
    <row r="465" spans="13:19" x14ac:dyDescent="0.3">
      <c r="M465" t="str">
        <f>Data_Cleaned!B465</f>
        <v>Yes</v>
      </c>
      <c r="N465">
        <f>Data_Cleaned!S465</f>
        <v>2340</v>
      </c>
      <c r="R465">
        <v>2</v>
      </c>
      <c r="S465">
        <v>6804</v>
      </c>
    </row>
    <row r="466" spans="13:19" x14ac:dyDescent="0.3">
      <c r="M466" t="str">
        <f>Data_Cleaned!B466</f>
        <v>No</v>
      </c>
      <c r="N466">
        <f>Data_Cleaned!S466</f>
        <v>7491</v>
      </c>
      <c r="R466">
        <v>5</v>
      </c>
      <c r="S466">
        <v>6142</v>
      </c>
    </row>
    <row r="467" spans="13:19" x14ac:dyDescent="0.3">
      <c r="M467" t="str">
        <f>Data_Cleaned!B467</f>
        <v>No</v>
      </c>
      <c r="N467">
        <f>Data_Cleaned!S467</f>
        <v>10527</v>
      </c>
      <c r="R467">
        <v>4</v>
      </c>
      <c r="S467">
        <v>2500</v>
      </c>
    </row>
    <row r="468" spans="13:19" x14ac:dyDescent="0.3">
      <c r="M468" t="str">
        <f>Data_Cleaned!B468</f>
        <v>No</v>
      </c>
      <c r="N468">
        <f>Data_Cleaned!S468</f>
        <v>16595</v>
      </c>
      <c r="R468">
        <v>8</v>
      </c>
      <c r="S468">
        <v>6389</v>
      </c>
    </row>
    <row r="469" spans="13:19" x14ac:dyDescent="0.3">
      <c r="M469" t="str">
        <f>Data_Cleaned!B469</f>
        <v>No</v>
      </c>
      <c r="N469">
        <f>Data_Cleaned!S469</f>
        <v>8834</v>
      </c>
      <c r="R469">
        <v>10</v>
      </c>
      <c r="S469">
        <v>11103</v>
      </c>
    </row>
    <row r="470" spans="13:19" x14ac:dyDescent="0.3">
      <c r="M470" t="str">
        <f>Data_Cleaned!B470</f>
        <v>No</v>
      </c>
      <c r="N470">
        <f>Data_Cleaned!S470</f>
        <v>5577</v>
      </c>
      <c r="R470">
        <v>4</v>
      </c>
      <c r="S470">
        <v>2342</v>
      </c>
    </row>
    <row r="471" spans="13:19" x14ac:dyDescent="0.3">
      <c r="M471" t="str">
        <f>Data_Cleaned!B471</f>
        <v>Yes</v>
      </c>
      <c r="N471">
        <f>Data_Cleaned!S471</f>
        <v>4707</v>
      </c>
      <c r="R471">
        <v>7</v>
      </c>
      <c r="S471">
        <v>6811</v>
      </c>
    </row>
    <row r="472" spans="13:19" x14ac:dyDescent="0.3">
      <c r="M472" t="str">
        <f>Data_Cleaned!B472</f>
        <v>No</v>
      </c>
      <c r="N472">
        <f>Data_Cleaned!S472</f>
        <v>2400</v>
      </c>
      <c r="R472">
        <v>2</v>
      </c>
      <c r="S472">
        <v>2297</v>
      </c>
    </row>
    <row r="473" spans="13:19" x14ac:dyDescent="0.3">
      <c r="M473" t="str">
        <f>Data_Cleaned!B473</f>
        <v>No</v>
      </c>
      <c r="N473">
        <f>Data_Cleaned!S473</f>
        <v>9824</v>
      </c>
      <c r="R473">
        <v>2</v>
      </c>
      <c r="S473">
        <v>2450</v>
      </c>
    </row>
    <row r="474" spans="13:19" x14ac:dyDescent="0.3">
      <c r="M474" t="str">
        <f>Data_Cleaned!B474</f>
        <v>No</v>
      </c>
      <c r="N474">
        <f>Data_Cleaned!S474</f>
        <v>6447</v>
      </c>
      <c r="R474">
        <v>1</v>
      </c>
      <c r="S474">
        <v>5093</v>
      </c>
    </row>
    <row r="475" spans="13:19" x14ac:dyDescent="0.3">
      <c r="M475" t="str">
        <f>Data_Cleaned!B475</f>
        <v>No</v>
      </c>
      <c r="N475">
        <f>Data_Cleaned!S475</f>
        <v>19502</v>
      </c>
      <c r="R475">
        <v>10</v>
      </c>
      <c r="S475">
        <v>5309</v>
      </c>
    </row>
    <row r="476" spans="13:19" x14ac:dyDescent="0.3">
      <c r="M476" t="str">
        <f>Data_Cleaned!B476</f>
        <v>No</v>
      </c>
      <c r="N476">
        <f>Data_Cleaned!S476</f>
        <v>2725</v>
      </c>
      <c r="R476">
        <v>1</v>
      </c>
      <c r="S476">
        <v>3057</v>
      </c>
    </row>
    <row r="477" spans="13:19" x14ac:dyDescent="0.3">
      <c r="M477" t="str">
        <f>Data_Cleaned!B477</f>
        <v>No</v>
      </c>
      <c r="N477">
        <f>Data_Cleaned!S477</f>
        <v>6272</v>
      </c>
      <c r="R477">
        <v>0</v>
      </c>
      <c r="S477">
        <v>5343</v>
      </c>
    </row>
    <row r="478" spans="13:19" x14ac:dyDescent="0.3">
      <c r="M478" t="str">
        <f>Data_Cleaned!B478</f>
        <v>No</v>
      </c>
      <c r="N478">
        <f>Data_Cleaned!S478</f>
        <v>2127</v>
      </c>
      <c r="R478">
        <v>34</v>
      </c>
      <c r="S478">
        <v>16856</v>
      </c>
    </row>
    <row r="479" spans="13:19" x14ac:dyDescent="0.3">
      <c r="M479" t="str">
        <f>Data_Cleaned!B479</f>
        <v>No</v>
      </c>
      <c r="N479">
        <f>Data_Cleaned!S479</f>
        <v>18200</v>
      </c>
      <c r="R479">
        <v>6</v>
      </c>
      <c r="S479">
        <v>6180</v>
      </c>
    </row>
    <row r="480" spans="13:19" x14ac:dyDescent="0.3">
      <c r="M480" t="str">
        <f>Data_Cleaned!B480</f>
        <v>No</v>
      </c>
      <c r="N480">
        <f>Data_Cleaned!S480</f>
        <v>2096</v>
      </c>
      <c r="R480">
        <v>8</v>
      </c>
      <c r="S480">
        <v>6632</v>
      </c>
    </row>
    <row r="481" spans="13:19" x14ac:dyDescent="0.3">
      <c r="M481" t="str">
        <f>Data_Cleaned!B481</f>
        <v>Yes</v>
      </c>
      <c r="N481">
        <f>Data_Cleaned!S481</f>
        <v>2886</v>
      </c>
      <c r="R481">
        <v>2</v>
      </c>
      <c r="S481">
        <v>3505</v>
      </c>
    </row>
    <row r="482" spans="13:19" x14ac:dyDescent="0.3">
      <c r="M482" t="str">
        <f>Data_Cleaned!B482</f>
        <v>Yes</v>
      </c>
      <c r="N482">
        <f>Data_Cleaned!S482</f>
        <v>2033</v>
      </c>
      <c r="R482">
        <v>6</v>
      </c>
      <c r="S482">
        <v>6274</v>
      </c>
    </row>
    <row r="483" spans="13:19" x14ac:dyDescent="0.3">
      <c r="M483" t="str">
        <f>Data_Cleaned!B483</f>
        <v>No</v>
      </c>
      <c r="N483">
        <f>Data_Cleaned!S483</f>
        <v>3622</v>
      </c>
      <c r="R483">
        <v>10</v>
      </c>
      <c r="S483">
        <v>7587</v>
      </c>
    </row>
    <row r="484" spans="13:19" x14ac:dyDescent="0.3">
      <c r="M484" t="str">
        <f>Data_Cleaned!B484</f>
        <v>Yes</v>
      </c>
      <c r="N484">
        <f>Data_Cleaned!S484</f>
        <v>4233</v>
      </c>
      <c r="R484">
        <v>4</v>
      </c>
      <c r="S484">
        <v>4258</v>
      </c>
    </row>
    <row r="485" spans="13:19" x14ac:dyDescent="0.3">
      <c r="M485" t="str">
        <f>Data_Cleaned!B485</f>
        <v>No</v>
      </c>
      <c r="N485">
        <f>Data_Cleaned!S485</f>
        <v>3681</v>
      </c>
      <c r="R485">
        <v>2</v>
      </c>
      <c r="S485">
        <v>4364</v>
      </c>
    </row>
    <row r="486" spans="13:19" x14ac:dyDescent="0.3">
      <c r="M486" t="str">
        <f>Data_Cleaned!B486</f>
        <v>No</v>
      </c>
      <c r="N486">
        <f>Data_Cleaned!S486</f>
        <v>5460</v>
      </c>
      <c r="R486">
        <v>8</v>
      </c>
      <c r="S486">
        <v>4335</v>
      </c>
    </row>
    <row r="487" spans="13:19" x14ac:dyDescent="0.3">
      <c r="M487" t="str">
        <f>Data_Cleaned!B487</f>
        <v>No</v>
      </c>
      <c r="N487">
        <f>Data_Cleaned!S487</f>
        <v>2187</v>
      </c>
      <c r="R487">
        <v>4</v>
      </c>
      <c r="S487">
        <v>3280</v>
      </c>
    </row>
    <row r="488" spans="13:19" x14ac:dyDescent="0.3">
      <c r="M488" t="str">
        <f>Data_Cleaned!B488</f>
        <v>No</v>
      </c>
      <c r="N488">
        <f>Data_Cleaned!S488</f>
        <v>9602</v>
      </c>
      <c r="R488">
        <v>5</v>
      </c>
      <c r="S488">
        <v>5485</v>
      </c>
    </row>
    <row r="489" spans="13:19" x14ac:dyDescent="0.3">
      <c r="M489" t="str">
        <f>Data_Cleaned!B489</f>
        <v>No</v>
      </c>
      <c r="N489">
        <f>Data_Cleaned!S489</f>
        <v>2836</v>
      </c>
      <c r="R489">
        <v>4</v>
      </c>
      <c r="S489">
        <v>4342</v>
      </c>
    </row>
    <row r="490" spans="13:19" x14ac:dyDescent="0.3">
      <c r="M490" t="str">
        <f>Data_Cleaned!B490</f>
        <v>No</v>
      </c>
      <c r="N490">
        <f>Data_Cleaned!S490</f>
        <v>4089</v>
      </c>
      <c r="R490">
        <v>5</v>
      </c>
      <c r="S490">
        <v>2782</v>
      </c>
    </row>
    <row r="491" spans="13:19" x14ac:dyDescent="0.3">
      <c r="M491" t="str">
        <f>Data_Cleaned!B491</f>
        <v>No</v>
      </c>
      <c r="N491">
        <f>Data_Cleaned!S491</f>
        <v>16627</v>
      </c>
      <c r="R491">
        <v>15</v>
      </c>
      <c r="S491">
        <v>5980</v>
      </c>
    </row>
    <row r="492" spans="13:19" x14ac:dyDescent="0.3">
      <c r="M492" t="str">
        <f>Data_Cleaned!B492</f>
        <v>No</v>
      </c>
      <c r="N492">
        <f>Data_Cleaned!S492</f>
        <v>2619</v>
      </c>
      <c r="R492">
        <v>6</v>
      </c>
      <c r="S492">
        <v>4381</v>
      </c>
    </row>
    <row r="493" spans="13:19" x14ac:dyDescent="0.3">
      <c r="M493" t="str">
        <f>Data_Cleaned!B493</f>
        <v>No</v>
      </c>
      <c r="N493">
        <f>Data_Cleaned!S493</f>
        <v>5679</v>
      </c>
      <c r="R493">
        <v>3</v>
      </c>
      <c r="S493">
        <v>2572</v>
      </c>
    </row>
    <row r="494" spans="13:19" x14ac:dyDescent="0.3">
      <c r="M494" t="str">
        <f>Data_Cleaned!B494</f>
        <v>No</v>
      </c>
      <c r="N494">
        <f>Data_Cleaned!S494</f>
        <v>15402</v>
      </c>
      <c r="R494">
        <v>2</v>
      </c>
      <c r="S494">
        <v>3833</v>
      </c>
    </row>
    <row r="495" spans="13:19" x14ac:dyDescent="0.3">
      <c r="M495" t="str">
        <f>Data_Cleaned!B495</f>
        <v>No</v>
      </c>
      <c r="N495">
        <f>Data_Cleaned!S495</f>
        <v>5985</v>
      </c>
      <c r="R495">
        <v>8</v>
      </c>
      <c r="S495">
        <v>4244</v>
      </c>
    </row>
    <row r="496" spans="13:19" x14ac:dyDescent="0.3">
      <c r="M496" t="str">
        <f>Data_Cleaned!B496</f>
        <v>No</v>
      </c>
      <c r="N496">
        <f>Data_Cleaned!S496</f>
        <v>2579</v>
      </c>
      <c r="R496">
        <v>3</v>
      </c>
      <c r="S496">
        <v>6500</v>
      </c>
    </row>
    <row r="497" spans="13:19" x14ac:dyDescent="0.3">
      <c r="M497" t="str">
        <f>Data_Cleaned!B497</f>
        <v>Yes</v>
      </c>
      <c r="N497">
        <f>Data_Cleaned!S497</f>
        <v>3041</v>
      </c>
      <c r="R497">
        <v>24</v>
      </c>
      <c r="S497">
        <v>18430</v>
      </c>
    </row>
    <row r="498" spans="13:19" x14ac:dyDescent="0.3">
      <c r="M498" t="str">
        <f>Data_Cleaned!B498</f>
        <v>No</v>
      </c>
      <c r="N498">
        <f>Data_Cleaned!S498</f>
        <v>3447</v>
      </c>
      <c r="R498">
        <v>1</v>
      </c>
      <c r="S498">
        <v>2694</v>
      </c>
    </row>
    <row r="499" spans="13:19" x14ac:dyDescent="0.3">
      <c r="M499" t="str">
        <f>Data_Cleaned!B499</f>
        <v>No</v>
      </c>
      <c r="N499">
        <f>Data_Cleaned!S499</f>
        <v>19513</v>
      </c>
      <c r="R499">
        <v>5</v>
      </c>
      <c r="S499">
        <v>3149</v>
      </c>
    </row>
    <row r="500" spans="13:19" x14ac:dyDescent="0.3">
      <c r="M500" t="str">
        <f>Data_Cleaned!B500</f>
        <v>No</v>
      </c>
      <c r="N500">
        <f>Data_Cleaned!S500</f>
        <v>2773</v>
      </c>
      <c r="R500">
        <v>4</v>
      </c>
      <c r="S500">
        <v>17639</v>
      </c>
    </row>
    <row r="501" spans="13:19" x14ac:dyDescent="0.3">
      <c r="M501" t="str">
        <f>Data_Cleaned!B501</f>
        <v>No</v>
      </c>
      <c r="N501">
        <f>Data_Cleaned!S501</f>
        <v>7104</v>
      </c>
      <c r="R501">
        <v>13</v>
      </c>
      <c r="S501">
        <v>11691</v>
      </c>
    </row>
    <row r="502" spans="13:19" x14ac:dyDescent="0.3">
      <c r="M502" t="str">
        <f>Data_Cleaned!B502</f>
        <v>No</v>
      </c>
      <c r="N502">
        <f>Data_Cleaned!S502</f>
        <v>6322</v>
      </c>
      <c r="R502">
        <v>26</v>
      </c>
      <c r="S502">
        <v>16752</v>
      </c>
    </row>
    <row r="503" spans="13:19" x14ac:dyDescent="0.3">
      <c r="M503" t="str">
        <f>Data_Cleaned!B503</f>
        <v>No</v>
      </c>
      <c r="N503">
        <f>Data_Cleaned!S503</f>
        <v>2083</v>
      </c>
      <c r="R503">
        <v>9</v>
      </c>
      <c r="S503">
        <v>5228</v>
      </c>
    </row>
    <row r="504" spans="13:19" x14ac:dyDescent="0.3">
      <c r="M504" t="str">
        <f>Data_Cleaned!B504</f>
        <v>No</v>
      </c>
      <c r="N504">
        <f>Data_Cleaned!S504</f>
        <v>8381</v>
      </c>
      <c r="R504">
        <v>10</v>
      </c>
      <c r="S504">
        <v>2700</v>
      </c>
    </row>
    <row r="505" spans="13:19" x14ac:dyDescent="0.3">
      <c r="M505" t="str">
        <f>Data_Cleaned!B505</f>
        <v>No</v>
      </c>
      <c r="N505">
        <f>Data_Cleaned!S505</f>
        <v>2691</v>
      </c>
      <c r="R505">
        <v>2</v>
      </c>
      <c r="S505">
        <v>2506</v>
      </c>
    </row>
    <row r="506" spans="13:19" x14ac:dyDescent="0.3">
      <c r="M506" t="str">
        <f>Data_Cleaned!B506</f>
        <v>Yes</v>
      </c>
      <c r="N506">
        <f>Data_Cleaned!S506</f>
        <v>4286</v>
      </c>
      <c r="R506">
        <v>4</v>
      </c>
      <c r="S506">
        <v>6062</v>
      </c>
    </row>
    <row r="507" spans="13:19" x14ac:dyDescent="0.3">
      <c r="M507" t="str">
        <f>Data_Cleaned!B507</f>
        <v>No</v>
      </c>
      <c r="N507">
        <f>Data_Cleaned!S507</f>
        <v>2659</v>
      </c>
      <c r="R507">
        <v>5</v>
      </c>
      <c r="S507">
        <v>2143</v>
      </c>
    </row>
    <row r="508" spans="13:19" x14ac:dyDescent="0.3">
      <c r="M508" t="str">
        <f>Data_Cleaned!B508</f>
        <v>No</v>
      </c>
      <c r="N508">
        <f>Data_Cleaned!S508</f>
        <v>9434</v>
      </c>
      <c r="R508">
        <v>14</v>
      </c>
      <c r="S508">
        <v>6162</v>
      </c>
    </row>
    <row r="509" spans="13:19" x14ac:dyDescent="0.3">
      <c r="M509" t="str">
        <f>Data_Cleaned!B509</f>
        <v>No</v>
      </c>
      <c r="N509">
        <f>Data_Cleaned!S509</f>
        <v>5561</v>
      </c>
      <c r="R509">
        <v>1</v>
      </c>
      <c r="S509">
        <v>5094</v>
      </c>
    </row>
    <row r="510" spans="13:19" x14ac:dyDescent="0.3">
      <c r="M510" t="str">
        <f>Data_Cleaned!B510</f>
        <v>No</v>
      </c>
      <c r="N510">
        <f>Data_Cleaned!S510</f>
        <v>6646</v>
      </c>
      <c r="R510">
        <v>0</v>
      </c>
      <c r="S510">
        <v>6877</v>
      </c>
    </row>
    <row r="511" spans="13:19" x14ac:dyDescent="0.3">
      <c r="M511" t="str">
        <f>Data_Cleaned!B511</f>
        <v>No</v>
      </c>
      <c r="N511">
        <f>Data_Cleaned!S511</f>
        <v>7725</v>
      </c>
      <c r="R511">
        <v>1</v>
      </c>
      <c r="S511">
        <v>2274</v>
      </c>
    </row>
    <row r="512" spans="13:19" x14ac:dyDescent="0.3">
      <c r="M512" t="str">
        <f>Data_Cleaned!B512</f>
        <v>No</v>
      </c>
      <c r="N512">
        <f>Data_Cleaned!S512</f>
        <v>10725</v>
      </c>
      <c r="R512">
        <v>9</v>
      </c>
      <c r="S512">
        <v>4434</v>
      </c>
    </row>
    <row r="513" spans="13:19" x14ac:dyDescent="0.3">
      <c r="M513" t="str">
        <f>Data_Cleaned!B513</f>
        <v>No</v>
      </c>
      <c r="N513">
        <f>Data_Cleaned!S513</f>
        <v>8847</v>
      </c>
      <c r="R513">
        <v>4</v>
      </c>
      <c r="S513">
        <v>6288</v>
      </c>
    </row>
    <row r="514" spans="13:19" x14ac:dyDescent="0.3">
      <c r="M514" t="str">
        <f>Data_Cleaned!B514</f>
        <v>No</v>
      </c>
      <c r="N514">
        <f>Data_Cleaned!S514</f>
        <v>2045</v>
      </c>
      <c r="R514">
        <v>5</v>
      </c>
      <c r="S514">
        <v>2553</v>
      </c>
    </row>
    <row r="515" spans="13:19" x14ac:dyDescent="0.3">
      <c r="M515" t="str">
        <f>Data_Cleaned!B515</f>
        <v>Yes</v>
      </c>
      <c r="N515">
        <f>Data_Cleaned!S515</f>
        <v>1009</v>
      </c>
      <c r="R515">
        <v>4</v>
      </c>
      <c r="S515">
        <v>17159</v>
      </c>
    </row>
    <row r="516" spans="13:19" x14ac:dyDescent="0.3">
      <c r="M516" t="str">
        <f>Data_Cleaned!B516</f>
        <v>Yes</v>
      </c>
      <c r="N516">
        <f>Data_Cleaned!S516</f>
        <v>3348</v>
      </c>
      <c r="R516">
        <v>9</v>
      </c>
      <c r="S516">
        <v>12808</v>
      </c>
    </row>
    <row r="517" spans="13:19" x14ac:dyDescent="0.3">
      <c r="M517" t="str">
        <f>Data_Cleaned!B517</f>
        <v>No</v>
      </c>
      <c r="N517">
        <f>Data_Cleaned!S517</f>
        <v>1281</v>
      </c>
      <c r="R517">
        <v>8</v>
      </c>
      <c r="S517">
        <v>10221</v>
      </c>
    </row>
    <row r="518" spans="13:19" x14ac:dyDescent="0.3">
      <c r="M518" t="str">
        <f>Data_Cleaned!B518</f>
        <v>No</v>
      </c>
      <c r="N518">
        <f>Data_Cleaned!S518</f>
        <v>2819</v>
      </c>
      <c r="R518">
        <v>8</v>
      </c>
      <c r="S518">
        <v>4779</v>
      </c>
    </row>
    <row r="519" spans="13:19" x14ac:dyDescent="0.3">
      <c r="M519" t="str">
        <f>Data_Cleaned!B519</f>
        <v>No</v>
      </c>
      <c r="N519">
        <f>Data_Cleaned!S519</f>
        <v>4851</v>
      </c>
      <c r="R519">
        <v>3</v>
      </c>
      <c r="S519">
        <v>3737</v>
      </c>
    </row>
    <row r="520" spans="13:19" x14ac:dyDescent="0.3">
      <c r="M520" t="str">
        <f>Data_Cleaned!B520</f>
        <v>No</v>
      </c>
      <c r="N520">
        <f>Data_Cleaned!S520</f>
        <v>4028</v>
      </c>
      <c r="R520">
        <v>0</v>
      </c>
      <c r="S520">
        <v>1706</v>
      </c>
    </row>
    <row r="521" spans="13:19" x14ac:dyDescent="0.3">
      <c r="M521" t="str">
        <f>Data_Cleaned!B521</f>
        <v>No</v>
      </c>
      <c r="N521">
        <f>Data_Cleaned!S521</f>
        <v>2720</v>
      </c>
      <c r="R521">
        <v>20</v>
      </c>
      <c r="S521">
        <v>16307</v>
      </c>
    </row>
    <row r="522" spans="13:19" x14ac:dyDescent="0.3">
      <c r="M522" t="str">
        <f>Data_Cleaned!B522</f>
        <v>No</v>
      </c>
      <c r="N522">
        <f>Data_Cleaned!S522</f>
        <v>8120</v>
      </c>
      <c r="R522">
        <v>5</v>
      </c>
      <c r="S522">
        <v>5933</v>
      </c>
    </row>
    <row r="523" spans="13:19" x14ac:dyDescent="0.3">
      <c r="M523" t="str">
        <f>Data_Cleaned!B523</f>
        <v>No</v>
      </c>
      <c r="N523">
        <f>Data_Cleaned!S523</f>
        <v>4647</v>
      </c>
      <c r="R523">
        <v>4</v>
      </c>
      <c r="S523">
        <v>3424</v>
      </c>
    </row>
    <row r="524" spans="13:19" x14ac:dyDescent="0.3">
      <c r="M524" t="str">
        <f>Data_Cleaned!B524</f>
        <v>No</v>
      </c>
      <c r="N524">
        <f>Data_Cleaned!S524</f>
        <v>4680</v>
      </c>
      <c r="R524">
        <v>9</v>
      </c>
      <c r="S524">
        <v>4037</v>
      </c>
    </row>
    <row r="525" spans="13:19" x14ac:dyDescent="0.3">
      <c r="M525" t="str">
        <f>Data_Cleaned!B525</f>
        <v>No</v>
      </c>
      <c r="N525">
        <f>Data_Cleaned!S525</f>
        <v>3221</v>
      </c>
      <c r="R525">
        <v>6</v>
      </c>
      <c r="S525">
        <v>2559</v>
      </c>
    </row>
    <row r="526" spans="13:19" x14ac:dyDescent="0.3">
      <c r="M526" t="str">
        <f>Data_Cleaned!B526</f>
        <v>No</v>
      </c>
      <c r="N526">
        <f>Data_Cleaned!S526</f>
        <v>8621</v>
      </c>
      <c r="R526">
        <v>18</v>
      </c>
      <c r="S526">
        <v>6201</v>
      </c>
    </row>
    <row r="527" spans="13:19" x14ac:dyDescent="0.3">
      <c r="M527" t="str">
        <f>Data_Cleaned!B527</f>
        <v>Yes</v>
      </c>
      <c r="N527">
        <f>Data_Cleaned!S527</f>
        <v>4577</v>
      </c>
      <c r="R527">
        <v>5</v>
      </c>
      <c r="S527">
        <v>4403</v>
      </c>
    </row>
    <row r="528" spans="13:19" x14ac:dyDescent="0.3">
      <c r="M528" t="str">
        <f>Data_Cleaned!B528</f>
        <v>No</v>
      </c>
      <c r="N528">
        <f>Data_Cleaned!S528</f>
        <v>4553</v>
      </c>
      <c r="R528">
        <v>5</v>
      </c>
      <c r="S528">
        <v>3761</v>
      </c>
    </row>
    <row r="529" spans="13:19" x14ac:dyDescent="0.3">
      <c r="M529" t="str">
        <f>Data_Cleaned!B529</f>
        <v>No</v>
      </c>
      <c r="N529">
        <f>Data_Cleaned!S529</f>
        <v>5396</v>
      </c>
      <c r="R529">
        <v>5</v>
      </c>
      <c r="S529">
        <v>10934</v>
      </c>
    </row>
    <row r="530" spans="13:19" x14ac:dyDescent="0.3">
      <c r="M530" t="str">
        <f>Data_Cleaned!B530</f>
        <v>Yes</v>
      </c>
      <c r="N530">
        <f>Data_Cleaned!S530</f>
        <v>6796</v>
      </c>
      <c r="R530">
        <v>5</v>
      </c>
      <c r="S530">
        <v>10761</v>
      </c>
    </row>
    <row r="531" spans="13:19" x14ac:dyDescent="0.3">
      <c r="M531" t="str">
        <f>Data_Cleaned!B531</f>
        <v>No</v>
      </c>
      <c r="N531">
        <f>Data_Cleaned!S531</f>
        <v>7625</v>
      </c>
      <c r="R531">
        <v>5</v>
      </c>
      <c r="S531">
        <v>5175</v>
      </c>
    </row>
    <row r="532" spans="13:19" x14ac:dyDescent="0.3">
      <c r="M532" t="str">
        <f>Data_Cleaned!B532</f>
        <v>No</v>
      </c>
      <c r="N532">
        <f>Data_Cleaned!S532</f>
        <v>7412</v>
      </c>
      <c r="R532">
        <v>9</v>
      </c>
      <c r="S532">
        <v>13826</v>
      </c>
    </row>
    <row r="533" spans="13:19" x14ac:dyDescent="0.3">
      <c r="M533" t="str">
        <f>Data_Cleaned!B533</f>
        <v>No</v>
      </c>
      <c r="N533">
        <f>Data_Cleaned!S533</f>
        <v>11159</v>
      </c>
      <c r="R533">
        <v>1</v>
      </c>
      <c r="S533">
        <v>6334</v>
      </c>
    </row>
    <row r="534" spans="13:19" x14ac:dyDescent="0.3">
      <c r="M534" t="str">
        <f>Data_Cleaned!B534</f>
        <v>No</v>
      </c>
      <c r="N534">
        <f>Data_Cleaned!S534</f>
        <v>4960</v>
      </c>
      <c r="R534">
        <v>5</v>
      </c>
      <c r="S534">
        <v>4936</v>
      </c>
    </row>
    <row r="535" spans="13:19" x14ac:dyDescent="0.3">
      <c r="M535" t="str">
        <f>Data_Cleaned!B535</f>
        <v>No</v>
      </c>
      <c r="N535">
        <f>Data_Cleaned!S535</f>
        <v>10475</v>
      </c>
      <c r="R535">
        <v>2</v>
      </c>
      <c r="S535">
        <v>4775</v>
      </c>
    </row>
    <row r="536" spans="13:19" x14ac:dyDescent="0.3">
      <c r="M536" t="str">
        <f>Data_Cleaned!B536</f>
        <v>No</v>
      </c>
      <c r="N536">
        <f>Data_Cleaned!S536</f>
        <v>14814</v>
      </c>
      <c r="R536">
        <v>3</v>
      </c>
      <c r="S536">
        <v>2818</v>
      </c>
    </row>
    <row r="537" spans="13:19" x14ac:dyDescent="0.3">
      <c r="M537" t="str">
        <f>Data_Cleaned!B537</f>
        <v>No</v>
      </c>
      <c r="N537">
        <f>Data_Cleaned!S537</f>
        <v>19141</v>
      </c>
      <c r="R537">
        <v>2</v>
      </c>
      <c r="S537">
        <v>2515</v>
      </c>
    </row>
    <row r="538" spans="13:19" x14ac:dyDescent="0.3">
      <c r="M538" t="str">
        <f>Data_Cleaned!B538</f>
        <v>No</v>
      </c>
      <c r="N538">
        <f>Data_Cleaned!S538</f>
        <v>5405</v>
      </c>
      <c r="R538">
        <v>5</v>
      </c>
      <c r="S538">
        <v>2342</v>
      </c>
    </row>
    <row r="539" spans="13:19" x14ac:dyDescent="0.3">
      <c r="M539" t="str">
        <f>Data_Cleaned!B539</f>
        <v>No</v>
      </c>
      <c r="N539">
        <f>Data_Cleaned!S539</f>
        <v>8793</v>
      </c>
      <c r="R539">
        <v>5</v>
      </c>
      <c r="S539">
        <v>4194</v>
      </c>
    </row>
    <row r="540" spans="13:19" x14ac:dyDescent="0.3">
      <c r="M540" t="str">
        <f>Data_Cleaned!B540</f>
        <v>No</v>
      </c>
      <c r="N540">
        <f>Data_Cleaned!S540</f>
        <v>19189</v>
      </c>
      <c r="R540">
        <v>17</v>
      </c>
      <c r="S540">
        <v>10685</v>
      </c>
    </row>
    <row r="541" spans="13:19" x14ac:dyDescent="0.3">
      <c r="M541" t="str">
        <f>Data_Cleaned!B541</f>
        <v>No</v>
      </c>
      <c r="N541">
        <f>Data_Cleaned!S541</f>
        <v>3875</v>
      </c>
      <c r="R541">
        <v>3</v>
      </c>
      <c r="S541">
        <v>2314</v>
      </c>
    </row>
    <row r="542" spans="13:19" x14ac:dyDescent="0.3">
      <c r="M542" t="str">
        <f>Data_Cleaned!B542</f>
        <v>Yes</v>
      </c>
      <c r="N542">
        <f>Data_Cleaned!S542</f>
        <v>2216</v>
      </c>
      <c r="R542">
        <v>5</v>
      </c>
      <c r="S542">
        <v>4256</v>
      </c>
    </row>
    <row r="543" spans="13:19" x14ac:dyDescent="0.3">
      <c r="M543" t="str">
        <f>Data_Cleaned!B543</f>
        <v>No</v>
      </c>
      <c r="N543">
        <f>Data_Cleaned!S543</f>
        <v>11713</v>
      </c>
      <c r="R543">
        <v>4</v>
      </c>
      <c r="S543">
        <v>3580</v>
      </c>
    </row>
    <row r="544" spans="13:19" x14ac:dyDescent="0.3">
      <c r="M544" t="str">
        <f>Data_Cleaned!B544</f>
        <v>No</v>
      </c>
      <c r="N544">
        <f>Data_Cleaned!S544</f>
        <v>7861</v>
      </c>
      <c r="R544">
        <v>5</v>
      </c>
      <c r="S544">
        <v>3162</v>
      </c>
    </row>
    <row r="545" spans="13:19" x14ac:dyDescent="0.3">
      <c r="M545" t="str">
        <f>Data_Cleaned!B545</f>
        <v>No</v>
      </c>
      <c r="N545">
        <f>Data_Cleaned!S545</f>
        <v>3708</v>
      </c>
      <c r="R545">
        <v>10</v>
      </c>
      <c r="S545">
        <v>6524</v>
      </c>
    </row>
    <row r="546" spans="13:19" x14ac:dyDescent="0.3">
      <c r="M546" t="str">
        <f>Data_Cleaned!B546</f>
        <v>No</v>
      </c>
      <c r="N546">
        <f>Data_Cleaned!S546</f>
        <v>13770</v>
      </c>
      <c r="R546">
        <v>2</v>
      </c>
      <c r="S546">
        <v>2899</v>
      </c>
    </row>
    <row r="547" spans="13:19" x14ac:dyDescent="0.3">
      <c r="M547" t="str">
        <f>Data_Cleaned!B547</f>
        <v>No</v>
      </c>
      <c r="N547">
        <f>Data_Cleaned!S547</f>
        <v>5304</v>
      </c>
      <c r="R547">
        <v>5</v>
      </c>
      <c r="S547">
        <v>5231</v>
      </c>
    </row>
    <row r="548" spans="13:19" x14ac:dyDescent="0.3">
      <c r="M548" t="str">
        <f>Data_Cleaned!B548</f>
        <v>No</v>
      </c>
      <c r="N548">
        <f>Data_Cleaned!S548</f>
        <v>2642</v>
      </c>
      <c r="R548">
        <v>6</v>
      </c>
      <c r="S548">
        <v>2356</v>
      </c>
    </row>
    <row r="549" spans="13:19" x14ac:dyDescent="0.3">
      <c r="M549" t="str">
        <f>Data_Cleaned!B549</f>
        <v>Yes</v>
      </c>
      <c r="N549">
        <f>Data_Cleaned!S549</f>
        <v>2759</v>
      </c>
      <c r="R549">
        <v>2</v>
      </c>
      <c r="S549">
        <v>11836</v>
      </c>
    </row>
    <row r="550" spans="13:19" x14ac:dyDescent="0.3">
      <c r="M550" t="str">
        <f>Data_Cleaned!B550</f>
        <v>No</v>
      </c>
      <c r="N550">
        <f>Data_Cleaned!S550</f>
        <v>6804</v>
      </c>
      <c r="R550">
        <v>13</v>
      </c>
      <c r="S550">
        <v>10903</v>
      </c>
    </row>
    <row r="551" spans="13:19" x14ac:dyDescent="0.3">
      <c r="M551" t="str">
        <f>Data_Cleaned!B551</f>
        <v>No</v>
      </c>
      <c r="N551">
        <f>Data_Cleaned!S551</f>
        <v>6142</v>
      </c>
      <c r="R551">
        <v>5</v>
      </c>
      <c r="S551">
        <v>2973</v>
      </c>
    </row>
    <row r="552" spans="13:19" x14ac:dyDescent="0.3">
      <c r="M552" t="str">
        <f>Data_Cleaned!B552</f>
        <v>No</v>
      </c>
      <c r="N552">
        <f>Data_Cleaned!S552</f>
        <v>2500</v>
      </c>
      <c r="R552">
        <v>12</v>
      </c>
      <c r="S552">
        <v>14275</v>
      </c>
    </row>
    <row r="553" spans="13:19" x14ac:dyDescent="0.3">
      <c r="M553" t="str">
        <f>Data_Cleaned!B553</f>
        <v>No</v>
      </c>
      <c r="N553">
        <f>Data_Cleaned!S553</f>
        <v>6389</v>
      </c>
      <c r="R553">
        <v>5</v>
      </c>
      <c r="S553">
        <v>5562</v>
      </c>
    </row>
    <row r="554" spans="13:19" x14ac:dyDescent="0.3">
      <c r="M554" t="str">
        <f>Data_Cleaned!B554</f>
        <v>No</v>
      </c>
      <c r="N554">
        <f>Data_Cleaned!S554</f>
        <v>11103</v>
      </c>
      <c r="R554">
        <v>7</v>
      </c>
      <c r="S554">
        <v>4537</v>
      </c>
    </row>
    <row r="555" spans="13:19" x14ac:dyDescent="0.3">
      <c r="M555" t="str">
        <f>Data_Cleaned!B555</f>
        <v>No</v>
      </c>
      <c r="N555">
        <f>Data_Cleaned!S555</f>
        <v>2342</v>
      </c>
      <c r="R555">
        <v>10</v>
      </c>
      <c r="S555">
        <v>7642</v>
      </c>
    </row>
    <row r="556" spans="13:19" x14ac:dyDescent="0.3">
      <c r="M556" t="str">
        <f>Data_Cleaned!B556</f>
        <v>No</v>
      </c>
      <c r="N556">
        <f>Data_Cleaned!S556</f>
        <v>6811</v>
      </c>
      <c r="R556">
        <v>31</v>
      </c>
      <c r="S556">
        <v>17924</v>
      </c>
    </row>
    <row r="557" spans="13:19" x14ac:dyDescent="0.3">
      <c r="M557" t="str">
        <f>Data_Cleaned!B557</f>
        <v>No</v>
      </c>
      <c r="N557">
        <f>Data_Cleaned!S557</f>
        <v>2297</v>
      </c>
      <c r="R557">
        <v>5</v>
      </c>
      <c r="S557">
        <v>5204</v>
      </c>
    </row>
    <row r="558" spans="13:19" x14ac:dyDescent="0.3">
      <c r="M558" t="str">
        <f>Data_Cleaned!B558</f>
        <v>No</v>
      </c>
      <c r="N558">
        <f>Data_Cleaned!S558</f>
        <v>2450</v>
      </c>
      <c r="R558">
        <v>4</v>
      </c>
      <c r="S558">
        <v>2277</v>
      </c>
    </row>
    <row r="559" spans="13:19" x14ac:dyDescent="0.3">
      <c r="M559" t="str">
        <f>Data_Cleaned!B559</f>
        <v>No</v>
      </c>
      <c r="N559">
        <f>Data_Cleaned!S559</f>
        <v>5093</v>
      </c>
      <c r="R559">
        <v>4</v>
      </c>
      <c r="S559">
        <v>2532</v>
      </c>
    </row>
    <row r="560" spans="13:19" x14ac:dyDescent="0.3">
      <c r="M560" t="str">
        <f>Data_Cleaned!B560</f>
        <v>No</v>
      </c>
      <c r="N560">
        <f>Data_Cleaned!S560</f>
        <v>5309</v>
      </c>
      <c r="R560">
        <v>8</v>
      </c>
      <c r="S560">
        <v>2559</v>
      </c>
    </row>
    <row r="561" spans="13:19" x14ac:dyDescent="0.3">
      <c r="M561" t="str">
        <f>Data_Cleaned!B561</f>
        <v>No</v>
      </c>
      <c r="N561">
        <f>Data_Cleaned!S561</f>
        <v>3057</v>
      </c>
      <c r="R561">
        <v>4</v>
      </c>
      <c r="S561">
        <v>4908</v>
      </c>
    </row>
    <row r="562" spans="13:19" x14ac:dyDescent="0.3">
      <c r="M562" t="str">
        <f>Data_Cleaned!B562</f>
        <v>No</v>
      </c>
      <c r="N562">
        <f>Data_Cleaned!S562</f>
        <v>5343</v>
      </c>
      <c r="R562">
        <v>1</v>
      </c>
      <c r="S562">
        <v>4765</v>
      </c>
    </row>
    <row r="563" spans="13:19" x14ac:dyDescent="0.3">
      <c r="M563" t="str">
        <f>Data_Cleaned!B563</f>
        <v>No</v>
      </c>
      <c r="N563">
        <f>Data_Cleaned!S563</f>
        <v>16856</v>
      </c>
      <c r="R563">
        <v>16</v>
      </c>
      <c r="S563">
        <v>6586</v>
      </c>
    </row>
    <row r="564" spans="13:19" x14ac:dyDescent="0.3">
      <c r="M564" t="str">
        <f>Data_Cleaned!B564</f>
        <v>Yes</v>
      </c>
      <c r="N564">
        <f>Data_Cleaned!S564</f>
        <v>2686</v>
      </c>
      <c r="R564">
        <v>3</v>
      </c>
      <c r="S564">
        <v>3294</v>
      </c>
    </row>
    <row r="565" spans="13:19" x14ac:dyDescent="0.3">
      <c r="M565" t="str">
        <f>Data_Cleaned!B565</f>
        <v>No</v>
      </c>
      <c r="N565">
        <f>Data_Cleaned!S565</f>
        <v>6180</v>
      </c>
      <c r="R565">
        <v>2</v>
      </c>
      <c r="S565">
        <v>2377</v>
      </c>
    </row>
    <row r="566" spans="13:19" x14ac:dyDescent="0.3">
      <c r="M566" t="str">
        <f>Data_Cleaned!B566</f>
        <v>No</v>
      </c>
      <c r="N566">
        <f>Data_Cleaned!S566</f>
        <v>6632</v>
      </c>
      <c r="R566">
        <v>1</v>
      </c>
      <c r="S566">
        <v>2674</v>
      </c>
    </row>
    <row r="567" spans="13:19" x14ac:dyDescent="0.3">
      <c r="M567" t="str">
        <f>Data_Cleaned!B567</f>
        <v>No</v>
      </c>
      <c r="N567">
        <f>Data_Cleaned!S567</f>
        <v>3505</v>
      </c>
      <c r="R567">
        <v>1</v>
      </c>
      <c r="S567">
        <v>2008</v>
      </c>
    </row>
    <row r="568" spans="13:19" x14ac:dyDescent="0.3">
      <c r="M568" t="str">
        <f>Data_Cleaned!B568</f>
        <v>Yes</v>
      </c>
      <c r="N568">
        <f>Data_Cleaned!S568</f>
        <v>6397</v>
      </c>
      <c r="R568">
        <v>5</v>
      </c>
      <c r="S568">
        <v>6244</v>
      </c>
    </row>
    <row r="569" spans="13:19" x14ac:dyDescent="0.3">
      <c r="M569" t="str">
        <f>Data_Cleaned!B569</f>
        <v>No</v>
      </c>
      <c r="N569">
        <f>Data_Cleaned!S569</f>
        <v>6274</v>
      </c>
      <c r="R569">
        <v>3</v>
      </c>
      <c r="S569">
        <v>2799</v>
      </c>
    </row>
    <row r="570" spans="13:19" x14ac:dyDescent="0.3">
      <c r="M570" t="str">
        <f>Data_Cleaned!B570</f>
        <v>Yes</v>
      </c>
      <c r="N570">
        <f>Data_Cleaned!S570</f>
        <v>19859</v>
      </c>
      <c r="R570">
        <v>6</v>
      </c>
      <c r="S570">
        <v>10552</v>
      </c>
    </row>
    <row r="571" spans="13:19" x14ac:dyDescent="0.3">
      <c r="M571" t="str">
        <f>Data_Cleaned!B571</f>
        <v>No</v>
      </c>
      <c r="N571">
        <f>Data_Cleaned!S571</f>
        <v>7587</v>
      </c>
      <c r="R571">
        <v>7</v>
      </c>
      <c r="S571">
        <v>2329</v>
      </c>
    </row>
    <row r="572" spans="13:19" x14ac:dyDescent="0.3">
      <c r="M572" t="str">
        <f>Data_Cleaned!B572</f>
        <v>No</v>
      </c>
      <c r="N572">
        <f>Data_Cleaned!S572</f>
        <v>4258</v>
      </c>
      <c r="R572">
        <v>10</v>
      </c>
      <c r="S572">
        <v>4014</v>
      </c>
    </row>
    <row r="573" spans="13:19" x14ac:dyDescent="0.3">
      <c r="M573" t="str">
        <f>Data_Cleaned!B573</f>
        <v>No</v>
      </c>
      <c r="N573">
        <f>Data_Cleaned!S573</f>
        <v>4364</v>
      </c>
      <c r="R573">
        <v>26</v>
      </c>
      <c r="S573">
        <v>7403</v>
      </c>
    </row>
    <row r="574" spans="13:19" x14ac:dyDescent="0.3">
      <c r="M574" t="str">
        <f>Data_Cleaned!B574</f>
        <v>No</v>
      </c>
      <c r="N574">
        <f>Data_Cleaned!S574</f>
        <v>4335</v>
      </c>
      <c r="R574">
        <v>0</v>
      </c>
      <c r="S574">
        <v>2259</v>
      </c>
    </row>
    <row r="575" spans="13:19" x14ac:dyDescent="0.3">
      <c r="M575" t="str">
        <f>Data_Cleaned!B575</f>
        <v>Yes</v>
      </c>
      <c r="N575">
        <f>Data_Cleaned!S575</f>
        <v>5326</v>
      </c>
      <c r="R575">
        <v>9</v>
      </c>
      <c r="S575">
        <v>6932</v>
      </c>
    </row>
    <row r="576" spans="13:19" x14ac:dyDescent="0.3">
      <c r="M576" t="str">
        <f>Data_Cleaned!B576</f>
        <v>No</v>
      </c>
      <c r="N576">
        <f>Data_Cleaned!S576</f>
        <v>3280</v>
      </c>
      <c r="R576">
        <v>6</v>
      </c>
      <c r="S576">
        <v>4678</v>
      </c>
    </row>
    <row r="577" spans="13:19" x14ac:dyDescent="0.3">
      <c r="M577" t="str">
        <f>Data_Cleaned!B577</f>
        <v>No</v>
      </c>
      <c r="N577">
        <f>Data_Cleaned!S577</f>
        <v>5485</v>
      </c>
      <c r="R577">
        <v>15</v>
      </c>
      <c r="S577">
        <v>13582</v>
      </c>
    </row>
    <row r="578" spans="13:19" x14ac:dyDescent="0.3">
      <c r="M578" t="str">
        <f>Data_Cleaned!B578</f>
        <v>No</v>
      </c>
      <c r="N578">
        <f>Data_Cleaned!S578</f>
        <v>4342</v>
      </c>
      <c r="R578">
        <v>3</v>
      </c>
      <c r="S578">
        <v>2332</v>
      </c>
    </row>
    <row r="579" spans="13:19" x14ac:dyDescent="0.3">
      <c r="M579" t="str">
        <f>Data_Cleaned!B579</f>
        <v>No</v>
      </c>
      <c r="N579">
        <f>Data_Cleaned!S579</f>
        <v>2782</v>
      </c>
      <c r="R579">
        <v>1</v>
      </c>
      <c r="S579">
        <v>9705</v>
      </c>
    </row>
    <row r="580" spans="13:19" x14ac:dyDescent="0.3">
      <c r="M580" t="str">
        <f>Data_Cleaned!B580</f>
        <v>No</v>
      </c>
      <c r="N580">
        <f>Data_Cleaned!S580</f>
        <v>5980</v>
      </c>
      <c r="R580">
        <v>7</v>
      </c>
      <c r="S580">
        <v>4294</v>
      </c>
    </row>
    <row r="581" spans="13:19" x14ac:dyDescent="0.3">
      <c r="M581" t="str">
        <f>Data_Cleaned!B581</f>
        <v>No</v>
      </c>
      <c r="N581">
        <f>Data_Cleaned!S581</f>
        <v>4381</v>
      </c>
      <c r="R581">
        <v>18</v>
      </c>
      <c r="S581">
        <v>4721</v>
      </c>
    </row>
    <row r="582" spans="13:19" x14ac:dyDescent="0.3">
      <c r="M582" t="str">
        <f>Data_Cleaned!B582</f>
        <v>No</v>
      </c>
      <c r="N582">
        <f>Data_Cleaned!S582</f>
        <v>2572</v>
      </c>
      <c r="R582">
        <v>11</v>
      </c>
      <c r="S582">
        <v>2519</v>
      </c>
    </row>
    <row r="583" spans="13:19" x14ac:dyDescent="0.3">
      <c r="M583" t="str">
        <f>Data_Cleaned!B583</f>
        <v>No</v>
      </c>
      <c r="N583">
        <f>Data_Cleaned!S583</f>
        <v>3833</v>
      </c>
      <c r="R583">
        <v>9</v>
      </c>
      <c r="S583">
        <v>5855</v>
      </c>
    </row>
    <row r="584" spans="13:19" x14ac:dyDescent="0.3">
      <c r="M584" t="str">
        <f>Data_Cleaned!B584</f>
        <v>No</v>
      </c>
      <c r="N584">
        <f>Data_Cleaned!S584</f>
        <v>4244</v>
      </c>
      <c r="R584">
        <v>1</v>
      </c>
      <c r="S584">
        <v>3617</v>
      </c>
    </row>
    <row r="585" spans="13:19" x14ac:dyDescent="0.3">
      <c r="M585" t="str">
        <f>Data_Cleaned!B585</f>
        <v>No</v>
      </c>
      <c r="N585">
        <f>Data_Cleaned!S585</f>
        <v>6500</v>
      </c>
      <c r="R585">
        <v>8</v>
      </c>
      <c r="S585">
        <v>6725</v>
      </c>
    </row>
    <row r="586" spans="13:19" x14ac:dyDescent="0.3">
      <c r="M586" t="str">
        <f>Data_Cleaned!B586</f>
        <v>No</v>
      </c>
      <c r="N586">
        <f>Data_Cleaned!S586</f>
        <v>18430</v>
      </c>
      <c r="R586">
        <v>5</v>
      </c>
      <c r="S586">
        <v>6949</v>
      </c>
    </row>
    <row r="587" spans="13:19" x14ac:dyDescent="0.3">
      <c r="M587" t="str">
        <f>Data_Cleaned!B587</f>
        <v>Yes</v>
      </c>
      <c r="N587">
        <f>Data_Cleaned!S587</f>
        <v>1601</v>
      </c>
      <c r="R587">
        <v>9</v>
      </c>
      <c r="S587">
        <v>4447</v>
      </c>
    </row>
    <row r="588" spans="13:19" x14ac:dyDescent="0.3">
      <c r="M588" t="str">
        <f>Data_Cleaned!B588</f>
        <v>No</v>
      </c>
      <c r="N588">
        <f>Data_Cleaned!S588</f>
        <v>2694</v>
      </c>
      <c r="R588">
        <v>3</v>
      </c>
      <c r="S588">
        <v>2157</v>
      </c>
    </row>
    <row r="589" spans="13:19" x14ac:dyDescent="0.3">
      <c r="M589" t="str">
        <f>Data_Cleaned!B589</f>
        <v>No</v>
      </c>
      <c r="N589">
        <f>Data_Cleaned!S589</f>
        <v>3149</v>
      </c>
      <c r="R589">
        <v>5</v>
      </c>
      <c r="S589">
        <v>4601</v>
      </c>
    </row>
    <row r="590" spans="13:19" x14ac:dyDescent="0.3">
      <c r="M590" t="str">
        <f>Data_Cleaned!B590</f>
        <v>No</v>
      </c>
      <c r="N590">
        <f>Data_Cleaned!S590</f>
        <v>17639</v>
      </c>
      <c r="R590">
        <v>9</v>
      </c>
      <c r="S590">
        <v>17099</v>
      </c>
    </row>
    <row r="591" spans="13:19" x14ac:dyDescent="0.3">
      <c r="M591" t="str">
        <f>Data_Cleaned!B591</f>
        <v>Yes</v>
      </c>
      <c r="N591">
        <f>Data_Cleaned!S591</f>
        <v>2319</v>
      </c>
      <c r="R591">
        <v>17</v>
      </c>
      <c r="S591">
        <v>14852</v>
      </c>
    </row>
    <row r="592" spans="13:19" x14ac:dyDescent="0.3">
      <c r="M592" t="str">
        <f>Data_Cleaned!B592</f>
        <v>No</v>
      </c>
      <c r="N592">
        <f>Data_Cleaned!S592</f>
        <v>11691</v>
      </c>
      <c r="R592">
        <v>8</v>
      </c>
      <c r="S592">
        <v>7264</v>
      </c>
    </row>
    <row r="593" spans="13:19" x14ac:dyDescent="0.3">
      <c r="M593" t="str">
        <f>Data_Cleaned!B593</f>
        <v>Yes</v>
      </c>
      <c r="N593">
        <f>Data_Cleaned!S593</f>
        <v>5324</v>
      </c>
      <c r="R593">
        <v>5</v>
      </c>
      <c r="S593">
        <v>5666</v>
      </c>
    </row>
    <row r="594" spans="13:19" x14ac:dyDescent="0.3">
      <c r="M594" t="str">
        <f>Data_Cleaned!B594</f>
        <v>No</v>
      </c>
      <c r="N594">
        <f>Data_Cleaned!S594</f>
        <v>16752</v>
      </c>
      <c r="R594">
        <v>10</v>
      </c>
      <c r="S594">
        <v>7823</v>
      </c>
    </row>
    <row r="595" spans="13:19" x14ac:dyDescent="0.3">
      <c r="M595" t="str">
        <f>Data_Cleaned!B595</f>
        <v>No</v>
      </c>
      <c r="N595">
        <f>Data_Cleaned!S595</f>
        <v>5228</v>
      </c>
      <c r="R595">
        <v>8</v>
      </c>
      <c r="S595">
        <v>7880</v>
      </c>
    </row>
    <row r="596" spans="13:19" x14ac:dyDescent="0.3">
      <c r="M596" t="str">
        <f>Data_Cleaned!B596</f>
        <v>No</v>
      </c>
      <c r="N596">
        <f>Data_Cleaned!S596</f>
        <v>2700</v>
      </c>
      <c r="R596">
        <v>19</v>
      </c>
      <c r="S596">
        <v>5067</v>
      </c>
    </row>
    <row r="597" spans="13:19" x14ac:dyDescent="0.3">
      <c r="M597" t="str">
        <f>Data_Cleaned!B597</f>
        <v>Yes</v>
      </c>
      <c r="N597">
        <f>Data_Cleaned!S597</f>
        <v>19246</v>
      </c>
      <c r="R597">
        <v>7</v>
      </c>
      <c r="S597">
        <v>5079</v>
      </c>
    </row>
    <row r="598" spans="13:19" x14ac:dyDescent="0.3">
      <c r="M598" t="str">
        <f>Data_Cleaned!B598</f>
        <v>No</v>
      </c>
      <c r="N598">
        <f>Data_Cleaned!S598</f>
        <v>2506</v>
      </c>
      <c r="R598">
        <v>10</v>
      </c>
      <c r="S598">
        <v>17444</v>
      </c>
    </row>
    <row r="599" spans="13:19" x14ac:dyDescent="0.3">
      <c r="M599" t="str">
        <f>Data_Cleaned!B599</f>
        <v>No</v>
      </c>
      <c r="N599">
        <f>Data_Cleaned!S599</f>
        <v>6062</v>
      </c>
      <c r="R599">
        <v>3</v>
      </c>
      <c r="S599">
        <v>3452</v>
      </c>
    </row>
    <row r="600" spans="13:19" x14ac:dyDescent="0.3">
      <c r="M600" t="str">
        <f>Data_Cleaned!B600</f>
        <v>Yes</v>
      </c>
      <c r="N600">
        <f>Data_Cleaned!S600</f>
        <v>4382</v>
      </c>
      <c r="R600">
        <v>5</v>
      </c>
      <c r="S600">
        <v>2270</v>
      </c>
    </row>
    <row r="601" spans="13:19" x14ac:dyDescent="0.3">
      <c r="M601" t="str">
        <f>Data_Cleaned!B601</f>
        <v>No</v>
      </c>
      <c r="N601">
        <f>Data_Cleaned!S601</f>
        <v>2143</v>
      </c>
      <c r="R601">
        <v>5</v>
      </c>
      <c r="S601">
        <v>17399</v>
      </c>
    </row>
    <row r="602" spans="13:19" x14ac:dyDescent="0.3">
      <c r="M602" t="str">
        <f>Data_Cleaned!B602</f>
        <v>No</v>
      </c>
      <c r="N602">
        <f>Data_Cleaned!S602</f>
        <v>6162</v>
      </c>
      <c r="R602">
        <v>6</v>
      </c>
      <c r="S602">
        <v>5488</v>
      </c>
    </row>
    <row r="603" spans="13:19" x14ac:dyDescent="0.3">
      <c r="M603" t="str">
        <f>Data_Cleaned!B603</f>
        <v>No</v>
      </c>
      <c r="N603">
        <f>Data_Cleaned!S603</f>
        <v>5094</v>
      </c>
      <c r="R603">
        <v>18</v>
      </c>
      <c r="S603">
        <v>19419</v>
      </c>
    </row>
    <row r="604" spans="13:19" x14ac:dyDescent="0.3">
      <c r="M604" t="str">
        <f>Data_Cleaned!B604</f>
        <v>No</v>
      </c>
      <c r="N604">
        <f>Data_Cleaned!S604</f>
        <v>6877</v>
      </c>
      <c r="R604">
        <v>2</v>
      </c>
      <c r="S604">
        <v>2811</v>
      </c>
    </row>
    <row r="605" spans="13:19" x14ac:dyDescent="0.3">
      <c r="M605" t="str">
        <f>Data_Cleaned!B605</f>
        <v>No</v>
      </c>
      <c r="N605">
        <f>Data_Cleaned!S605</f>
        <v>2274</v>
      </c>
      <c r="R605">
        <v>9</v>
      </c>
      <c r="S605">
        <v>3633</v>
      </c>
    </row>
    <row r="606" spans="13:19" x14ac:dyDescent="0.3">
      <c r="M606" t="str">
        <f>Data_Cleaned!B606</f>
        <v>No</v>
      </c>
      <c r="N606">
        <f>Data_Cleaned!S606</f>
        <v>4434</v>
      </c>
      <c r="R606">
        <v>9</v>
      </c>
      <c r="S606">
        <v>4163</v>
      </c>
    </row>
    <row r="607" spans="13:19" x14ac:dyDescent="0.3">
      <c r="M607" t="str">
        <f>Data_Cleaned!B607</f>
        <v>No</v>
      </c>
      <c r="N607">
        <f>Data_Cleaned!S607</f>
        <v>6288</v>
      </c>
      <c r="R607">
        <v>12</v>
      </c>
      <c r="S607">
        <v>13973</v>
      </c>
    </row>
    <row r="608" spans="13:19" x14ac:dyDescent="0.3">
      <c r="M608" t="str">
        <f>Data_Cleaned!B608</f>
        <v>No</v>
      </c>
      <c r="N608">
        <f>Data_Cleaned!S608</f>
        <v>2553</v>
      </c>
      <c r="R608">
        <v>2</v>
      </c>
      <c r="S608">
        <v>2684</v>
      </c>
    </row>
    <row r="609" spans="13:19" x14ac:dyDescent="0.3">
      <c r="M609" t="str">
        <f>Data_Cleaned!B609</f>
        <v>Yes</v>
      </c>
      <c r="N609">
        <f>Data_Cleaned!S609</f>
        <v>7654</v>
      </c>
      <c r="R609">
        <v>8</v>
      </c>
      <c r="S609">
        <v>10845</v>
      </c>
    </row>
    <row r="610" spans="13:19" x14ac:dyDescent="0.3">
      <c r="M610" t="str">
        <f>Data_Cleaned!B610</f>
        <v>Yes</v>
      </c>
      <c r="N610">
        <f>Data_Cleaned!S610</f>
        <v>5160</v>
      </c>
      <c r="R610">
        <v>4</v>
      </c>
      <c r="S610">
        <v>4377</v>
      </c>
    </row>
    <row r="611" spans="13:19" x14ac:dyDescent="0.3">
      <c r="M611" t="str">
        <f>Data_Cleaned!B611</f>
        <v>No</v>
      </c>
      <c r="N611">
        <f>Data_Cleaned!S611</f>
        <v>17159</v>
      </c>
      <c r="R611">
        <v>4</v>
      </c>
      <c r="S611">
        <v>4148</v>
      </c>
    </row>
    <row r="612" spans="13:19" x14ac:dyDescent="0.3">
      <c r="M612" t="str">
        <f>Data_Cleaned!B612</f>
        <v>No</v>
      </c>
      <c r="N612">
        <f>Data_Cleaned!S612</f>
        <v>12808</v>
      </c>
      <c r="R612">
        <v>0</v>
      </c>
      <c r="S612">
        <v>1051</v>
      </c>
    </row>
    <row r="613" spans="13:19" x14ac:dyDescent="0.3">
      <c r="M613" t="str">
        <f>Data_Cleaned!B613</f>
        <v>No</v>
      </c>
      <c r="N613">
        <f>Data_Cleaned!S613</f>
        <v>10221</v>
      </c>
      <c r="R613">
        <v>10</v>
      </c>
      <c r="S613">
        <v>10739</v>
      </c>
    </row>
    <row r="614" spans="13:19" x14ac:dyDescent="0.3">
      <c r="M614" t="str">
        <f>Data_Cleaned!B614</f>
        <v>No</v>
      </c>
      <c r="N614">
        <f>Data_Cleaned!S614</f>
        <v>4779</v>
      </c>
      <c r="R614">
        <v>16</v>
      </c>
      <c r="S614">
        <v>10388</v>
      </c>
    </row>
    <row r="615" spans="13:19" x14ac:dyDescent="0.3">
      <c r="M615" t="str">
        <f>Data_Cleaned!B615</f>
        <v>No</v>
      </c>
      <c r="N615">
        <f>Data_Cleaned!S615</f>
        <v>3737</v>
      </c>
      <c r="R615">
        <v>8</v>
      </c>
      <c r="S615">
        <v>11416</v>
      </c>
    </row>
    <row r="616" spans="13:19" x14ac:dyDescent="0.3">
      <c r="M616" t="str">
        <f>Data_Cleaned!B616</f>
        <v>Yes</v>
      </c>
      <c r="N616">
        <f>Data_Cleaned!S616</f>
        <v>2366</v>
      </c>
      <c r="R616">
        <v>8</v>
      </c>
      <c r="S616">
        <v>5472</v>
      </c>
    </row>
    <row r="617" spans="13:19" x14ac:dyDescent="0.3">
      <c r="M617" t="str">
        <f>Data_Cleaned!B617</f>
        <v>No</v>
      </c>
      <c r="N617">
        <f>Data_Cleaned!S617</f>
        <v>1706</v>
      </c>
      <c r="R617">
        <v>4</v>
      </c>
      <c r="S617">
        <v>2451</v>
      </c>
    </row>
    <row r="618" spans="13:19" x14ac:dyDescent="0.3">
      <c r="M618" t="str">
        <f>Data_Cleaned!B618</f>
        <v>No</v>
      </c>
      <c r="N618">
        <f>Data_Cleaned!S618</f>
        <v>16307</v>
      </c>
      <c r="R618">
        <v>2</v>
      </c>
      <c r="S618">
        <v>4240</v>
      </c>
    </row>
    <row r="619" spans="13:19" x14ac:dyDescent="0.3">
      <c r="M619" t="str">
        <f>Data_Cleaned!B619</f>
        <v>No</v>
      </c>
      <c r="N619">
        <f>Data_Cleaned!S619</f>
        <v>5933</v>
      </c>
      <c r="R619">
        <v>15</v>
      </c>
      <c r="S619">
        <v>10999</v>
      </c>
    </row>
    <row r="620" spans="13:19" x14ac:dyDescent="0.3">
      <c r="M620" t="str">
        <f>Data_Cleaned!B620</f>
        <v>No</v>
      </c>
      <c r="N620">
        <f>Data_Cleaned!S620</f>
        <v>3424</v>
      </c>
      <c r="R620">
        <v>2</v>
      </c>
      <c r="S620">
        <v>5003</v>
      </c>
    </row>
    <row r="621" spans="13:19" x14ac:dyDescent="0.3">
      <c r="M621" t="str">
        <f>Data_Cleaned!B621</f>
        <v>No</v>
      </c>
      <c r="N621">
        <f>Data_Cleaned!S621</f>
        <v>4037</v>
      </c>
      <c r="R621">
        <v>21</v>
      </c>
      <c r="S621">
        <v>12742</v>
      </c>
    </row>
    <row r="622" spans="13:19" x14ac:dyDescent="0.3">
      <c r="M622" t="str">
        <f>Data_Cleaned!B622</f>
        <v>No</v>
      </c>
      <c r="N622">
        <f>Data_Cleaned!S622</f>
        <v>2559</v>
      </c>
      <c r="R622">
        <v>3</v>
      </c>
      <c r="S622">
        <v>4227</v>
      </c>
    </row>
    <row r="623" spans="13:19" x14ac:dyDescent="0.3">
      <c r="M623" t="str">
        <f>Data_Cleaned!B623</f>
        <v>No</v>
      </c>
      <c r="N623">
        <f>Data_Cleaned!S623</f>
        <v>6201</v>
      </c>
      <c r="R623">
        <v>3</v>
      </c>
      <c r="S623">
        <v>3917</v>
      </c>
    </row>
    <row r="624" spans="13:19" x14ac:dyDescent="0.3">
      <c r="M624" t="str">
        <f>Data_Cleaned!B624</f>
        <v>No</v>
      </c>
      <c r="N624">
        <f>Data_Cleaned!S624</f>
        <v>4403</v>
      </c>
      <c r="R624">
        <v>1</v>
      </c>
      <c r="S624">
        <v>18303</v>
      </c>
    </row>
    <row r="625" spans="13:19" x14ac:dyDescent="0.3">
      <c r="M625" t="str">
        <f>Data_Cleaned!B625</f>
        <v>No</v>
      </c>
      <c r="N625">
        <f>Data_Cleaned!S625</f>
        <v>3761</v>
      </c>
      <c r="R625">
        <v>1</v>
      </c>
      <c r="S625">
        <v>2380</v>
      </c>
    </row>
    <row r="626" spans="13:19" x14ac:dyDescent="0.3">
      <c r="M626" t="str">
        <f>Data_Cleaned!B626</f>
        <v>No</v>
      </c>
      <c r="N626">
        <f>Data_Cleaned!S626</f>
        <v>10934</v>
      </c>
      <c r="R626">
        <v>5</v>
      </c>
      <c r="S626">
        <v>13726</v>
      </c>
    </row>
    <row r="627" spans="13:19" x14ac:dyDescent="0.3">
      <c r="M627" t="str">
        <f>Data_Cleaned!B627</f>
        <v>No</v>
      </c>
      <c r="N627">
        <f>Data_Cleaned!S627</f>
        <v>10761</v>
      </c>
      <c r="R627">
        <v>8</v>
      </c>
      <c r="S627">
        <v>6385</v>
      </c>
    </row>
    <row r="628" spans="13:19" x14ac:dyDescent="0.3">
      <c r="M628" t="str">
        <f>Data_Cleaned!B628</f>
        <v>No</v>
      </c>
      <c r="N628">
        <f>Data_Cleaned!S628</f>
        <v>5175</v>
      </c>
      <c r="R628">
        <v>21</v>
      </c>
      <c r="S628">
        <v>19973</v>
      </c>
    </row>
    <row r="629" spans="13:19" x14ac:dyDescent="0.3">
      <c r="M629" t="str">
        <f>Data_Cleaned!B629</f>
        <v>No</v>
      </c>
      <c r="N629">
        <f>Data_Cleaned!S629</f>
        <v>13826</v>
      </c>
      <c r="R629">
        <v>1</v>
      </c>
      <c r="S629">
        <v>6861</v>
      </c>
    </row>
    <row r="630" spans="13:19" x14ac:dyDescent="0.3">
      <c r="M630" t="str">
        <f>Data_Cleaned!B630</f>
        <v>No</v>
      </c>
      <c r="N630">
        <f>Data_Cleaned!S630</f>
        <v>6334</v>
      </c>
      <c r="R630">
        <v>12</v>
      </c>
      <c r="S630">
        <v>13320</v>
      </c>
    </row>
    <row r="631" spans="13:19" x14ac:dyDescent="0.3">
      <c r="M631" t="str">
        <f>Data_Cleaned!B631</f>
        <v>No</v>
      </c>
      <c r="N631">
        <f>Data_Cleaned!S631</f>
        <v>4936</v>
      </c>
      <c r="R631">
        <v>18</v>
      </c>
      <c r="S631">
        <v>6347</v>
      </c>
    </row>
    <row r="632" spans="13:19" x14ac:dyDescent="0.3">
      <c r="M632" t="str">
        <f>Data_Cleaned!B632</f>
        <v>No</v>
      </c>
      <c r="N632">
        <f>Data_Cleaned!S632</f>
        <v>4775</v>
      </c>
      <c r="R632">
        <v>21</v>
      </c>
      <c r="S632">
        <v>10880</v>
      </c>
    </row>
    <row r="633" spans="13:19" x14ac:dyDescent="0.3">
      <c r="M633" t="str">
        <f>Data_Cleaned!B633</f>
        <v>No</v>
      </c>
      <c r="N633">
        <f>Data_Cleaned!S633</f>
        <v>2818</v>
      </c>
      <c r="R633">
        <v>2</v>
      </c>
      <c r="S633">
        <v>2342</v>
      </c>
    </row>
    <row r="634" spans="13:19" x14ac:dyDescent="0.3">
      <c r="M634" t="str">
        <f>Data_Cleaned!B634</f>
        <v>No</v>
      </c>
      <c r="N634">
        <f>Data_Cleaned!S634</f>
        <v>2515</v>
      </c>
      <c r="R634">
        <v>9</v>
      </c>
      <c r="S634">
        <v>17650</v>
      </c>
    </row>
    <row r="635" spans="13:19" x14ac:dyDescent="0.3">
      <c r="M635" t="str">
        <f>Data_Cleaned!B635</f>
        <v>No</v>
      </c>
      <c r="N635">
        <f>Data_Cleaned!S635</f>
        <v>2342</v>
      </c>
      <c r="R635">
        <v>8</v>
      </c>
      <c r="S635">
        <v>4025</v>
      </c>
    </row>
    <row r="636" spans="13:19" x14ac:dyDescent="0.3">
      <c r="M636" t="str">
        <f>Data_Cleaned!B636</f>
        <v>No</v>
      </c>
      <c r="N636">
        <f>Data_Cleaned!S636</f>
        <v>4194</v>
      </c>
      <c r="R636">
        <v>15</v>
      </c>
      <c r="S636">
        <v>9725</v>
      </c>
    </row>
    <row r="637" spans="13:19" x14ac:dyDescent="0.3">
      <c r="M637" t="str">
        <f>Data_Cleaned!B637</f>
        <v>No</v>
      </c>
      <c r="N637">
        <f>Data_Cleaned!S637</f>
        <v>10685</v>
      </c>
      <c r="R637">
        <v>6</v>
      </c>
      <c r="S637">
        <v>11904</v>
      </c>
    </row>
    <row r="638" spans="13:19" x14ac:dyDescent="0.3">
      <c r="M638" t="str">
        <f>Data_Cleaned!B638</f>
        <v>Yes</v>
      </c>
      <c r="N638">
        <f>Data_Cleaned!S638</f>
        <v>2022</v>
      </c>
      <c r="R638">
        <v>6</v>
      </c>
      <c r="S638">
        <v>2177</v>
      </c>
    </row>
    <row r="639" spans="13:19" x14ac:dyDescent="0.3">
      <c r="M639" t="str">
        <f>Data_Cleaned!B639</f>
        <v>No</v>
      </c>
      <c r="N639">
        <f>Data_Cleaned!S639</f>
        <v>2314</v>
      </c>
      <c r="R639">
        <v>15</v>
      </c>
      <c r="S639">
        <v>7525</v>
      </c>
    </row>
    <row r="640" spans="13:19" x14ac:dyDescent="0.3">
      <c r="M640" t="str">
        <f>Data_Cleaned!B640</f>
        <v>No</v>
      </c>
      <c r="N640">
        <f>Data_Cleaned!S640</f>
        <v>4256</v>
      </c>
      <c r="R640">
        <v>1</v>
      </c>
      <c r="S640">
        <v>2220</v>
      </c>
    </row>
    <row r="641" spans="13:19" x14ac:dyDescent="0.3">
      <c r="M641" t="str">
        <f>Data_Cleaned!B641</f>
        <v>No</v>
      </c>
      <c r="N641">
        <f>Data_Cleaned!S641</f>
        <v>3580</v>
      </c>
      <c r="R641">
        <v>1</v>
      </c>
      <c r="S641">
        <v>1052</v>
      </c>
    </row>
    <row r="642" spans="13:19" x14ac:dyDescent="0.3">
      <c r="M642" t="str">
        <f>Data_Cleaned!B642</f>
        <v>No</v>
      </c>
      <c r="N642">
        <f>Data_Cleaned!S642</f>
        <v>3162</v>
      </c>
      <c r="R642">
        <v>2</v>
      </c>
      <c r="S642">
        <v>2821</v>
      </c>
    </row>
    <row r="643" spans="13:19" x14ac:dyDescent="0.3">
      <c r="M643" t="str">
        <f>Data_Cleaned!B643</f>
        <v>No</v>
      </c>
      <c r="N643">
        <f>Data_Cleaned!S643</f>
        <v>6524</v>
      </c>
      <c r="R643">
        <v>8</v>
      </c>
      <c r="S643">
        <v>19237</v>
      </c>
    </row>
    <row r="644" spans="13:19" x14ac:dyDescent="0.3">
      <c r="M644" t="str">
        <f>Data_Cleaned!B644</f>
        <v>No</v>
      </c>
      <c r="N644">
        <f>Data_Cleaned!S644</f>
        <v>2899</v>
      </c>
      <c r="R644">
        <v>4</v>
      </c>
      <c r="S644">
        <v>4107</v>
      </c>
    </row>
    <row r="645" spans="13:19" x14ac:dyDescent="0.3">
      <c r="M645" t="str">
        <f>Data_Cleaned!B645</f>
        <v>No</v>
      </c>
      <c r="N645">
        <f>Data_Cleaned!S645</f>
        <v>5231</v>
      </c>
      <c r="R645">
        <v>7</v>
      </c>
      <c r="S645">
        <v>8396</v>
      </c>
    </row>
    <row r="646" spans="13:19" x14ac:dyDescent="0.3">
      <c r="M646" t="str">
        <f>Data_Cleaned!B646</f>
        <v>No</v>
      </c>
      <c r="N646">
        <f>Data_Cleaned!S646</f>
        <v>2356</v>
      </c>
      <c r="R646">
        <v>5</v>
      </c>
      <c r="S646">
        <v>2007</v>
      </c>
    </row>
    <row r="647" spans="13:19" x14ac:dyDescent="0.3">
      <c r="M647" t="str">
        <f>Data_Cleaned!B647</f>
        <v>Yes</v>
      </c>
      <c r="N647">
        <f>Data_Cleaned!S647</f>
        <v>2800</v>
      </c>
      <c r="R647">
        <v>2</v>
      </c>
      <c r="S647">
        <v>19627</v>
      </c>
    </row>
    <row r="648" spans="13:19" x14ac:dyDescent="0.3">
      <c r="M648" t="str">
        <f>Data_Cleaned!B648</f>
        <v>No</v>
      </c>
      <c r="N648">
        <f>Data_Cleaned!S648</f>
        <v>11836</v>
      </c>
      <c r="R648">
        <v>9</v>
      </c>
      <c r="S648">
        <v>10686</v>
      </c>
    </row>
    <row r="649" spans="13:19" x14ac:dyDescent="0.3">
      <c r="M649" t="str">
        <f>Data_Cleaned!B649</f>
        <v>No</v>
      </c>
      <c r="N649">
        <f>Data_Cleaned!S649</f>
        <v>10903</v>
      </c>
      <c r="R649">
        <v>5</v>
      </c>
      <c r="S649">
        <v>2942</v>
      </c>
    </row>
    <row r="650" spans="13:19" x14ac:dyDescent="0.3">
      <c r="M650" t="str">
        <f>Data_Cleaned!B650</f>
        <v>No</v>
      </c>
      <c r="N650">
        <f>Data_Cleaned!S650</f>
        <v>2973</v>
      </c>
      <c r="R650">
        <v>14</v>
      </c>
      <c r="S650">
        <v>8858</v>
      </c>
    </row>
    <row r="651" spans="13:19" x14ac:dyDescent="0.3">
      <c r="M651" t="str">
        <f>Data_Cleaned!B651</f>
        <v>No</v>
      </c>
      <c r="N651">
        <f>Data_Cleaned!S651</f>
        <v>14275</v>
      </c>
      <c r="R651">
        <v>9</v>
      </c>
      <c r="S651">
        <v>16756</v>
      </c>
    </row>
    <row r="652" spans="13:19" x14ac:dyDescent="0.3">
      <c r="M652" t="str">
        <f>Data_Cleaned!B652</f>
        <v>No</v>
      </c>
      <c r="N652">
        <f>Data_Cleaned!S652</f>
        <v>5562</v>
      </c>
      <c r="R652">
        <v>1</v>
      </c>
      <c r="S652">
        <v>10798</v>
      </c>
    </row>
    <row r="653" spans="13:19" x14ac:dyDescent="0.3">
      <c r="M653" t="str">
        <f>Data_Cleaned!B653</f>
        <v>No</v>
      </c>
      <c r="N653">
        <f>Data_Cleaned!S653</f>
        <v>4537</v>
      </c>
      <c r="R653">
        <v>16</v>
      </c>
      <c r="S653">
        <v>4615</v>
      </c>
    </row>
    <row r="654" spans="13:19" x14ac:dyDescent="0.3">
      <c r="M654" t="str">
        <f>Data_Cleaned!B654</f>
        <v>No</v>
      </c>
      <c r="N654">
        <f>Data_Cleaned!S654</f>
        <v>7642</v>
      </c>
      <c r="R654">
        <v>5</v>
      </c>
      <c r="S654">
        <v>3955</v>
      </c>
    </row>
    <row r="655" spans="13:19" x14ac:dyDescent="0.3">
      <c r="M655" t="str">
        <f>Data_Cleaned!B655</f>
        <v>No</v>
      </c>
      <c r="N655">
        <f>Data_Cleaned!S655</f>
        <v>17924</v>
      </c>
      <c r="R655">
        <v>6</v>
      </c>
      <c r="S655">
        <v>9957</v>
      </c>
    </row>
    <row r="656" spans="13:19" x14ac:dyDescent="0.3">
      <c r="M656" t="str">
        <f>Data_Cleaned!B656</f>
        <v>No</v>
      </c>
      <c r="N656">
        <f>Data_Cleaned!S656</f>
        <v>5204</v>
      </c>
      <c r="R656">
        <v>10</v>
      </c>
      <c r="S656">
        <v>3376</v>
      </c>
    </row>
    <row r="657" spans="13:19" x14ac:dyDescent="0.3">
      <c r="M657" t="str">
        <f>Data_Cleaned!B657</f>
        <v>No</v>
      </c>
      <c r="N657">
        <f>Data_Cleaned!S657</f>
        <v>2277</v>
      </c>
      <c r="R657">
        <v>19</v>
      </c>
      <c r="S657">
        <v>8823</v>
      </c>
    </row>
    <row r="658" spans="13:19" x14ac:dyDescent="0.3">
      <c r="M658" t="str">
        <f>Data_Cleaned!B658</f>
        <v>Yes</v>
      </c>
      <c r="N658">
        <f>Data_Cleaned!S658</f>
        <v>2795</v>
      </c>
      <c r="R658">
        <v>11</v>
      </c>
      <c r="S658">
        <v>10322</v>
      </c>
    </row>
    <row r="659" spans="13:19" x14ac:dyDescent="0.3">
      <c r="M659" t="str">
        <f>Data_Cleaned!B659</f>
        <v>No</v>
      </c>
      <c r="N659">
        <f>Data_Cleaned!S659</f>
        <v>2532</v>
      </c>
      <c r="R659">
        <v>3</v>
      </c>
      <c r="S659">
        <v>4621</v>
      </c>
    </row>
    <row r="660" spans="13:19" x14ac:dyDescent="0.3">
      <c r="M660" t="str">
        <f>Data_Cleaned!B660</f>
        <v>No</v>
      </c>
      <c r="N660">
        <f>Data_Cleaned!S660</f>
        <v>2559</v>
      </c>
      <c r="R660">
        <v>3</v>
      </c>
      <c r="S660">
        <v>10976</v>
      </c>
    </row>
    <row r="661" spans="13:19" x14ac:dyDescent="0.3">
      <c r="M661" t="str">
        <f>Data_Cleaned!B661</f>
        <v>No</v>
      </c>
      <c r="N661">
        <f>Data_Cleaned!S661</f>
        <v>4908</v>
      </c>
      <c r="R661">
        <v>8</v>
      </c>
      <c r="S661">
        <v>3660</v>
      </c>
    </row>
    <row r="662" spans="13:19" x14ac:dyDescent="0.3">
      <c r="M662" t="str">
        <f>Data_Cleaned!B662</f>
        <v>Yes</v>
      </c>
      <c r="N662">
        <f>Data_Cleaned!S662</f>
        <v>2380</v>
      </c>
      <c r="R662">
        <v>3</v>
      </c>
      <c r="S662">
        <v>7119</v>
      </c>
    </row>
    <row r="663" spans="13:19" x14ac:dyDescent="0.3">
      <c r="M663" t="str">
        <f>Data_Cleaned!B663</f>
        <v>No</v>
      </c>
      <c r="N663">
        <f>Data_Cleaned!S663</f>
        <v>4765</v>
      </c>
      <c r="R663">
        <v>4</v>
      </c>
      <c r="S663">
        <v>2207</v>
      </c>
    </row>
    <row r="664" spans="13:19" x14ac:dyDescent="0.3">
      <c r="M664" t="str">
        <f>Data_Cleaned!B664</f>
        <v>Yes</v>
      </c>
      <c r="N664">
        <f>Data_Cleaned!S664</f>
        <v>2044</v>
      </c>
      <c r="R664">
        <v>6</v>
      </c>
      <c r="S664">
        <v>7756</v>
      </c>
    </row>
    <row r="665" spans="13:19" x14ac:dyDescent="0.3">
      <c r="M665" t="str">
        <f>Data_Cleaned!B665</f>
        <v>Yes</v>
      </c>
      <c r="N665">
        <f>Data_Cleaned!S665</f>
        <v>2693</v>
      </c>
      <c r="R665">
        <v>1</v>
      </c>
      <c r="S665">
        <v>6694</v>
      </c>
    </row>
    <row r="666" spans="13:19" x14ac:dyDescent="0.3">
      <c r="M666" t="str">
        <f>Data_Cleaned!B666</f>
        <v>No</v>
      </c>
      <c r="N666">
        <f>Data_Cleaned!S666</f>
        <v>6586</v>
      </c>
      <c r="R666">
        <v>22</v>
      </c>
      <c r="S666">
        <v>17665</v>
      </c>
    </row>
    <row r="667" spans="13:19" x14ac:dyDescent="0.3">
      <c r="M667" t="str">
        <f>Data_Cleaned!B667</f>
        <v>No</v>
      </c>
      <c r="N667">
        <f>Data_Cleaned!S667</f>
        <v>3294</v>
      </c>
      <c r="R667">
        <v>3</v>
      </c>
      <c r="S667">
        <v>4302</v>
      </c>
    </row>
    <row r="668" spans="13:19" x14ac:dyDescent="0.3">
      <c r="M668" t="str">
        <f>Data_Cleaned!B668</f>
        <v>Yes</v>
      </c>
      <c r="N668">
        <f>Data_Cleaned!S668</f>
        <v>4171</v>
      </c>
      <c r="R668">
        <v>0</v>
      </c>
      <c r="S668">
        <v>2979</v>
      </c>
    </row>
    <row r="669" spans="13:19" x14ac:dyDescent="0.3">
      <c r="M669" t="str">
        <f>Data_Cleaned!B669</f>
        <v>Yes</v>
      </c>
      <c r="N669">
        <f>Data_Cleaned!S669</f>
        <v>2778</v>
      </c>
      <c r="R669">
        <v>5</v>
      </c>
      <c r="S669">
        <v>16885</v>
      </c>
    </row>
    <row r="670" spans="13:19" x14ac:dyDescent="0.3">
      <c r="M670" t="str">
        <f>Data_Cleaned!B670</f>
        <v>No</v>
      </c>
      <c r="N670">
        <f>Data_Cleaned!S670</f>
        <v>2377</v>
      </c>
      <c r="R670">
        <v>15</v>
      </c>
      <c r="S670">
        <v>5593</v>
      </c>
    </row>
    <row r="671" spans="13:19" x14ac:dyDescent="0.3">
      <c r="M671" t="str">
        <f>Data_Cleaned!B671</f>
        <v>Yes</v>
      </c>
      <c r="N671">
        <f>Data_Cleaned!S671</f>
        <v>2404</v>
      </c>
      <c r="R671">
        <v>8</v>
      </c>
      <c r="S671">
        <v>10445</v>
      </c>
    </row>
    <row r="672" spans="13:19" x14ac:dyDescent="0.3">
      <c r="M672" t="str">
        <f>Data_Cleaned!B672</f>
        <v>No</v>
      </c>
      <c r="N672">
        <f>Data_Cleaned!S672</f>
        <v>2674</v>
      </c>
      <c r="R672">
        <v>8</v>
      </c>
      <c r="S672">
        <v>8740</v>
      </c>
    </row>
    <row r="673" spans="13:19" x14ac:dyDescent="0.3">
      <c r="M673" t="str">
        <f>Data_Cleaned!B673</f>
        <v>No</v>
      </c>
      <c r="N673">
        <f>Data_Cleaned!S673</f>
        <v>2008</v>
      </c>
      <c r="R673">
        <v>7</v>
      </c>
      <c r="S673">
        <v>2514</v>
      </c>
    </row>
    <row r="674" spans="13:19" x14ac:dyDescent="0.3">
      <c r="M674" t="str">
        <f>Data_Cleaned!B674</f>
        <v>No</v>
      </c>
      <c r="N674">
        <f>Data_Cleaned!S674</f>
        <v>6244</v>
      </c>
      <c r="R674">
        <v>9</v>
      </c>
      <c r="S674">
        <v>7655</v>
      </c>
    </row>
    <row r="675" spans="13:19" x14ac:dyDescent="0.3">
      <c r="M675" t="str">
        <f>Data_Cleaned!B675</f>
        <v>No</v>
      </c>
      <c r="N675">
        <f>Data_Cleaned!S675</f>
        <v>2799</v>
      </c>
      <c r="R675">
        <v>12</v>
      </c>
      <c r="S675">
        <v>17465</v>
      </c>
    </row>
    <row r="676" spans="13:19" x14ac:dyDescent="0.3">
      <c r="M676" t="str">
        <f>Data_Cleaned!B676</f>
        <v>No</v>
      </c>
      <c r="N676">
        <f>Data_Cleaned!S676</f>
        <v>10552</v>
      </c>
      <c r="R676">
        <v>1</v>
      </c>
      <c r="S676">
        <v>7351</v>
      </c>
    </row>
    <row r="677" spans="13:19" x14ac:dyDescent="0.3">
      <c r="M677" t="str">
        <f>Data_Cleaned!B677</f>
        <v>No</v>
      </c>
      <c r="N677">
        <f>Data_Cleaned!S677</f>
        <v>2329</v>
      </c>
      <c r="R677">
        <v>8</v>
      </c>
      <c r="S677">
        <v>10820</v>
      </c>
    </row>
    <row r="678" spans="13:19" x14ac:dyDescent="0.3">
      <c r="M678" t="str">
        <f>Data_Cleaned!B678</f>
        <v>No</v>
      </c>
      <c r="N678">
        <f>Data_Cleaned!S678</f>
        <v>4014</v>
      </c>
      <c r="R678">
        <v>20</v>
      </c>
      <c r="S678">
        <v>19626</v>
      </c>
    </row>
    <row r="679" spans="13:19" x14ac:dyDescent="0.3">
      <c r="M679" t="str">
        <f>Data_Cleaned!B679</f>
        <v>No</v>
      </c>
      <c r="N679">
        <f>Data_Cleaned!S679</f>
        <v>7403</v>
      </c>
      <c r="R679">
        <v>2</v>
      </c>
      <c r="S679">
        <v>2070</v>
      </c>
    </row>
    <row r="680" spans="13:19" x14ac:dyDescent="0.3">
      <c r="M680" t="str">
        <f>Data_Cleaned!B680</f>
        <v>No</v>
      </c>
      <c r="N680">
        <f>Data_Cleaned!S680</f>
        <v>2259</v>
      </c>
      <c r="R680">
        <v>5</v>
      </c>
      <c r="S680">
        <v>6782</v>
      </c>
    </row>
    <row r="681" spans="13:19" x14ac:dyDescent="0.3">
      <c r="M681" t="str">
        <f>Data_Cleaned!B681</f>
        <v>No</v>
      </c>
      <c r="N681">
        <f>Data_Cleaned!S681</f>
        <v>6932</v>
      </c>
      <c r="R681">
        <v>11</v>
      </c>
      <c r="S681">
        <v>7779</v>
      </c>
    </row>
    <row r="682" spans="13:19" x14ac:dyDescent="0.3">
      <c r="M682" t="str">
        <f>Data_Cleaned!B682</f>
        <v>No</v>
      </c>
      <c r="N682">
        <f>Data_Cleaned!S682</f>
        <v>4678</v>
      </c>
      <c r="R682">
        <v>2</v>
      </c>
      <c r="S682">
        <v>2791</v>
      </c>
    </row>
    <row r="683" spans="13:19" x14ac:dyDescent="0.3">
      <c r="M683" t="str">
        <f>Data_Cleaned!B683</f>
        <v>No</v>
      </c>
      <c r="N683">
        <f>Data_Cleaned!S683</f>
        <v>13582</v>
      </c>
      <c r="R683">
        <v>5</v>
      </c>
      <c r="S683">
        <v>3201</v>
      </c>
    </row>
    <row r="684" spans="13:19" x14ac:dyDescent="0.3">
      <c r="M684" t="str">
        <f>Data_Cleaned!B684</f>
        <v>No</v>
      </c>
      <c r="N684">
        <f>Data_Cleaned!S684</f>
        <v>2332</v>
      </c>
      <c r="R684">
        <v>5</v>
      </c>
      <c r="S684">
        <v>4968</v>
      </c>
    </row>
    <row r="685" spans="13:19" x14ac:dyDescent="0.3">
      <c r="M685" t="str">
        <f>Data_Cleaned!B685</f>
        <v>Yes</v>
      </c>
      <c r="N685">
        <f>Data_Cleaned!S685</f>
        <v>2413</v>
      </c>
      <c r="R685">
        <v>9</v>
      </c>
      <c r="S685">
        <v>13120</v>
      </c>
    </row>
    <row r="686" spans="13:19" x14ac:dyDescent="0.3">
      <c r="M686" t="str">
        <f>Data_Cleaned!B686</f>
        <v>No</v>
      </c>
      <c r="N686">
        <f>Data_Cleaned!S686</f>
        <v>9705</v>
      </c>
      <c r="R686">
        <v>3</v>
      </c>
      <c r="S686">
        <v>4033</v>
      </c>
    </row>
    <row r="687" spans="13:19" x14ac:dyDescent="0.3">
      <c r="M687" t="str">
        <f>Data_Cleaned!B687</f>
        <v>No</v>
      </c>
      <c r="N687">
        <f>Data_Cleaned!S687</f>
        <v>4294</v>
      </c>
      <c r="R687">
        <v>7</v>
      </c>
      <c r="S687">
        <v>3291</v>
      </c>
    </row>
    <row r="688" spans="13:19" x14ac:dyDescent="0.3">
      <c r="M688" t="str">
        <f>Data_Cleaned!B688</f>
        <v>No</v>
      </c>
      <c r="N688">
        <f>Data_Cleaned!S688</f>
        <v>4721</v>
      </c>
      <c r="R688">
        <v>1</v>
      </c>
      <c r="S688">
        <v>4272</v>
      </c>
    </row>
    <row r="689" spans="13:19" x14ac:dyDescent="0.3">
      <c r="M689" t="str">
        <f>Data_Cleaned!B689</f>
        <v>No</v>
      </c>
      <c r="N689">
        <f>Data_Cleaned!S689</f>
        <v>2519</v>
      </c>
      <c r="R689">
        <v>10</v>
      </c>
      <c r="S689">
        <v>5056</v>
      </c>
    </row>
    <row r="690" spans="13:19" x14ac:dyDescent="0.3">
      <c r="M690" t="str">
        <f>Data_Cleaned!B690</f>
        <v>Yes</v>
      </c>
      <c r="N690">
        <f>Data_Cleaned!S690</f>
        <v>2121</v>
      </c>
      <c r="R690">
        <v>7</v>
      </c>
      <c r="S690">
        <v>2844</v>
      </c>
    </row>
    <row r="691" spans="13:19" x14ac:dyDescent="0.3">
      <c r="M691" t="str">
        <f>Data_Cleaned!B691</f>
        <v>Yes</v>
      </c>
      <c r="N691">
        <f>Data_Cleaned!S691</f>
        <v>2973</v>
      </c>
      <c r="R691">
        <v>3</v>
      </c>
      <c r="S691">
        <v>2703</v>
      </c>
    </row>
    <row r="692" spans="13:19" x14ac:dyDescent="0.3">
      <c r="M692" t="str">
        <f>Data_Cleaned!B692</f>
        <v>No</v>
      </c>
      <c r="N692">
        <f>Data_Cleaned!S692</f>
        <v>5855</v>
      </c>
      <c r="R692">
        <v>1</v>
      </c>
      <c r="S692">
        <v>4766</v>
      </c>
    </row>
    <row r="693" spans="13:19" x14ac:dyDescent="0.3">
      <c r="M693" t="str">
        <f>Data_Cleaned!B693</f>
        <v>No</v>
      </c>
      <c r="N693">
        <f>Data_Cleaned!S693</f>
        <v>3617</v>
      </c>
      <c r="R693">
        <v>6</v>
      </c>
      <c r="S693">
        <v>5731</v>
      </c>
    </row>
    <row r="694" spans="13:19" x14ac:dyDescent="0.3">
      <c r="M694" t="str">
        <f>Data_Cleaned!B694</f>
        <v>No</v>
      </c>
      <c r="N694">
        <f>Data_Cleaned!S694</f>
        <v>6725</v>
      </c>
      <c r="R694">
        <v>4</v>
      </c>
      <c r="S694">
        <v>2539</v>
      </c>
    </row>
    <row r="695" spans="13:19" x14ac:dyDescent="0.3">
      <c r="M695" t="str">
        <f>Data_Cleaned!B695</f>
        <v>Yes</v>
      </c>
      <c r="N695">
        <f>Data_Cleaned!S695</f>
        <v>10325</v>
      </c>
      <c r="R695">
        <v>6</v>
      </c>
      <c r="S695">
        <v>5714</v>
      </c>
    </row>
    <row r="696" spans="13:19" x14ac:dyDescent="0.3">
      <c r="M696" t="str">
        <f>Data_Cleaned!B696</f>
        <v>No</v>
      </c>
      <c r="N696">
        <f>Data_Cleaned!S696</f>
        <v>6949</v>
      </c>
      <c r="R696">
        <v>5</v>
      </c>
      <c r="S696">
        <v>4323</v>
      </c>
    </row>
    <row r="697" spans="13:19" x14ac:dyDescent="0.3">
      <c r="M697" t="str">
        <f>Data_Cleaned!B697</f>
        <v>Yes</v>
      </c>
      <c r="N697">
        <f>Data_Cleaned!S697</f>
        <v>10609</v>
      </c>
      <c r="R697">
        <v>18</v>
      </c>
      <c r="S697">
        <v>13499</v>
      </c>
    </row>
    <row r="698" spans="13:19" x14ac:dyDescent="0.3">
      <c r="M698" t="str">
        <f>Data_Cleaned!B698</f>
        <v>No</v>
      </c>
      <c r="N698">
        <f>Data_Cleaned!S698</f>
        <v>4447</v>
      </c>
      <c r="R698">
        <v>6</v>
      </c>
      <c r="S698">
        <v>5155</v>
      </c>
    </row>
    <row r="699" spans="13:19" x14ac:dyDescent="0.3">
      <c r="M699" t="str">
        <f>Data_Cleaned!B699</f>
        <v>No</v>
      </c>
      <c r="N699">
        <f>Data_Cleaned!S699</f>
        <v>2157</v>
      </c>
      <c r="R699">
        <v>8</v>
      </c>
      <c r="S699">
        <v>2258</v>
      </c>
    </row>
    <row r="700" spans="13:19" x14ac:dyDescent="0.3">
      <c r="M700" t="str">
        <f>Data_Cleaned!B700</f>
        <v>No</v>
      </c>
      <c r="N700">
        <f>Data_Cleaned!S700</f>
        <v>4601</v>
      </c>
      <c r="R700">
        <v>4</v>
      </c>
      <c r="S700">
        <v>3597</v>
      </c>
    </row>
    <row r="701" spans="13:19" x14ac:dyDescent="0.3">
      <c r="M701" t="str">
        <f>Data_Cleaned!B701</f>
        <v>No</v>
      </c>
      <c r="N701">
        <f>Data_Cleaned!S701</f>
        <v>17099</v>
      </c>
      <c r="R701">
        <v>8</v>
      </c>
      <c r="S701">
        <v>4420</v>
      </c>
    </row>
    <row r="702" spans="13:19" x14ac:dyDescent="0.3">
      <c r="M702" t="str">
        <f>Data_Cleaned!B702</f>
        <v>Yes</v>
      </c>
      <c r="N702">
        <f>Data_Cleaned!S702</f>
        <v>2479</v>
      </c>
      <c r="R702">
        <v>10</v>
      </c>
      <c r="S702">
        <v>6578</v>
      </c>
    </row>
    <row r="703" spans="13:19" x14ac:dyDescent="0.3">
      <c r="M703" t="str">
        <f>Data_Cleaned!B703</f>
        <v>No</v>
      </c>
      <c r="N703">
        <f>Data_Cleaned!S703</f>
        <v>14852</v>
      </c>
      <c r="R703">
        <v>1</v>
      </c>
      <c r="S703">
        <v>4422</v>
      </c>
    </row>
    <row r="704" spans="13:19" x14ac:dyDescent="0.3">
      <c r="M704" t="str">
        <f>Data_Cleaned!B704</f>
        <v>No</v>
      </c>
      <c r="N704">
        <f>Data_Cleaned!S704</f>
        <v>7264</v>
      </c>
      <c r="R704">
        <v>7</v>
      </c>
      <c r="S704">
        <v>10274</v>
      </c>
    </row>
    <row r="705" spans="13:19" x14ac:dyDescent="0.3">
      <c r="M705" t="str">
        <f>Data_Cleaned!B705</f>
        <v>No</v>
      </c>
      <c r="N705">
        <f>Data_Cleaned!S705</f>
        <v>5666</v>
      </c>
      <c r="R705">
        <v>13</v>
      </c>
      <c r="S705">
        <v>5343</v>
      </c>
    </row>
    <row r="706" spans="13:19" x14ac:dyDescent="0.3">
      <c r="M706" t="str">
        <f>Data_Cleaned!B706</f>
        <v>No</v>
      </c>
      <c r="N706">
        <f>Data_Cleaned!S706</f>
        <v>7823</v>
      </c>
      <c r="R706">
        <v>2</v>
      </c>
      <c r="S706">
        <v>2376</v>
      </c>
    </row>
    <row r="707" spans="13:19" x14ac:dyDescent="0.3">
      <c r="M707" t="str">
        <f>Data_Cleaned!B707</f>
        <v>No</v>
      </c>
      <c r="N707">
        <f>Data_Cleaned!S707</f>
        <v>7880</v>
      </c>
      <c r="R707">
        <v>1</v>
      </c>
      <c r="S707">
        <v>2827</v>
      </c>
    </row>
    <row r="708" spans="13:19" x14ac:dyDescent="0.3">
      <c r="M708" t="str">
        <f>Data_Cleaned!B708</f>
        <v>Yes</v>
      </c>
      <c r="N708">
        <f>Data_Cleaned!S708</f>
        <v>13194</v>
      </c>
      <c r="R708">
        <v>5</v>
      </c>
      <c r="S708">
        <v>19943</v>
      </c>
    </row>
    <row r="709" spans="13:19" x14ac:dyDescent="0.3">
      <c r="M709" t="str">
        <f>Data_Cleaned!B709</f>
        <v>No</v>
      </c>
      <c r="N709">
        <f>Data_Cleaned!S709</f>
        <v>5067</v>
      </c>
      <c r="R709">
        <v>10</v>
      </c>
      <c r="S709">
        <v>3131</v>
      </c>
    </row>
    <row r="710" spans="13:19" x14ac:dyDescent="0.3">
      <c r="M710" t="str">
        <f>Data_Cleaned!B710</f>
        <v>No</v>
      </c>
      <c r="N710">
        <f>Data_Cleaned!S710</f>
        <v>5079</v>
      </c>
      <c r="R710">
        <v>1</v>
      </c>
      <c r="S710">
        <v>2552</v>
      </c>
    </row>
    <row r="711" spans="13:19" x14ac:dyDescent="0.3">
      <c r="M711" t="str">
        <f>Data_Cleaned!B711</f>
        <v>Yes</v>
      </c>
      <c r="N711">
        <f>Data_Cleaned!S711</f>
        <v>2321</v>
      </c>
      <c r="R711">
        <v>3</v>
      </c>
      <c r="S711">
        <v>4477</v>
      </c>
    </row>
    <row r="712" spans="13:19" x14ac:dyDescent="0.3">
      <c r="M712" t="str">
        <f>Data_Cleaned!B712</f>
        <v>No</v>
      </c>
      <c r="N712">
        <f>Data_Cleaned!S712</f>
        <v>17444</v>
      </c>
      <c r="R712">
        <v>14</v>
      </c>
      <c r="S712">
        <v>6474</v>
      </c>
    </row>
    <row r="713" spans="13:19" x14ac:dyDescent="0.3">
      <c r="M713" t="str">
        <f>Data_Cleaned!B713</f>
        <v>Yes</v>
      </c>
      <c r="N713">
        <f>Data_Cleaned!S713</f>
        <v>2404</v>
      </c>
      <c r="R713">
        <v>2</v>
      </c>
      <c r="S713">
        <v>3033</v>
      </c>
    </row>
    <row r="714" spans="13:19" x14ac:dyDescent="0.3">
      <c r="M714" t="str">
        <f>Data_Cleaned!B714</f>
        <v>No</v>
      </c>
      <c r="N714">
        <f>Data_Cleaned!S714</f>
        <v>3452</v>
      </c>
      <c r="R714">
        <v>7</v>
      </c>
      <c r="S714">
        <v>18606</v>
      </c>
    </row>
    <row r="715" spans="13:19" x14ac:dyDescent="0.3">
      <c r="M715" t="str">
        <f>Data_Cleaned!B715</f>
        <v>No</v>
      </c>
      <c r="N715">
        <f>Data_Cleaned!S715</f>
        <v>2270</v>
      </c>
      <c r="R715">
        <v>5</v>
      </c>
      <c r="S715">
        <v>2168</v>
      </c>
    </row>
    <row r="716" spans="13:19" x14ac:dyDescent="0.3">
      <c r="M716" t="str">
        <f>Data_Cleaned!B716</f>
        <v>No</v>
      </c>
      <c r="N716">
        <f>Data_Cleaned!S716</f>
        <v>17399</v>
      </c>
      <c r="R716">
        <v>26</v>
      </c>
      <c r="S716">
        <v>17048</v>
      </c>
    </row>
    <row r="717" spans="13:19" x14ac:dyDescent="0.3">
      <c r="M717" t="str">
        <f>Data_Cleaned!B717</f>
        <v>No</v>
      </c>
      <c r="N717">
        <f>Data_Cleaned!S717</f>
        <v>5488</v>
      </c>
      <c r="R717">
        <v>0</v>
      </c>
      <c r="S717">
        <v>2290</v>
      </c>
    </row>
    <row r="718" spans="13:19" x14ac:dyDescent="0.3">
      <c r="M718" t="str">
        <f>Data_Cleaned!B718</f>
        <v>No</v>
      </c>
      <c r="N718">
        <f>Data_Cleaned!S718</f>
        <v>19419</v>
      </c>
      <c r="R718">
        <v>5</v>
      </c>
      <c r="S718">
        <v>3600</v>
      </c>
    </row>
    <row r="719" spans="13:19" x14ac:dyDescent="0.3">
      <c r="M719" t="str">
        <f>Data_Cleaned!B719</f>
        <v>No</v>
      </c>
      <c r="N719">
        <f>Data_Cleaned!S719</f>
        <v>2811</v>
      </c>
      <c r="R719">
        <v>4</v>
      </c>
      <c r="S719">
        <v>4115</v>
      </c>
    </row>
    <row r="720" spans="13:19" x14ac:dyDescent="0.3">
      <c r="M720" t="str">
        <f>Data_Cleaned!B720</f>
        <v>No</v>
      </c>
      <c r="N720">
        <f>Data_Cleaned!S720</f>
        <v>3633</v>
      </c>
      <c r="R720">
        <v>0</v>
      </c>
      <c r="S720">
        <v>4327</v>
      </c>
    </row>
    <row r="721" spans="13:19" x14ac:dyDescent="0.3">
      <c r="M721" t="str">
        <f>Data_Cleaned!B721</f>
        <v>No</v>
      </c>
      <c r="N721">
        <f>Data_Cleaned!S721</f>
        <v>4163</v>
      </c>
      <c r="R721">
        <v>2</v>
      </c>
      <c r="S721">
        <v>17856</v>
      </c>
    </row>
    <row r="722" spans="13:19" x14ac:dyDescent="0.3">
      <c r="M722" t="str">
        <f>Data_Cleaned!B722</f>
        <v>Yes</v>
      </c>
      <c r="N722">
        <f>Data_Cleaned!S722</f>
        <v>2132</v>
      </c>
      <c r="R722">
        <v>6</v>
      </c>
      <c r="S722">
        <v>3196</v>
      </c>
    </row>
    <row r="723" spans="13:19" x14ac:dyDescent="0.3">
      <c r="M723" t="str">
        <f>Data_Cleaned!B723</f>
        <v>No</v>
      </c>
      <c r="N723">
        <f>Data_Cleaned!S723</f>
        <v>13973</v>
      </c>
      <c r="R723">
        <v>4</v>
      </c>
      <c r="S723">
        <v>19081</v>
      </c>
    </row>
    <row r="724" spans="13:19" x14ac:dyDescent="0.3">
      <c r="M724" t="str">
        <f>Data_Cleaned!B724</f>
        <v>No</v>
      </c>
      <c r="N724">
        <f>Data_Cleaned!S724</f>
        <v>2684</v>
      </c>
      <c r="R724">
        <v>7</v>
      </c>
      <c r="S724">
        <v>8966</v>
      </c>
    </row>
    <row r="725" spans="13:19" x14ac:dyDescent="0.3">
      <c r="M725" t="str">
        <f>Data_Cleaned!B725</f>
        <v>No</v>
      </c>
      <c r="N725">
        <f>Data_Cleaned!S725</f>
        <v>10845</v>
      </c>
      <c r="R725">
        <v>10</v>
      </c>
      <c r="S725">
        <v>4539</v>
      </c>
    </row>
    <row r="726" spans="13:19" x14ac:dyDescent="0.3">
      <c r="M726" t="str">
        <f>Data_Cleaned!B726</f>
        <v>No</v>
      </c>
      <c r="N726">
        <f>Data_Cleaned!S726</f>
        <v>4377</v>
      </c>
      <c r="R726">
        <v>7</v>
      </c>
      <c r="S726">
        <v>2741</v>
      </c>
    </row>
    <row r="727" spans="13:19" x14ac:dyDescent="0.3">
      <c r="M727" t="str">
        <f>Data_Cleaned!B727</f>
        <v>Yes</v>
      </c>
      <c r="N727">
        <f>Data_Cleaned!S727</f>
        <v>3743</v>
      </c>
      <c r="R727">
        <v>10</v>
      </c>
      <c r="S727">
        <v>3491</v>
      </c>
    </row>
    <row r="728" spans="13:19" x14ac:dyDescent="0.3">
      <c r="M728" t="str">
        <f>Data_Cleaned!B728</f>
        <v>No</v>
      </c>
      <c r="N728">
        <f>Data_Cleaned!S728</f>
        <v>4148</v>
      </c>
      <c r="R728">
        <v>20</v>
      </c>
      <c r="S728">
        <v>4541</v>
      </c>
    </row>
    <row r="729" spans="13:19" x14ac:dyDescent="0.3">
      <c r="M729" t="str">
        <f>Data_Cleaned!B729</f>
        <v>No</v>
      </c>
      <c r="N729">
        <f>Data_Cleaned!S729</f>
        <v>1051</v>
      </c>
      <c r="R729">
        <v>2</v>
      </c>
      <c r="S729">
        <v>2678</v>
      </c>
    </row>
    <row r="730" spans="13:19" x14ac:dyDescent="0.3">
      <c r="M730" t="str">
        <f>Data_Cleaned!B730</f>
        <v>No</v>
      </c>
      <c r="N730">
        <f>Data_Cleaned!S730</f>
        <v>10739</v>
      </c>
      <c r="R730">
        <v>6</v>
      </c>
      <c r="S730">
        <v>7379</v>
      </c>
    </row>
    <row r="731" spans="13:19" x14ac:dyDescent="0.3">
      <c r="M731" t="str">
        <f>Data_Cleaned!B731</f>
        <v>No</v>
      </c>
      <c r="N731">
        <f>Data_Cleaned!S731</f>
        <v>10388</v>
      </c>
      <c r="R731">
        <v>4</v>
      </c>
      <c r="S731">
        <v>6272</v>
      </c>
    </row>
    <row r="732" spans="13:19" x14ac:dyDescent="0.3">
      <c r="M732" t="str">
        <f>Data_Cleaned!B732</f>
        <v>No</v>
      </c>
      <c r="N732">
        <f>Data_Cleaned!S732</f>
        <v>11416</v>
      </c>
      <c r="R732">
        <v>11</v>
      </c>
      <c r="S732">
        <v>5220</v>
      </c>
    </row>
    <row r="733" spans="13:19" x14ac:dyDescent="0.3">
      <c r="M733" t="str">
        <f>Data_Cleaned!B733</f>
        <v>Yes</v>
      </c>
      <c r="N733">
        <f>Data_Cleaned!S733</f>
        <v>2600</v>
      </c>
      <c r="R733">
        <v>2</v>
      </c>
      <c r="S733">
        <v>2743</v>
      </c>
    </row>
    <row r="734" spans="13:19" x14ac:dyDescent="0.3">
      <c r="M734" t="str">
        <f>Data_Cleaned!B734</f>
        <v>Yes</v>
      </c>
      <c r="N734">
        <f>Data_Cleaned!S734</f>
        <v>2422</v>
      </c>
      <c r="R734">
        <v>8</v>
      </c>
      <c r="S734">
        <v>4998</v>
      </c>
    </row>
    <row r="735" spans="13:19" x14ac:dyDescent="0.3">
      <c r="M735" t="str">
        <f>Data_Cleaned!B735</f>
        <v>No</v>
      </c>
      <c r="N735">
        <f>Data_Cleaned!S735</f>
        <v>5472</v>
      </c>
      <c r="R735">
        <v>7</v>
      </c>
      <c r="S735">
        <v>10252</v>
      </c>
    </row>
    <row r="736" spans="13:19" x14ac:dyDescent="0.3">
      <c r="M736" t="str">
        <f>Data_Cleaned!B736</f>
        <v>No</v>
      </c>
      <c r="N736">
        <f>Data_Cleaned!S736</f>
        <v>2451</v>
      </c>
      <c r="R736">
        <v>14</v>
      </c>
      <c r="S736">
        <v>2781</v>
      </c>
    </row>
    <row r="737" spans="13:19" x14ac:dyDescent="0.3">
      <c r="M737" t="str">
        <f>Data_Cleaned!B737</f>
        <v>No</v>
      </c>
      <c r="N737">
        <f>Data_Cleaned!S737</f>
        <v>4240</v>
      </c>
      <c r="R737">
        <v>5</v>
      </c>
      <c r="S737">
        <v>6852</v>
      </c>
    </row>
    <row r="738" spans="13:19" x14ac:dyDescent="0.3">
      <c r="M738" t="str">
        <f>Data_Cleaned!B738</f>
        <v>No</v>
      </c>
      <c r="N738">
        <f>Data_Cleaned!S738</f>
        <v>10999</v>
      </c>
      <c r="R738">
        <v>4</v>
      </c>
      <c r="S738">
        <v>4950</v>
      </c>
    </row>
    <row r="739" spans="13:19" x14ac:dyDescent="0.3">
      <c r="M739" t="str">
        <f>Data_Cleaned!B739</f>
        <v>No</v>
      </c>
      <c r="N739">
        <f>Data_Cleaned!S739</f>
        <v>5003</v>
      </c>
      <c r="R739">
        <v>11</v>
      </c>
      <c r="S739">
        <v>3579</v>
      </c>
    </row>
    <row r="740" spans="13:19" x14ac:dyDescent="0.3">
      <c r="M740" t="str">
        <f>Data_Cleaned!B740</f>
        <v>No</v>
      </c>
      <c r="N740">
        <f>Data_Cleaned!S740</f>
        <v>12742</v>
      </c>
      <c r="R740">
        <v>1</v>
      </c>
      <c r="S740">
        <v>13191</v>
      </c>
    </row>
    <row r="741" spans="13:19" x14ac:dyDescent="0.3">
      <c r="M741" t="str">
        <f>Data_Cleaned!B741</f>
        <v>No</v>
      </c>
      <c r="N741">
        <f>Data_Cleaned!S741</f>
        <v>4227</v>
      </c>
      <c r="R741">
        <v>13</v>
      </c>
      <c r="S741">
        <v>10377</v>
      </c>
    </row>
    <row r="742" spans="13:19" x14ac:dyDescent="0.3">
      <c r="M742" t="str">
        <f>Data_Cleaned!B742</f>
        <v>No</v>
      </c>
      <c r="N742">
        <f>Data_Cleaned!S742</f>
        <v>3917</v>
      </c>
      <c r="R742">
        <v>9</v>
      </c>
      <c r="S742">
        <v>2235</v>
      </c>
    </row>
    <row r="743" spans="13:19" x14ac:dyDescent="0.3">
      <c r="M743" t="str">
        <f>Data_Cleaned!B743</f>
        <v>No</v>
      </c>
      <c r="N743">
        <f>Data_Cleaned!S743</f>
        <v>18303</v>
      </c>
      <c r="R743">
        <v>5</v>
      </c>
      <c r="S743">
        <v>9950</v>
      </c>
    </row>
    <row r="744" spans="13:19" x14ac:dyDescent="0.3">
      <c r="M744" t="str">
        <f>Data_Cleaned!B744</f>
        <v>No</v>
      </c>
      <c r="N744">
        <f>Data_Cleaned!S744</f>
        <v>2380</v>
      </c>
      <c r="R744">
        <v>10</v>
      </c>
      <c r="S744">
        <v>2011</v>
      </c>
    </row>
    <row r="745" spans="13:19" x14ac:dyDescent="0.3">
      <c r="M745" t="str">
        <f>Data_Cleaned!B745</f>
        <v>No</v>
      </c>
      <c r="N745">
        <f>Data_Cleaned!S745</f>
        <v>13726</v>
      </c>
      <c r="R745">
        <v>3</v>
      </c>
      <c r="S745">
        <v>3760</v>
      </c>
    </row>
    <row r="746" spans="13:19" x14ac:dyDescent="0.3">
      <c r="M746" t="str">
        <f>Data_Cleaned!B746</f>
        <v>Yes</v>
      </c>
      <c r="N746">
        <f>Data_Cleaned!S746</f>
        <v>4777</v>
      </c>
      <c r="R746">
        <v>10</v>
      </c>
      <c r="S746">
        <v>17779</v>
      </c>
    </row>
    <row r="747" spans="13:19" x14ac:dyDescent="0.3">
      <c r="M747" t="str">
        <f>Data_Cleaned!B747</f>
        <v>No</v>
      </c>
      <c r="N747">
        <f>Data_Cleaned!S747</f>
        <v>6385</v>
      </c>
      <c r="R747">
        <v>6</v>
      </c>
      <c r="S747">
        <v>6833</v>
      </c>
    </row>
    <row r="748" spans="13:19" x14ac:dyDescent="0.3">
      <c r="M748" t="str">
        <f>Data_Cleaned!B748</f>
        <v>No</v>
      </c>
      <c r="N748">
        <f>Data_Cleaned!S748</f>
        <v>19973</v>
      </c>
      <c r="R748">
        <v>10</v>
      </c>
      <c r="S748">
        <v>6812</v>
      </c>
    </row>
    <row r="749" spans="13:19" x14ac:dyDescent="0.3">
      <c r="M749" t="str">
        <f>Data_Cleaned!B749</f>
        <v>No</v>
      </c>
      <c r="N749">
        <f>Data_Cleaned!S749</f>
        <v>6861</v>
      </c>
      <c r="R749">
        <v>6</v>
      </c>
      <c r="S749">
        <v>5171</v>
      </c>
    </row>
    <row r="750" spans="13:19" x14ac:dyDescent="0.3">
      <c r="M750" t="str">
        <f>Data_Cleaned!B750</f>
        <v>Yes</v>
      </c>
      <c r="N750">
        <f>Data_Cleaned!S750</f>
        <v>4969</v>
      </c>
      <c r="R750">
        <v>8</v>
      </c>
      <c r="S750">
        <v>19740</v>
      </c>
    </row>
    <row r="751" spans="13:19" x14ac:dyDescent="0.3">
      <c r="M751" t="str">
        <f>Data_Cleaned!B751</f>
        <v>Yes</v>
      </c>
      <c r="N751">
        <f>Data_Cleaned!S751</f>
        <v>19845</v>
      </c>
      <c r="R751">
        <v>1</v>
      </c>
      <c r="S751">
        <v>18711</v>
      </c>
    </row>
    <row r="752" spans="13:19" x14ac:dyDescent="0.3">
      <c r="M752" t="str">
        <f>Data_Cleaned!B752</f>
        <v>No</v>
      </c>
      <c r="N752">
        <f>Data_Cleaned!S752</f>
        <v>13320</v>
      </c>
      <c r="R752">
        <v>11</v>
      </c>
      <c r="S752">
        <v>2674</v>
      </c>
    </row>
    <row r="753" spans="13:19" x14ac:dyDescent="0.3">
      <c r="M753" t="str">
        <f>Data_Cleaned!B753</f>
        <v>No</v>
      </c>
      <c r="N753">
        <f>Data_Cleaned!S753</f>
        <v>6347</v>
      </c>
      <c r="R753">
        <v>1</v>
      </c>
      <c r="S753">
        <v>2559</v>
      </c>
    </row>
    <row r="754" spans="13:19" x14ac:dyDescent="0.3">
      <c r="M754" t="str">
        <f>Data_Cleaned!B754</f>
        <v>Yes</v>
      </c>
      <c r="N754">
        <f>Data_Cleaned!S754</f>
        <v>2743</v>
      </c>
      <c r="R754">
        <v>5</v>
      </c>
      <c r="S754">
        <v>2517</v>
      </c>
    </row>
    <row r="755" spans="13:19" x14ac:dyDescent="0.3">
      <c r="M755" t="str">
        <f>Data_Cleaned!B755</f>
        <v>No</v>
      </c>
      <c r="N755">
        <f>Data_Cleaned!S755</f>
        <v>10880</v>
      </c>
      <c r="R755">
        <v>6</v>
      </c>
      <c r="S755">
        <v>6623</v>
      </c>
    </row>
    <row r="756" spans="13:19" x14ac:dyDescent="0.3">
      <c r="M756" t="str">
        <f>Data_Cleaned!B756</f>
        <v>No</v>
      </c>
      <c r="N756">
        <f>Data_Cleaned!S756</f>
        <v>2342</v>
      </c>
      <c r="R756">
        <v>1</v>
      </c>
      <c r="S756">
        <v>18265</v>
      </c>
    </row>
    <row r="757" spans="13:19" x14ac:dyDescent="0.3">
      <c r="M757" t="str">
        <f>Data_Cleaned!B757</f>
        <v>No</v>
      </c>
      <c r="N757">
        <f>Data_Cleaned!S757</f>
        <v>17650</v>
      </c>
      <c r="R757">
        <v>7</v>
      </c>
      <c r="S757">
        <v>16124</v>
      </c>
    </row>
    <row r="758" spans="13:19" x14ac:dyDescent="0.3">
      <c r="M758" t="str">
        <f>Data_Cleaned!B758</f>
        <v>No</v>
      </c>
      <c r="N758">
        <f>Data_Cleaned!S758</f>
        <v>4025</v>
      </c>
      <c r="R758">
        <v>1</v>
      </c>
      <c r="S758">
        <v>2585</v>
      </c>
    </row>
    <row r="759" spans="13:19" x14ac:dyDescent="0.3">
      <c r="M759" t="str">
        <f>Data_Cleaned!B759</f>
        <v>No</v>
      </c>
      <c r="N759">
        <f>Data_Cleaned!S759</f>
        <v>9725</v>
      </c>
      <c r="R759">
        <v>22</v>
      </c>
      <c r="S759">
        <v>18213</v>
      </c>
    </row>
    <row r="760" spans="13:19" x14ac:dyDescent="0.3">
      <c r="M760" t="str">
        <f>Data_Cleaned!B760</f>
        <v>No</v>
      </c>
      <c r="N760">
        <f>Data_Cleaned!S760</f>
        <v>11904</v>
      </c>
      <c r="R760">
        <v>9</v>
      </c>
      <c r="S760">
        <v>8380</v>
      </c>
    </row>
    <row r="761" spans="13:19" x14ac:dyDescent="0.3">
      <c r="M761" t="str">
        <f>Data_Cleaned!B761</f>
        <v>No</v>
      </c>
      <c r="N761">
        <f>Data_Cleaned!S761</f>
        <v>2177</v>
      </c>
      <c r="R761">
        <v>1</v>
      </c>
      <c r="S761">
        <v>2994</v>
      </c>
    </row>
    <row r="762" spans="13:19" x14ac:dyDescent="0.3">
      <c r="M762" t="str">
        <f>Data_Cleaned!B762</f>
        <v>No</v>
      </c>
      <c r="N762">
        <f>Data_Cleaned!S762</f>
        <v>7525</v>
      </c>
      <c r="R762">
        <v>1</v>
      </c>
      <c r="S762">
        <v>1223</v>
      </c>
    </row>
    <row r="763" spans="13:19" x14ac:dyDescent="0.3">
      <c r="M763" t="str">
        <f>Data_Cleaned!B763</f>
        <v>Yes</v>
      </c>
      <c r="N763">
        <f>Data_Cleaned!S763</f>
        <v>4834</v>
      </c>
      <c r="R763">
        <v>8</v>
      </c>
      <c r="S763">
        <v>2875</v>
      </c>
    </row>
    <row r="764" spans="13:19" x14ac:dyDescent="0.3">
      <c r="M764" t="str">
        <f>Data_Cleaned!B764</f>
        <v>Yes</v>
      </c>
      <c r="N764">
        <f>Data_Cleaned!S764</f>
        <v>2042</v>
      </c>
      <c r="R764">
        <v>33</v>
      </c>
      <c r="S764">
        <v>13577</v>
      </c>
    </row>
    <row r="765" spans="13:19" x14ac:dyDescent="0.3">
      <c r="M765" t="str">
        <f>Data_Cleaned!B765</f>
        <v>No</v>
      </c>
      <c r="N765">
        <f>Data_Cleaned!S765</f>
        <v>2220</v>
      </c>
      <c r="R765">
        <v>11</v>
      </c>
      <c r="S765">
        <v>18789</v>
      </c>
    </row>
    <row r="766" spans="13:19" x14ac:dyDescent="0.3">
      <c r="M766" t="str">
        <f>Data_Cleaned!B766</f>
        <v>No</v>
      </c>
      <c r="N766">
        <f>Data_Cleaned!S766</f>
        <v>1052</v>
      </c>
      <c r="R766">
        <v>3</v>
      </c>
      <c r="S766">
        <v>4538</v>
      </c>
    </row>
    <row r="767" spans="13:19" x14ac:dyDescent="0.3">
      <c r="M767" t="str">
        <f>Data_Cleaned!B767</f>
        <v>No</v>
      </c>
      <c r="N767">
        <f>Data_Cleaned!S767</f>
        <v>2821</v>
      </c>
      <c r="R767">
        <v>29</v>
      </c>
      <c r="S767">
        <v>19847</v>
      </c>
    </row>
    <row r="768" spans="13:19" x14ac:dyDescent="0.3">
      <c r="M768" t="str">
        <f>Data_Cleaned!B768</f>
        <v>No</v>
      </c>
      <c r="N768">
        <f>Data_Cleaned!S768</f>
        <v>19237</v>
      </c>
      <c r="R768">
        <v>9</v>
      </c>
      <c r="S768">
        <v>10512</v>
      </c>
    </row>
    <row r="769" spans="13:19" x14ac:dyDescent="0.3">
      <c r="M769" t="str">
        <f>Data_Cleaned!B769</f>
        <v>No</v>
      </c>
      <c r="N769">
        <f>Data_Cleaned!S769</f>
        <v>4107</v>
      </c>
      <c r="R769">
        <v>11</v>
      </c>
      <c r="S769">
        <v>4444</v>
      </c>
    </row>
    <row r="770" spans="13:19" x14ac:dyDescent="0.3">
      <c r="M770" t="str">
        <f>Data_Cleaned!B770</f>
        <v>No</v>
      </c>
      <c r="N770">
        <f>Data_Cleaned!S770</f>
        <v>8396</v>
      </c>
      <c r="R770">
        <v>4</v>
      </c>
      <c r="S770">
        <v>2154</v>
      </c>
    </row>
    <row r="771" spans="13:19" x14ac:dyDescent="0.3">
      <c r="M771" t="str">
        <f>Data_Cleaned!B771</f>
        <v>No</v>
      </c>
      <c r="N771">
        <f>Data_Cleaned!S771</f>
        <v>2007</v>
      </c>
      <c r="R771">
        <v>25</v>
      </c>
      <c r="S771">
        <v>19190</v>
      </c>
    </row>
    <row r="772" spans="13:19" x14ac:dyDescent="0.3">
      <c r="M772" t="str">
        <f>Data_Cleaned!B772</f>
        <v>No</v>
      </c>
      <c r="N772">
        <f>Data_Cleaned!S772</f>
        <v>19627</v>
      </c>
      <c r="R772">
        <v>10</v>
      </c>
      <c r="S772">
        <v>4490</v>
      </c>
    </row>
    <row r="773" spans="13:19" x14ac:dyDescent="0.3">
      <c r="M773" t="str">
        <f>Data_Cleaned!B773</f>
        <v>No</v>
      </c>
      <c r="N773">
        <f>Data_Cleaned!S773</f>
        <v>10686</v>
      </c>
      <c r="R773">
        <v>3</v>
      </c>
      <c r="S773">
        <v>3506</v>
      </c>
    </row>
    <row r="774" spans="13:19" x14ac:dyDescent="0.3">
      <c r="M774" t="str">
        <f>Data_Cleaned!B774</f>
        <v>No</v>
      </c>
      <c r="N774">
        <f>Data_Cleaned!S774</f>
        <v>2942</v>
      </c>
      <c r="R774">
        <v>1</v>
      </c>
      <c r="S774">
        <v>2372</v>
      </c>
    </row>
    <row r="775" spans="13:19" x14ac:dyDescent="0.3">
      <c r="M775" t="str">
        <f>Data_Cleaned!B775</f>
        <v>No</v>
      </c>
      <c r="N775">
        <f>Data_Cleaned!S775</f>
        <v>8858</v>
      </c>
      <c r="R775">
        <v>21</v>
      </c>
      <c r="S775">
        <v>10231</v>
      </c>
    </row>
    <row r="776" spans="13:19" x14ac:dyDescent="0.3">
      <c r="M776" t="str">
        <f>Data_Cleaned!B776</f>
        <v>No</v>
      </c>
      <c r="N776">
        <f>Data_Cleaned!S776</f>
        <v>16756</v>
      </c>
      <c r="R776">
        <v>16</v>
      </c>
      <c r="S776">
        <v>5410</v>
      </c>
    </row>
    <row r="777" spans="13:19" x14ac:dyDescent="0.3">
      <c r="M777" t="str">
        <f>Data_Cleaned!B777</f>
        <v>No</v>
      </c>
      <c r="N777">
        <f>Data_Cleaned!S777</f>
        <v>10798</v>
      </c>
      <c r="R777">
        <v>2</v>
      </c>
      <c r="S777">
        <v>3867</v>
      </c>
    </row>
    <row r="778" spans="13:19" x14ac:dyDescent="0.3">
      <c r="M778" t="str">
        <f>Data_Cleaned!B778</f>
        <v>Yes</v>
      </c>
      <c r="N778">
        <f>Data_Cleaned!S778</f>
        <v>2323</v>
      </c>
      <c r="R778">
        <v>7</v>
      </c>
      <c r="S778">
        <v>2838</v>
      </c>
    </row>
    <row r="779" spans="13:19" x14ac:dyDescent="0.3">
      <c r="M779" t="str">
        <f>Data_Cleaned!B779</f>
        <v>Yes</v>
      </c>
      <c r="N779">
        <f>Data_Cleaned!S779</f>
        <v>1416</v>
      </c>
      <c r="R779">
        <v>8</v>
      </c>
      <c r="S779">
        <v>4695</v>
      </c>
    </row>
    <row r="780" spans="13:19" x14ac:dyDescent="0.3">
      <c r="M780" t="str">
        <f>Data_Cleaned!B780</f>
        <v>No</v>
      </c>
      <c r="N780">
        <f>Data_Cleaned!S780</f>
        <v>4615</v>
      </c>
      <c r="R780">
        <v>3</v>
      </c>
      <c r="S780">
        <v>2080</v>
      </c>
    </row>
    <row r="781" spans="13:19" x14ac:dyDescent="0.3">
      <c r="M781" t="str">
        <f>Data_Cleaned!B781</f>
        <v>Yes</v>
      </c>
      <c r="N781">
        <f>Data_Cleaned!S781</f>
        <v>2461</v>
      </c>
      <c r="R781">
        <v>2</v>
      </c>
      <c r="S781">
        <v>2096</v>
      </c>
    </row>
    <row r="782" spans="13:19" x14ac:dyDescent="0.3">
      <c r="M782" t="str">
        <f>Data_Cleaned!B782</f>
        <v>Yes</v>
      </c>
      <c r="N782">
        <f>Data_Cleaned!S782</f>
        <v>9950</v>
      </c>
      <c r="R782">
        <v>10</v>
      </c>
      <c r="S782">
        <v>6209</v>
      </c>
    </row>
    <row r="783" spans="13:19" x14ac:dyDescent="0.3">
      <c r="M783" t="str">
        <f>Data_Cleaned!B783</f>
        <v>No</v>
      </c>
      <c r="N783">
        <f>Data_Cleaned!S783</f>
        <v>3955</v>
      </c>
      <c r="R783">
        <v>0</v>
      </c>
      <c r="S783">
        <v>18061</v>
      </c>
    </row>
    <row r="784" spans="13:19" x14ac:dyDescent="0.3">
      <c r="M784" t="str">
        <f>Data_Cleaned!B784</f>
        <v>No</v>
      </c>
      <c r="N784">
        <f>Data_Cleaned!S784</f>
        <v>9957</v>
      </c>
      <c r="R784">
        <v>19</v>
      </c>
      <c r="S784">
        <v>17123</v>
      </c>
    </row>
    <row r="785" spans="13:19" x14ac:dyDescent="0.3">
      <c r="M785" t="str">
        <f>Data_Cleaned!B785</f>
        <v>No</v>
      </c>
      <c r="N785">
        <f>Data_Cleaned!S785</f>
        <v>3376</v>
      </c>
      <c r="R785">
        <v>2</v>
      </c>
      <c r="S785">
        <v>2372</v>
      </c>
    </row>
    <row r="786" spans="13:19" x14ac:dyDescent="0.3">
      <c r="M786" t="str">
        <f>Data_Cleaned!B786</f>
        <v>No</v>
      </c>
      <c r="N786">
        <f>Data_Cleaned!S786</f>
        <v>8823</v>
      </c>
      <c r="R786">
        <v>9</v>
      </c>
      <c r="S786">
        <v>4627</v>
      </c>
    </row>
    <row r="787" spans="13:19" x14ac:dyDescent="0.3">
      <c r="M787" t="str">
        <f>Data_Cleaned!B787</f>
        <v>No</v>
      </c>
      <c r="N787">
        <f>Data_Cleaned!S787</f>
        <v>10322</v>
      </c>
      <c r="R787">
        <v>7</v>
      </c>
      <c r="S787">
        <v>7094</v>
      </c>
    </row>
    <row r="788" spans="13:19" x14ac:dyDescent="0.3">
      <c r="M788" t="str">
        <f>Data_Cleaned!B788</f>
        <v>No</v>
      </c>
      <c r="N788">
        <f>Data_Cleaned!S788</f>
        <v>4621</v>
      </c>
      <c r="R788">
        <v>7</v>
      </c>
      <c r="S788">
        <v>3423</v>
      </c>
    </row>
    <row r="789" spans="13:19" x14ac:dyDescent="0.3">
      <c r="M789" t="str">
        <f>Data_Cleaned!B789</f>
        <v>No</v>
      </c>
      <c r="N789">
        <f>Data_Cleaned!S789</f>
        <v>10976</v>
      </c>
      <c r="R789">
        <v>9</v>
      </c>
      <c r="S789">
        <v>6674</v>
      </c>
    </row>
    <row r="790" spans="13:19" x14ac:dyDescent="0.3">
      <c r="M790" t="str">
        <f>Data_Cleaned!B790</f>
        <v>No</v>
      </c>
      <c r="N790">
        <f>Data_Cleaned!S790</f>
        <v>3660</v>
      </c>
      <c r="R790">
        <v>3</v>
      </c>
      <c r="S790">
        <v>16880</v>
      </c>
    </row>
    <row r="791" spans="13:19" x14ac:dyDescent="0.3">
      <c r="M791" t="str">
        <f>Data_Cleaned!B791</f>
        <v>Yes</v>
      </c>
      <c r="N791">
        <f>Data_Cleaned!S791</f>
        <v>10482</v>
      </c>
      <c r="R791">
        <v>9</v>
      </c>
      <c r="S791">
        <v>11916</v>
      </c>
    </row>
    <row r="792" spans="13:19" x14ac:dyDescent="0.3">
      <c r="M792" t="str">
        <f>Data_Cleaned!B792</f>
        <v>No</v>
      </c>
      <c r="N792">
        <f>Data_Cleaned!S792</f>
        <v>7119</v>
      </c>
      <c r="R792">
        <v>8</v>
      </c>
      <c r="S792">
        <v>4534</v>
      </c>
    </row>
    <row r="793" spans="13:19" x14ac:dyDescent="0.3">
      <c r="M793" t="str">
        <f>Data_Cleaned!B793</f>
        <v>Yes</v>
      </c>
      <c r="N793">
        <f>Data_Cleaned!S793</f>
        <v>9582</v>
      </c>
      <c r="R793">
        <v>10</v>
      </c>
      <c r="S793">
        <v>9852</v>
      </c>
    </row>
    <row r="794" spans="13:19" x14ac:dyDescent="0.3">
      <c r="M794" t="str">
        <f>Data_Cleaned!B794</f>
        <v>Yes</v>
      </c>
      <c r="N794">
        <f>Data_Cleaned!S794</f>
        <v>4508</v>
      </c>
      <c r="R794">
        <v>19</v>
      </c>
      <c r="S794">
        <v>6151</v>
      </c>
    </row>
    <row r="795" spans="13:19" x14ac:dyDescent="0.3">
      <c r="M795" t="str">
        <f>Data_Cleaned!B795</f>
        <v>No</v>
      </c>
      <c r="N795">
        <f>Data_Cleaned!S795</f>
        <v>2207</v>
      </c>
      <c r="R795">
        <v>20</v>
      </c>
      <c r="S795">
        <v>17861</v>
      </c>
    </row>
    <row r="796" spans="13:19" x14ac:dyDescent="0.3">
      <c r="M796" t="str">
        <f>Data_Cleaned!B796</f>
        <v>No</v>
      </c>
      <c r="N796">
        <f>Data_Cleaned!S796</f>
        <v>7756</v>
      </c>
      <c r="R796">
        <v>19</v>
      </c>
      <c r="S796">
        <v>19187</v>
      </c>
    </row>
    <row r="797" spans="13:19" x14ac:dyDescent="0.3">
      <c r="M797" t="str">
        <f>Data_Cleaned!B797</f>
        <v>No</v>
      </c>
      <c r="N797">
        <f>Data_Cleaned!S797</f>
        <v>6694</v>
      </c>
      <c r="R797">
        <v>7</v>
      </c>
      <c r="S797">
        <v>19717</v>
      </c>
    </row>
    <row r="798" spans="13:19" x14ac:dyDescent="0.3">
      <c r="M798" t="str">
        <f>Data_Cleaned!B798</f>
        <v>Yes</v>
      </c>
      <c r="N798">
        <f>Data_Cleaned!S798</f>
        <v>3691</v>
      </c>
      <c r="R798">
        <v>4</v>
      </c>
      <c r="S798">
        <v>3544</v>
      </c>
    </row>
    <row r="799" spans="13:19" x14ac:dyDescent="0.3">
      <c r="M799" t="str">
        <f>Data_Cleaned!B799</f>
        <v>Yes</v>
      </c>
      <c r="N799">
        <f>Data_Cleaned!S799</f>
        <v>2377</v>
      </c>
      <c r="R799">
        <v>9</v>
      </c>
      <c r="S799">
        <v>8500</v>
      </c>
    </row>
    <row r="800" spans="13:19" x14ac:dyDescent="0.3">
      <c r="M800" t="str">
        <f>Data_Cleaned!B800</f>
        <v>Yes</v>
      </c>
      <c r="N800">
        <f>Data_Cleaned!S800</f>
        <v>2313</v>
      </c>
      <c r="R800">
        <v>9</v>
      </c>
      <c r="S800">
        <v>4661</v>
      </c>
    </row>
    <row r="801" spans="13:19" x14ac:dyDescent="0.3">
      <c r="M801" t="str">
        <f>Data_Cleaned!B801</f>
        <v>No</v>
      </c>
      <c r="N801">
        <f>Data_Cleaned!S801</f>
        <v>17665</v>
      </c>
      <c r="R801">
        <v>9</v>
      </c>
      <c r="S801">
        <v>4103</v>
      </c>
    </row>
    <row r="802" spans="13:19" x14ac:dyDescent="0.3">
      <c r="M802" t="str">
        <f>Data_Cleaned!B802</f>
        <v>Yes</v>
      </c>
      <c r="N802">
        <f>Data_Cleaned!S802</f>
        <v>2674</v>
      </c>
      <c r="R802">
        <v>9</v>
      </c>
      <c r="S802">
        <v>4249</v>
      </c>
    </row>
    <row r="803" spans="13:19" x14ac:dyDescent="0.3">
      <c r="M803" t="str">
        <f>Data_Cleaned!B803</f>
        <v>Yes</v>
      </c>
      <c r="N803">
        <f>Data_Cleaned!S803</f>
        <v>4728</v>
      </c>
      <c r="R803">
        <v>33</v>
      </c>
      <c r="S803">
        <v>14026</v>
      </c>
    </row>
    <row r="804" spans="13:19" x14ac:dyDescent="0.3">
      <c r="M804" t="str">
        <f>Data_Cleaned!B804</f>
        <v>No</v>
      </c>
      <c r="N804">
        <f>Data_Cleaned!S804</f>
        <v>4302</v>
      </c>
      <c r="R804">
        <v>7</v>
      </c>
      <c r="S804">
        <v>6893</v>
      </c>
    </row>
    <row r="805" spans="13:19" x14ac:dyDescent="0.3">
      <c r="M805" t="str">
        <f>Data_Cleaned!B805</f>
        <v>No</v>
      </c>
      <c r="N805">
        <f>Data_Cleaned!S805</f>
        <v>2979</v>
      </c>
      <c r="R805">
        <v>10</v>
      </c>
      <c r="S805">
        <v>6125</v>
      </c>
    </row>
    <row r="806" spans="13:19" x14ac:dyDescent="0.3">
      <c r="M806" t="str">
        <f>Data_Cleaned!B806</f>
        <v>No</v>
      </c>
      <c r="N806">
        <f>Data_Cleaned!S806</f>
        <v>16885</v>
      </c>
      <c r="R806">
        <v>3</v>
      </c>
      <c r="S806">
        <v>3669</v>
      </c>
    </row>
    <row r="807" spans="13:19" x14ac:dyDescent="0.3">
      <c r="M807" t="str">
        <f>Data_Cleaned!B807</f>
        <v>No</v>
      </c>
      <c r="N807">
        <f>Data_Cleaned!S807</f>
        <v>5593</v>
      </c>
      <c r="R807">
        <v>4</v>
      </c>
      <c r="S807">
        <v>2387</v>
      </c>
    </row>
    <row r="808" spans="13:19" x14ac:dyDescent="0.3">
      <c r="M808" t="str">
        <f>Data_Cleaned!B808</f>
        <v>No</v>
      </c>
      <c r="N808">
        <f>Data_Cleaned!S808</f>
        <v>10445</v>
      </c>
      <c r="R808">
        <v>15</v>
      </c>
      <c r="S808">
        <v>4639</v>
      </c>
    </row>
    <row r="809" spans="13:19" x14ac:dyDescent="0.3">
      <c r="M809" t="str">
        <f>Data_Cleaned!B809</f>
        <v>No</v>
      </c>
      <c r="N809">
        <f>Data_Cleaned!S809</f>
        <v>8740</v>
      </c>
      <c r="R809">
        <v>10</v>
      </c>
      <c r="S809">
        <v>7898</v>
      </c>
    </row>
    <row r="810" spans="13:19" x14ac:dyDescent="0.3">
      <c r="M810" t="str">
        <f>Data_Cleaned!B810</f>
        <v>No</v>
      </c>
      <c r="N810">
        <f>Data_Cleaned!S810</f>
        <v>2514</v>
      </c>
      <c r="R810">
        <v>1</v>
      </c>
      <c r="S810">
        <v>2534</v>
      </c>
    </row>
    <row r="811" spans="13:19" x14ac:dyDescent="0.3">
      <c r="M811" t="str">
        <f>Data_Cleaned!B811</f>
        <v>No</v>
      </c>
      <c r="N811">
        <f>Data_Cleaned!S811</f>
        <v>7655</v>
      </c>
      <c r="R811">
        <v>5</v>
      </c>
      <c r="S811">
        <v>13142</v>
      </c>
    </row>
    <row r="812" spans="13:19" x14ac:dyDescent="0.3">
      <c r="M812" t="str">
        <f>Data_Cleaned!B812</f>
        <v>No</v>
      </c>
      <c r="N812">
        <f>Data_Cleaned!S812</f>
        <v>17465</v>
      </c>
      <c r="R812">
        <v>0</v>
      </c>
      <c r="S812">
        <v>1611</v>
      </c>
    </row>
    <row r="813" spans="13:19" x14ac:dyDescent="0.3">
      <c r="M813" t="str">
        <f>Data_Cleaned!B813</f>
        <v>No</v>
      </c>
      <c r="N813">
        <f>Data_Cleaned!S813</f>
        <v>7351</v>
      </c>
      <c r="R813">
        <v>9</v>
      </c>
      <c r="S813">
        <v>5363</v>
      </c>
    </row>
    <row r="814" spans="13:19" x14ac:dyDescent="0.3">
      <c r="M814" t="str">
        <f>Data_Cleaned!B814</f>
        <v>No</v>
      </c>
      <c r="N814">
        <f>Data_Cleaned!S814</f>
        <v>10820</v>
      </c>
      <c r="R814">
        <v>6</v>
      </c>
      <c r="S814">
        <v>5071</v>
      </c>
    </row>
    <row r="815" spans="13:19" x14ac:dyDescent="0.3">
      <c r="M815" t="str">
        <f>Data_Cleaned!B815</f>
        <v>Yes</v>
      </c>
      <c r="N815">
        <f>Data_Cleaned!S815</f>
        <v>12169</v>
      </c>
      <c r="R815">
        <v>19</v>
      </c>
      <c r="S815">
        <v>13402</v>
      </c>
    </row>
    <row r="816" spans="13:19" x14ac:dyDescent="0.3">
      <c r="M816" t="str">
        <f>Data_Cleaned!B816</f>
        <v>No</v>
      </c>
      <c r="N816">
        <f>Data_Cleaned!S816</f>
        <v>19626</v>
      </c>
      <c r="R816">
        <v>5</v>
      </c>
      <c r="S816">
        <v>2029</v>
      </c>
    </row>
    <row r="817" spans="13:19" x14ac:dyDescent="0.3">
      <c r="M817" t="str">
        <f>Data_Cleaned!B817</f>
        <v>No</v>
      </c>
      <c r="N817">
        <f>Data_Cleaned!S817</f>
        <v>2070</v>
      </c>
      <c r="R817">
        <v>12</v>
      </c>
      <c r="S817">
        <v>6377</v>
      </c>
    </row>
    <row r="818" spans="13:19" x14ac:dyDescent="0.3">
      <c r="M818" t="str">
        <f>Data_Cleaned!B818</f>
        <v>No</v>
      </c>
      <c r="N818">
        <f>Data_Cleaned!S818</f>
        <v>6782</v>
      </c>
      <c r="R818">
        <v>8</v>
      </c>
      <c r="S818">
        <v>5429</v>
      </c>
    </row>
    <row r="819" spans="13:19" x14ac:dyDescent="0.3">
      <c r="M819" t="str">
        <f>Data_Cleaned!B819</f>
        <v>No</v>
      </c>
      <c r="N819">
        <f>Data_Cleaned!S819</f>
        <v>7779</v>
      </c>
      <c r="R819">
        <v>4</v>
      </c>
      <c r="S819">
        <v>2610</v>
      </c>
    </row>
    <row r="820" spans="13:19" x14ac:dyDescent="0.3">
      <c r="M820" t="str">
        <f>Data_Cleaned!B820</f>
        <v>No</v>
      </c>
      <c r="N820">
        <f>Data_Cleaned!S820</f>
        <v>2791</v>
      </c>
      <c r="R820">
        <v>14</v>
      </c>
      <c r="S820">
        <v>6687</v>
      </c>
    </row>
    <row r="821" spans="13:19" x14ac:dyDescent="0.3">
      <c r="M821" t="str">
        <f>Data_Cleaned!B821</f>
        <v>No</v>
      </c>
      <c r="N821">
        <f>Data_Cleaned!S821</f>
        <v>3201</v>
      </c>
      <c r="R821">
        <v>5</v>
      </c>
      <c r="S821">
        <v>4724</v>
      </c>
    </row>
    <row r="822" spans="13:19" x14ac:dyDescent="0.3">
      <c r="M822" t="str">
        <f>Data_Cleaned!B822</f>
        <v>No</v>
      </c>
      <c r="N822">
        <f>Data_Cleaned!S822</f>
        <v>4968</v>
      </c>
      <c r="R822">
        <v>5</v>
      </c>
      <c r="S822">
        <v>6120</v>
      </c>
    </row>
    <row r="823" spans="13:19" x14ac:dyDescent="0.3">
      <c r="M823" t="str">
        <f>Data_Cleaned!B823</f>
        <v>No</v>
      </c>
      <c r="N823">
        <f>Data_Cleaned!S823</f>
        <v>13120</v>
      </c>
      <c r="R823">
        <v>4</v>
      </c>
      <c r="S823">
        <v>10596</v>
      </c>
    </row>
    <row r="824" spans="13:19" x14ac:dyDescent="0.3">
      <c r="M824" t="str">
        <f>Data_Cleaned!B824</f>
        <v>No</v>
      </c>
      <c r="N824">
        <f>Data_Cleaned!S824</f>
        <v>4033</v>
      </c>
      <c r="R824">
        <v>6</v>
      </c>
      <c r="S824">
        <v>5467</v>
      </c>
    </row>
    <row r="825" spans="13:19" x14ac:dyDescent="0.3">
      <c r="M825" t="str">
        <f>Data_Cleaned!B825</f>
        <v>No</v>
      </c>
      <c r="N825">
        <f>Data_Cleaned!S825</f>
        <v>3291</v>
      </c>
      <c r="R825">
        <v>6</v>
      </c>
      <c r="S825">
        <v>2996</v>
      </c>
    </row>
    <row r="826" spans="13:19" x14ac:dyDescent="0.3">
      <c r="M826" t="str">
        <f>Data_Cleaned!B826</f>
        <v>No</v>
      </c>
      <c r="N826">
        <f>Data_Cleaned!S826</f>
        <v>4272</v>
      </c>
      <c r="R826">
        <v>5</v>
      </c>
      <c r="S826">
        <v>9998</v>
      </c>
    </row>
    <row r="827" spans="13:19" x14ac:dyDescent="0.3">
      <c r="M827" t="str">
        <f>Data_Cleaned!B827</f>
        <v>No</v>
      </c>
      <c r="N827">
        <f>Data_Cleaned!S827</f>
        <v>5056</v>
      </c>
      <c r="R827">
        <v>3</v>
      </c>
      <c r="S827">
        <v>4078</v>
      </c>
    </row>
    <row r="828" spans="13:19" x14ac:dyDescent="0.3">
      <c r="M828" t="str">
        <f>Data_Cleaned!B828</f>
        <v>No</v>
      </c>
      <c r="N828">
        <f>Data_Cleaned!S828</f>
        <v>2844</v>
      </c>
      <c r="R828">
        <v>6</v>
      </c>
      <c r="S828">
        <v>10920</v>
      </c>
    </row>
    <row r="829" spans="13:19" x14ac:dyDescent="0.3">
      <c r="M829" t="str">
        <f>Data_Cleaned!B829</f>
        <v>No</v>
      </c>
      <c r="N829">
        <f>Data_Cleaned!S829</f>
        <v>2703</v>
      </c>
      <c r="R829">
        <v>3</v>
      </c>
      <c r="S829">
        <v>6232</v>
      </c>
    </row>
    <row r="830" spans="13:19" x14ac:dyDescent="0.3">
      <c r="M830" t="str">
        <f>Data_Cleaned!B830</f>
        <v>Yes</v>
      </c>
      <c r="N830">
        <f>Data_Cleaned!S830</f>
        <v>1904</v>
      </c>
      <c r="R830">
        <v>5</v>
      </c>
      <c r="S830">
        <v>13247</v>
      </c>
    </row>
    <row r="831" spans="13:19" x14ac:dyDescent="0.3">
      <c r="M831" t="str">
        <f>Data_Cleaned!B831</f>
        <v>Yes</v>
      </c>
      <c r="N831">
        <f>Data_Cleaned!S831</f>
        <v>8224</v>
      </c>
      <c r="R831">
        <v>20</v>
      </c>
      <c r="S831">
        <v>4081</v>
      </c>
    </row>
    <row r="832" spans="13:19" x14ac:dyDescent="0.3">
      <c r="M832" t="str">
        <f>Data_Cleaned!B832</f>
        <v>No</v>
      </c>
      <c r="N832">
        <f>Data_Cleaned!S832</f>
        <v>4766</v>
      </c>
      <c r="R832">
        <v>6</v>
      </c>
      <c r="S832">
        <v>5769</v>
      </c>
    </row>
    <row r="833" spans="13:19" x14ac:dyDescent="0.3">
      <c r="M833" t="str">
        <f>Data_Cleaned!B833</f>
        <v>Yes</v>
      </c>
      <c r="N833">
        <f>Data_Cleaned!S833</f>
        <v>2610</v>
      </c>
      <c r="R833">
        <v>4</v>
      </c>
      <c r="S833">
        <v>3904</v>
      </c>
    </row>
    <row r="834" spans="13:19" x14ac:dyDescent="0.3">
      <c r="M834" t="str">
        <f>Data_Cleaned!B834</f>
        <v>No</v>
      </c>
      <c r="N834">
        <f>Data_Cleaned!S834</f>
        <v>5731</v>
      </c>
      <c r="R834">
        <v>20</v>
      </c>
      <c r="S834">
        <v>16799</v>
      </c>
    </row>
    <row r="835" spans="13:19" x14ac:dyDescent="0.3">
      <c r="M835" t="str">
        <f>Data_Cleaned!B835</f>
        <v>No</v>
      </c>
      <c r="N835">
        <f>Data_Cleaned!S835</f>
        <v>2539</v>
      </c>
      <c r="R835">
        <v>5</v>
      </c>
      <c r="S835">
        <v>2674</v>
      </c>
    </row>
    <row r="836" spans="13:19" x14ac:dyDescent="0.3">
      <c r="M836" t="str">
        <f>Data_Cleaned!B836</f>
        <v>No</v>
      </c>
      <c r="N836">
        <f>Data_Cleaned!S836</f>
        <v>5714</v>
      </c>
      <c r="R836">
        <v>3</v>
      </c>
      <c r="S836">
        <v>3629</v>
      </c>
    </row>
    <row r="837" spans="13:19" x14ac:dyDescent="0.3">
      <c r="M837" t="str">
        <f>Data_Cleaned!B837</f>
        <v>No</v>
      </c>
      <c r="N837">
        <f>Data_Cleaned!S837</f>
        <v>4323</v>
      </c>
      <c r="R837">
        <v>2</v>
      </c>
      <c r="S837">
        <v>9362</v>
      </c>
    </row>
    <row r="838" spans="13:19" x14ac:dyDescent="0.3">
      <c r="M838" t="str">
        <f>Data_Cleaned!B838</f>
        <v>Yes</v>
      </c>
      <c r="N838">
        <f>Data_Cleaned!S838</f>
        <v>7336</v>
      </c>
      <c r="R838">
        <v>3</v>
      </c>
      <c r="S838">
        <v>3229</v>
      </c>
    </row>
    <row r="839" spans="13:19" x14ac:dyDescent="0.3">
      <c r="M839" t="str">
        <f>Data_Cleaned!B839</f>
        <v>No</v>
      </c>
      <c r="N839">
        <f>Data_Cleaned!S839</f>
        <v>13499</v>
      </c>
      <c r="R839">
        <v>7</v>
      </c>
      <c r="S839">
        <v>3578</v>
      </c>
    </row>
    <row r="840" spans="13:19" x14ac:dyDescent="0.3">
      <c r="M840" t="str">
        <f>Data_Cleaned!B840</f>
        <v>Yes</v>
      </c>
      <c r="N840">
        <f>Data_Cleaned!S840</f>
        <v>13758</v>
      </c>
      <c r="R840">
        <v>10</v>
      </c>
      <c r="S840">
        <v>7988</v>
      </c>
    </row>
    <row r="841" spans="13:19" x14ac:dyDescent="0.3">
      <c r="M841" t="str">
        <f>Data_Cleaned!B841</f>
        <v>No</v>
      </c>
      <c r="N841">
        <f>Data_Cleaned!S841</f>
        <v>5155</v>
      </c>
      <c r="R841">
        <v>20</v>
      </c>
      <c r="S841">
        <v>17328</v>
      </c>
    </row>
    <row r="842" spans="13:19" x14ac:dyDescent="0.3">
      <c r="M842" t="str">
        <f>Data_Cleaned!B842</f>
        <v>No</v>
      </c>
      <c r="N842">
        <f>Data_Cleaned!S842</f>
        <v>2258</v>
      </c>
      <c r="R842">
        <v>9</v>
      </c>
      <c r="S842">
        <v>19701</v>
      </c>
    </row>
    <row r="843" spans="13:19" x14ac:dyDescent="0.3">
      <c r="M843" t="str">
        <f>Data_Cleaned!B843</f>
        <v>No</v>
      </c>
      <c r="N843">
        <f>Data_Cleaned!S843</f>
        <v>3597</v>
      </c>
      <c r="R843">
        <v>7</v>
      </c>
      <c r="S843">
        <v>14732</v>
      </c>
    </row>
    <row r="844" spans="13:19" x14ac:dyDescent="0.3">
      <c r="M844" t="str">
        <f>Data_Cleaned!B844</f>
        <v>Yes</v>
      </c>
      <c r="N844">
        <f>Data_Cleaned!S844</f>
        <v>2515</v>
      </c>
      <c r="R844">
        <v>5</v>
      </c>
      <c r="S844">
        <v>9278</v>
      </c>
    </row>
    <row r="845" spans="13:19" x14ac:dyDescent="0.3">
      <c r="M845" t="str">
        <f>Data_Cleaned!B845</f>
        <v>No</v>
      </c>
      <c r="N845">
        <f>Data_Cleaned!S845</f>
        <v>4420</v>
      </c>
      <c r="R845">
        <v>3</v>
      </c>
      <c r="S845">
        <v>4779</v>
      </c>
    </row>
    <row r="846" spans="13:19" x14ac:dyDescent="0.3">
      <c r="M846" t="str">
        <f>Data_Cleaned!B846</f>
        <v>No</v>
      </c>
      <c r="N846">
        <f>Data_Cleaned!S846</f>
        <v>6578</v>
      </c>
      <c r="R846">
        <v>3</v>
      </c>
      <c r="S846">
        <v>16422</v>
      </c>
    </row>
    <row r="847" spans="13:19" x14ac:dyDescent="0.3">
      <c r="M847" t="str">
        <f>Data_Cleaned!B847</f>
        <v>No</v>
      </c>
      <c r="N847">
        <f>Data_Cleaned!S847</f>
        <v>4422</v>
      </c>
      <c r="R847">
        <v>4</v>
      </c>
      <c r="S847">
        <v>2996</v>
      </c>
    </row>
    <row r="848" spans="13:19" x14ac:dyDescent="0.3">
      <c r="M848" t="str">
        <f>Data_Cleaned!B848</f>
        <v>No</v>
      </c>
      <c r="N848">
        <f>Data_Cleaned!S848</f>
        <v>10274</v>
      </c>
      <c r="R848">
        <v>5</v>
      </c>
      <c r="S848">
        <v>2099</v>
      </c>
    </row>
    <row r="849" spans="13:19" x14ac:dyDescent="0.3">
      <c r="M849" t="str">
        <f>Data_Cleaned!B849</f>
        <v>No</v>
      </c>
      <c r="N849">
        <f>Data_Cleaned!S849</f>
        <v>5343</v>
      </c>
      <c r="R849">
        <v>10</v>
      </c>
      <c r="S849">
        <v>5810</v>
      </c>
    </row>
    <row r="850" spans="13:19" x14ac:dyDescent="0.3">
      <c r="M850" t="str">
        <f>Data_Cleaned!B850</f>
        <v>No</v>
      </c>
      <c r="N850">
        <f>Data_Cleaned!S850</f>
        <v>2376</v>
      </c>
      <c r="R850">
        <v>3</v>
      </c>
      <c r="S850">
        <v>5647</v>
      </c>
    </row>
    <row r="851" spans="13:19" x14ac:dyDescent="0.3">
      <c r="M851" t="str">
        <f>Data_Cleaned!B851</f>
        <v>Yes</v>
      </c>
      <c r="N851">
        <f>Data_Cleaned!S851</f>
        <v>5346</v>
      </c>
      <c r="R851">
        <v>6</v>
      </c>
      <c r="S851">
        <v>3420</v>
      </c>
    </row>
    <row r="852" spans="13:19" x14ac:dyDescent="0.3">
      <c r="M852" t="str">
        <f>Data_Cleaned!B852</f>
        <v>No</v>
      </c>
      <c r="N852">
        <f>Data_Cleaned!S852</f>
        <v>2827</v>
      </c>
      <c r="R852">
        <v>6</v>
      </c>
      <c r="S852">
        <v>3500</v>
      </c>
    </row>
    <row r="853" spans="13:19" x14ac:dyDescent="0.3">
      <c r="M853" t="str">
        <f>Data_Cleaned!B853</f>
        <v>No</v>
      </c>
      <c r="N853">
        <f>Data_Cleaned!S853</f>
        <v>19943</v>
      </c>
      <c r="R853">
        <v>3</v>
      </c>
      <c r="S853">
        <v>2066</v>
      </c>
    </row>
    <row r="854" spans="13:19" x14ac:dyDescent="0.3">
      <c r="M854" t="str">
        <f>Data_Cleaned!B854</f>
        <v>No</v>
      </c>
      <c r="N854">
        <f>Data_Cleaned!S854</f>
        <v>3131</v>
      </c>
      <c r="R854">
        <v>20</v>
      </c>
      <c r="S854">
        <v>17169</v>
      </c>
    </row>
    <row r="855" spans="13:19" x14ac:dyDescent="0.3">
      <c r="M855" t="str">
        <f>Data_Cleaned!B855</f>
        <v>No</v>
      </c>
      <c r="N855">
        <f>Data_Cleaned!S855</f>
        <v>2552</v>
      </c>
      <c r="R855">
        <v>5</v>
      </c>
      <c r="S855">
        <v>4162</v>
      </c>
    </row>
    <row r="856" spans="13:19" x14ac:dyDescent="0.3">
      <c r="M856" t="str">
        <f>Data_Cleaned!B856</f>
        <v>No</v>
      </c>
      <c r="N856">
        <f>Data_Cleaned!S856</f>
        <v>4477</v>
      </c>
      <c r="R856">
        <v>4</v>
      </c>
      <c r="S856">
        <v>9204</v>
      </c>
    </row>
    <row r="857" spans="13:19" x14ac:dyDescent="0.3">
      <c r="M857" t="str">
        <f>Data_Cleaned!B857</f>
        <v>No</v>
      </c>
      <c r="N857">
        <f>Data_Cleaned!S857</f>
        <v>6474</v>
      </c>
      <c r="R857">
        <v>5</v>
      </c>
      <c r="S857">
        <v>3294</v>
      </c>
    </row>
    <row r="858" spans="13:19" x14ac:dyDescent="0.3">
      <c r="M858" t="str">
        <f>Data_Cleaned!B858</f>
        <v>No</v>
      </c>
      <c r="N858">
        <f>Data_Cleaned!S858</f>
        <v>3033</v>
      </c>
      <c r="R858">
        <v>4</v>
      </c>
      <c r="S858">
        <v>2127</v>
      </c>
    </row>
    <row r="859" spans="13:19" x14ac:dyDescent="0.3">
      <c r="M859" t="str">
        <f>Data_Cleaned!B859</f>
        <v>Yes</v>
      </c>
      <c r="N859">
        <f>Data_Cleaned!S859</f>
        <v>2936</v>
      </c>
      <c r="R859">
        <v>8</v>
      </c>
      <c r="S859">
        <v>3975</v>
      </c>
    </row>
    <row r="860" spans="13:19" x14ac:dyDescent="0.3">
      <c r="M860" t="str">
        <f>Data_Cleaned!B860</f>
        <v>No</v>
      </c>
      <c r="N860">
        <f>Data_Cleaned!S860</f>
        <v>18606</v>
      </c>
      <c r="R860">
        <v>13</v>
      </c>
      <c r="S860">
        <v>10793</v>
      </c>
    </row>
    <row r="861" spans="13:19" x14ac:dyDescent="0.3">
      <c r="M861" t="str">
        <f>Data_Cleaned!B861</f>
        <v>No</v>
      </c>
      <c r="N861">
        <f>Data_Cleaned!S861</f>
        <v>2168</v>
      </c>
      <c r="R861">
        <v>7</v>
      </c>
      <c r="S861">
        <v>10851</v>
      </c>
    </row>
    <row r="862" spans="13:19" x14ac:dyDescent="0.3">
      <c r="M862" t="str">
        <f>Data_Cleaned!B862</f>
        <v>Yes</v>
      </c>
      <c r="N862">
        <f>Data_Cleaned!S862</f>
        <v>2853</v>
      </c>
      <c r="R862">
        <v>3</v>
      </c>
      <c r="S862">
        <v>2109</v>
      </c>
    </row>
    <row r="863" spans="13:19" x14ac:dyDescent="0.3">
      <c r="M863" t="str">
        <f>Data_Cleaned!B863</f>
        <v>No</v>
      </c>
      <c r="N863">
        <f>Data_Cleaned!S863</f>
        <v>17048</v>
      </c>
      <c r="R863">
        <v>3</v>
      </c>
      <c r="S863">
        <v>9380</v>
      </c>
    </row>
    <row r="864" spans="13:19" x14ac:dyDescent="0.3">
      <c r="M864" t="str">
        <f>Data_Cleaned!B864</f>
        <v>No</v>
      </c>
      <c r="N864">
        <f>Data_Cleaned!S864</f>
        <v>2290</v>
      </c>
      <c r="R864">
        <v>2</v>
      </c>
      <c r="S864">
        <v>5486</v>
      </c>
    </row>
    <row r="865" spans="13:19" x14ac:dyDescent="0.3">
      <c r="M865" t="str">
        <f>Data_Cleaned!B865</f>
        <v>No</v>
      </c>
      <c r="N865">
        <f>Data_Cleaned!S865</f>
        <v>3600</v>
      </c>
      <c r="R865">
        <v>9</v>
      </c>
      <c r="S865">
        <v>13757</v>
      </c>
    </row>
    <row r="866" spans="13:19" x14ac:dyDescent="0.3">
      <c r="M866" t="str">
        <f>Data_Cleaned!B866</f>
        <v>Yes</v>
      </c>
      <c r="N866">
        <f>Data_Cleaned!S866</f>
        <v>2107</v>
      </c>
      <c r="R866">
        <v>5</v>
      </c>
      <c r="S866">
        <v>8463</v>
      </c>
    </row>
    <row r="867" spans="13:19" x14ac:dyDescent="0.3">
      <c r="M867" t="str">
        <f>Data_Cleaned!B867</f>
        <v>No</v>
      </c>
      <c r="N867">
        <f>Data_Cleaned!S867</f>
        <v>4115</v>
      </c>
      <c r="R867">
        <v>5</v>
      </c>
      <c r="S867">
        <v>3162</v>
      </c>
    </row>
    <row r="868" spans="13:19" x14ac:dyDescent="0.3">
      <c r="M868" t="str">
        <f>Data_Cleaned!B868</f>
        <v>No</v>
      </c>
      <c r="N868">
        <f>Data_Cleaned!S868</f>
        <v>4327</v>
      </c>
      <c r="R868">
        <v>9</v>
      </c>
      <c r="S868">
        <v>16598</v>
      </c>
    </row>
    <row r="869" spans="13:19" x14ac:dyDescent="0.3">
      <c r="M869" t="str">
        <f>Data_Cleaned!B869</f>
        <v>No</v>
      </c>
      <c r="N869">
        <f>Data_Cleaned!S869</f>
        <v>17856</v>
      </c>
      <c r="R869">
        <v>3</v>
      </c>
      <c r="S869">
        <v>6651</v>
      </c>
    </row>
    <row r="870" spans="13:19" x14ac:dyDescent="0.3">
      <c r="M870" t="str">
        <f>Data_Cleaned!B870</f>
        <v>No</v>
      </c>
      <c r="N870">
        <f>Data_Cleaned!S870</f>
        <v>3196</v>
      </c>
      <c r="R870">
        <v>3</v>
      </c>
      <c r="S870">
        <v>2345</v>
      </c>
    </row>
    <row r="871" spans="13:19" x14ac:dyDescent="0.3">
      <c r="M871" t="str">
        <f>Data_Cleaned!B871</f>
        <v>No</v>
      </c>
      <c r="N871">
        <f>Data_Cleaned!S871</f>
        <v>19081</v>
      </c>
      <c r="R871">
        <v>5</v>
      </c>
      <c r="S871">
        <v>3420</v>
      </c>
    </row>
    <row r="872" spans="13:19" x14ac:dyDescent="0.3">
      <c r="M872" t="str">
        <f>Data_Cleaned!B872</f>
        <v>No</v>
      </c>
      <c r="N872">
        <f>Data_Cleaned!S872</f>
        <v>8966</v>
      </c>
      <c r="R872">
        <v>4</v>
      </c>
      <c r="S872">
        <v>4373</v>
      </c>
    </row>
    <row r="873" spans="13:19" x14ac:dyDescent="0.3">
      <c r="M873" t="str">
        <f>Data_Cleaned!B873</f>
        <v>Yes</v>
      </c>
      <c r="N873">
        <f>Data_Cleaned!S873</f>
        <v>2210</v>
      </c>
      <c r="R873">
        <v>13</v>
      </c>
      <c r="S873">
        <v>4759</v>
      </c>
    </row>
    <row r="874" spans="13:19" x14ac:dyDescent="0.3">
      <c r="M874" t="str">
        <f>Data_Cleaned!B874</f>
        <v>No</v>
      </c>
      <c r="N874">
        <f>Data_Cleaned!S874</f>
        <v>4539</v>
      </c>
      <c r="R874">
        <v>2</v>
      </c>
      <c r="S874">
        <v>5301</v>
      </c>
    </row>
    <row r="875" spans="13:19" x14ac:dyDescent="0.3">
      <c r="M875" t="str">
        <f>Data_Cleaned!B875</f>
        <v>No</v>
      </c>
      <c r="N875">
        <f>Data_Cleaned!S875</f>
        <v>2741</v>
      </c>
      <c r="R875">
        <v>12</v>
      </c>
      <c r="S875">
        <v>3673</v>
      </c>
    </row>
    <row r="876" spans="13:19" x14ac:dyDescent="0.3">
      <c r="M876" t="str">
        <f>Data_Cleaned!B876</f>
        <v>No</v>
      </c>
      <c r="N876">
        <f>Data_Cleaned!S876</f>
        <v>3491</v>
      </c>
      <c r="R876">
        <v>1</v>
      </c>
      <c r="S876">
        <v>4768</v>
      </c>
    </row>
    <row r="877" spans="13:19" x14ac:dyDescent="0.3">
      <c r="M877" t="str">
        <f>Data_Cleaned!B877</f>
        <v>No</v>
      </c>
      <c r="N877">
        <f>Data_Cleaned!S877</f>
        <v>4541</v>
      </c>
      <c r="R877">
        <v>1</v>
      </c>
      <c r="S877">
        <v>1274</v>
      </c>
    </row>
    <row r="878" spans="13:19" x14ac:dyDescent="0.3">
      <c r="M878" t="str">
        <f>Data_Cleaned!B878</f>
        <v>No</v>
      </c>
      <c r="N878">
        <f>Data_Cleaned!S878</f>
        <v>2678</v>
      </c>
      <c r="R878">
        <v>12</v>
      </c>
      <c r="S878">
        <v>4900</v>
      </c>
    </row>
    <row r="879" spans="13:19" x14ac:dyDescent="0.3">
      <c r="M879" t="str">
        <f>Data_Cleaned!B879</f>
        <v>No</v>
      </c>
      <c r="N879">
        <f>Data_Cleaned!S879</f>
        <v>7379</v>
      </c>
      <c r="R879">
        <v>8</v>
      </c>
      <c r="S879">
        <v>10466</v>
      </c>
    </row>
    <row r="880" spans="13:19" x14ac:dyDescent="0.3">
      <c r="M880" t="str">
        <f>Data_Cleaned!B880</f>
        <v>No</v>
      </c>
      <c r="N880">
        <f>Data_Cleaned!S880</f>
        <v>6272</v>
      </c>
      <c r="R880">
        <v>14</v>
      </c>
      <c r="S880">
        <v>17007</v>
      </c>
    </row>
    <row r="881" spans="13:19" x14ac:dyDescent="0.3">
      <c r="M881" t="str">
        <f>Data_Cleaned!B881</f>
        <v>No</v>
      </c>
      <c r="N881">
        <f>Data_Cleaned!S881</f>
        <v>5220</v>
      </c>
      <c r="R881">
        <v>1</v>
      </c>
      <c r="S881">
        <v>2404</v>
      </c>
    </row>
    <row r="882" spans="13:19" x14ac:dyDescent="0.3">
      <c r="M882" t="str">
        <f>Data_Cleaned!B882</f>
        <v>No</v>
      </c>
      <c r="N882">
        <f>Data_Cleaned!S882</f>
        <v>2743</v>
      </c>
      <c r="R882">
        <v>1</v>
      </c>
      <c r="S882">
        <v>2033</v>
      </c>
    </row>
    <row r="883" spans="13:19" x14ac:dyDescent="0.3">
      <c r="M883" t="str">
        <f>Data_Cleaned!B883</f>
        <v>No</v>
      </c>
      <c r="N883">
        <f>Data_Cleaned!S883</f>
        <v>4998</v>
      </c>
      <c r="R883">
        <v>2</v>
      </c>
      <c r="S883">
        <v>10209</v>
      </c>
    </row>
    <row r="884" spans="13:19" x14ac:dyDescent="0.3">
      <c r="M884" t="str">
        <f>Data_Cleaned!B884</f>
        <v>No</v>
      </c>
      <c r="N884">
        <f>Data_Cleaned!S884</f>
        <v>10252</v>
      </c>
      <c r="R884">
        <v>10</v>
      </c>
      <c r="S884">
        <v>8620</v>
      </c>
    </row>
    <row r="885" spans="13:19" x14ac:dyDescent="0.3">
      <c r="M885" t="str">
        <f>Data_Cleaned!B885</f>
        <v>No</v>
      </c>
      <c r="N885">
        <f>Data_Cleaned!S885</f>
        <v>2781</v>
      </c>
      <c r="R885">
        <v>5</v>
      </c>
      <c r="S885">
        <v>2064</v>
      </c>
    </row>
    <row r="886" spans="13:19" x14ac:dyDescent="0.3">
      <c r="M886" t="str">
        <f>Data_Cleaned!B886</f>
        <v>No</v>
      </c>
      <c r="N886">
        <f>Data_Cleaned!S886</f>
        <v>6852</v>
      </c>
      <c r="R886">
        <v>3</v>
      </c>
      <c r="S886">
        <v>4035</v>
      </c>
    </row>
    <row r="887" spans="13:19" x14ac:dyDescent="0.3">
      <c r="M887" t="str">
        <f>Data_Cleaned!B887</f>
        <v>No</v>
      </c>
      <c r="N887">
        <f>Data_Cleaned!S887</f>
        <v>4950</v>
      </c>
      <c r="R887">
        <v>5</v>
      </c>
      <c r="S887">
        <v>3838</v>
      </c>
    </row>
    <row r="888" spans="13:19" x14ac:dyDescent="0.3">
      <c r="M888" t="str">
        <f>Data_Cleaned!B888</f>
        <v>No</v>
      </c>
      <c r="N888">
        <f>Data_Cleaned!S888</f>
        <v>3579</v>
      </c>
      <c r="R888">
        <v>5</v>
      </c>
      <c r="S888">
        <v>4591</v>
      </c>
    </row>
    <row r="889" spans="13:19" x14ac:dyDescent="0.3">
      <c r="M889" t="str">
        <f>Data_Cleaned!B889</f>
        <v>No</v>
      </c>
      <c r="N889">
        <f>Data_Cleaned!S889</f>
        <v>13191</v>
      </c>
      <c r="R889">
        <v>1</v>
      </c>
      <c r="S889">
        <v>1563</v>
      </c>
    </row>
    <row r="890" spans="13:19" x14ac:dyDescent="0.3">
      <c r="M890" t="str">
        <f>Data_Cleaned!B890</f>
        <v>No</v>
      </c>
      <c r="N890">
        <f>Data_Cleaned!S890</f>
        <v>10377</v>
      </c>
      <c r="R890">
        <v>4</v>
      </c>
      <c r="S890">
        <v>4898</v>
      </c>
    </row>
    <row r="891" spans="13:19" x14ac:dyDescent="0.3">
      <c r="M891" t="str">
        <f>Data_Cleaned!B891</f>
        <v>No</v>
      </c>
      <c r="N891">
        <f>Data_Cleaned!S891</f>
        <v>2235</v>
      </c>
      <c r="R891">
        <v>3</v>
      </c>
      <c r="S891">
        <v>4789</v>
      </c>
    </row>
    <row r="892" spans="13:19" x14ac:dyDescent="0.3">
      <c r="M892" t="str">
        <f>Data_Cleaned!B892</f>
        <v>No</v>
      </c>
      <c r="N892">
        <f>Data_Cleaned!S892</f>
        <v>9950</v>
      </c>
      <c r="R892">
        <v>3</v>
      </c>
      <c r="S892">
        <v>3180</v>
      </c>
    </row>
    <row r="893" spans="13:19" x14ac:dyDescent="0.3">
      <c r="M893" t="str">
        <f>Data_Cleaned!B893</f>
        <v>No</v>
      </c>
      <c r="N893">
        <f>Data_Cleaned!S893</f>
        <v>2011</v>
      </c>
      <c r="R893">
        <v>8</v>
      </c>
      <c r="S893">
        <v>6549</v>
      </c>
    </row>
    <row r="894" spans="13:19" x14ac:dyDescent="0.3">
      <c r="M894" t="str">
        <f>Data_Cleaned!B894</f>
        <v>Yes</v>
      </c>
      <c r="N894">
        <f>Data_Cleaned!S894</f>
        <v>1859</v>
      </c>
      <c r="R894">
        <v>0</v>
      </c>
      <c r="S894">
        <v>6388</v>
      </c>
    </row>
    <row r="895" spans="13:19" x14ac:dyDescent="0.3">
      <c r="M895" t="str">
        <f>Data_Cleaned!B895</f>
        <v>No</v>
      </c>
      <c r="N895">
        <f>Data_Cleaned!S895</f>
        <v>3760</v>
      </c>
      <c r="R895">
        <v>5</v>
      </c>
      <c r="S895">
        <v>11244</v>
      </c>
    </row>
    <row r="896" spans="13:19" x14ac:dyDescent="0.3">
      <c r="M896" t="str">
        <f>Data_Cleaned!B896</f>
        <v>No</v>
      </c>
      <c r="N896">
        <f>Data_Cleaned!S896</f>
        <v>17779</v>
      </c>
      <c r="R896">
        <v>14</v>
      </c>
      <c r="S896">
        <v>16032</v>
      </c>
    </row>
    <row r="897" spans="13:19" x14ac:dyDescent="0.3">
      <c r="M897" t="str">
        <f>Data_Cleaned!B897</f>
        <v>No</v>
      </c>
      <c r="N897">
        <f>Data_Cleaned!S897</f>
        <v>6833</v>
      </c>
      <c r="R897">
        <v>20</v>
      </c>
      <c r="S897">
        <v>16328</v>
      </c>
    </row>
    <row r="898" spans="13:19" x14ac:dyDescent="0.3">
      <c r="M898" t="str">
        <f>Data_Cleaned!B898</f>
        <v>No</v>
      </c>
      <c r="N898">
        <f>Data_Cleaned!S898</f>
        <v>6812</v>
      </c>
      <c r="R898">
        <v>2</v>
      </c>
      <c r="S898">
        <v>8376</v>
      </c>
    </row>
    <row r="899" spans="13:19" x14ac:dyDescent="0.3">
      <c r="M899" t="str">
        <f>Data_Cleaned!B899</f>
        <v>No</v>
      </c>
      <c r="N899">
        <f>Data_Cleaned!S899</f>
        <v>5171</v>
      </c>
      <c r="R899">
        <v>13</v>
      </c>
      <c r="S899">
        <v>16606</v>
      </c>
    </row>
    <row r="900" spans="13:19" x14ac:dyDescent="0.3">
      <c r="M900" t="str">
        <f>Data_Cleaned!B900</f>
        <v>No</v>
      </c>
      <c r="N900">
        <f>Data_Cleaned!S900</f>
        <v>19740</v>
      </c>
      <c r="R900">
        <v>11</v>
      </c>
      <c r="S900">
        <v>8606</v>
      </c>
    </row>
    <row r="901" spans="13:19" x14ac:dyDescent="0.3">
      <c r="M901" t="str">
        <f>Data_Cleaned!B901</f>
        <v>No</v>
      </c>
      <c r="N901">
        <f>Data_Cleaned!S901</f>
        <v>18711</v>
      </c>
      <c r="R901">
        <v>4</v>
      </c>
      <c r="S901">
        <v>2272</v>
      </c>
    </row>
    <row r="902" spans="13:19" x14ac:dyDescent="0.3">
      <c r="M902" t="str">
        <f>Data_Cleaned!B902</f>
        <v>No</v>
      </c>
      <c r="N902">
        <f>Data_Cleaned!S902</f>
        <v>2674</v>
      </c>
      <c r="R902">
        <v>10</v>
      </c>
      <c r="S902">
        <v>7083</v>
      </c>
    </row>
    <row r="903" spans="13:19" x14ac:dyDescent="0.3">
      <c r="M903" t="str">
        <f>Data_Cleaned!B903</f>
        <v>No</v>
      </c>
      <c r="N903">
        <f>Data_Cleaned!S903</f>
        <v>2559</v>
      </c>
      <c r="R903">
        <v>32</v>
      </c>
      <c r="S903">
        <v>14411</v>
      </c>
    </row>
    <row r="904" spans="13:19" x14ac:dyDescent="0.3">
      <c r="M904" t="str">
        <f>Data_Cleaned!B904</f>
        <v>No</v>
      </c>
      <c r="N904">
        <f>Data_Cleaned!S904</f>
        <v>2517</v>
      </c>
      <c r="R904">
        <v>11</v>
      </c>
      <c r="S904">
        <v>2308</v>
      </c>
    </row>
    <row r="905" spans="13:19" x14ac:dyDescent="0.3">
      <c r="M905" t="str">
        <f>Data_Cleaned!B905</f>
        <v>No</v>
      </c>
      <c r="N905">
        <f>Data_Cleaned!S905</f>
        <v>6623</v>
      </c>
      <c r="R905">
        <v>1</v>
      </c>
      <c r="S905">
        <v>4841</v>
      </c>
    </row>
    <row r="906" spans="13:19" x14ac:dyDescent="0.3">
      <c r="M906" t="str">
        <f>Data_Cleaned!B906</f>
        <v>No</v>
      </c>
      <c r="N906">
        <f>Data_Cleaned!S906</f>
        <v>18265</v>
      </c>
      <c r="R906">
        <v>10</v>
      </c>
      <c r="S906">
        <v>4285</v>
      </c>
    </row>
    <row r="907" spans="13:19" x14ac:dyDescent="0.3">
      <c r="M907" t="str">
        <f>Data_Cleaned!B907</f>
        <v>No</v>
      </c>
      <c r="N907">
        <f>Data_Cleaned!S907</f>
        <v>16124</v>
      </c>
      <c r="R907">
        <v>7</v>
      </c>
      <c r="S907">
        <v>9715</v>
      </c>
    </row>
    <row r="908" spans="13:19" x14ac:dyDescent="0.3">
      <c r="M908" t="str">
        <f>Data_Cleaned!B908</f>
        <v>No</v>
      </c>
      <c r="N908">
        <f>Data_Cleaned!S908</f>
        <v>2585</v>
      </c>
      <c r="R908">
        <v>5</v>
      </c>
      <c r="S908">
        <v>4320</v>
      </c>
    </row>
    <row r="909" spans="13:19" x14ac:dyDescent="0.3">
      <c r="M909" t="str">
        <f>Data_Cleaned!B909</f>
        <v>No</v>
      </c>
      <c r="N909">
        <f>Data_Cleaned!S909</f>
        <v>18213</v>
      </c>
      <c r="R909">
        <v>5</v>
      </c>
      <c r="S909">
        <v>2132</v>
      </c>
    </row>
    <row r="910" spans="13:19" x14ac:dyDescent="0.3">
      <c r="M910" t="str">
        <f>Data_Cleaned!B910</f>
        <v>No</v>
      </c>
      <c r="N910">
        <f>Data_Cleaned!S910</f>
        <v>8380</v>
      </c>
      <c r="R910">
        <v>20</v>
      </c>
      <c r="S910">
        <v>10124</v>
      </c>
    </row>
    <row r="911" spans="13:19" x14ac:dyDescent="0.3">
      <c r="M911" t="str">
        <f>Data_Cleaned!B911</f>
        <v>No</v>
      </c>
      <c r="N911">
        <f>Data_Cleaned!S911</f>
        <v>2994</v>
      </c>
      <c r="R911">
        <v>8</v>
      </c>
      <c r="S911">
        <v>5473</v>
      </c>
    </row>
    <row r="912" spans="13:19" x14ac:dyDescent="0.3">
      <c r="M912" t="str">
        <f>Data_Cleaned!B912</f>
        <v>No</v>
      </c>
      <c r="N912">
        <f>Data_Cleaned!S912</f>
        <v>1223</v>
      </c>
      <c r="R912">
        <v>15</v>
      </c>
      <c r="S912">
        <v>5207</v>
      </c>
    </row>
    <row r="913" spans="13:19" x14ac:dyDescent="0.3">
      <c r="M913" t="str">
        <f>Data_Cleaned!B913</f>
        <v>Yes</v>
      </c>
      <c r="N913">
        <f>Data_Cleaned!S913</f>
        <v>1118</v>
      </c>
      <c r="R913">
        <v>21</v>
      </c>
      <c r="S913">
        <v>16437</v>
      </c>
    </row>
    <row r="914" spans="13:19" x14ac:dyDescent="0.3">
      <c r="M914" t="str">
        <f>Data_Cleaned!B914</f>
        <v>No</v>
      </c>
      <c r="N914">
        <f>Data_Cleaned!S914</f>
        <v>2875</v>
      </c>
      <c r="R914">
        <v>1</v>
      </c>
      <c r="S914">
        <v>2296</v>
      </c>
    </row>
    <row r="915" spans="13:19" x14ac:dyDescent="0.3">
      <c r="M915" t="str">
        <f>Data_Cleaned!B915</f>
        <v>Yes</v>
      </c>
      <c r="N915">
        <f>Data_Cleaned!S915</f>
        <v>18824</v>
      </c>
      <c r="R915">
        <v>2</v>
      </c>
      <c r="S915">
        <v>4069</v>
      </c>
    </row>
    <row r="916" spans="13:19" x14ac:dyDescent="0.3">
      <c r="M916" t="str">
        <f>Data_Cleaned!B916</f>
        <v>No</v>
      </c>
      <c r="N916">
        <f>Data_Cleaned!S916</f>
        <v>13577</v>
      </c>
      <c r="R916">
        <v>10</v>
      </c>
      <c r="S916">
        <v>7441</v>
      </c>
    </row>
    <row r="917" spans="13:19" x14ac:dyDescent="0.3">
      <c r="M917" t="str">
        <f>Data_Cleaned!B917</f>
        <v>Yes</v>
      </c>
      <c r="N917">
        <f>Data_Cleaned!S917</f>
        <v>2625</v>
      </c>
      <c r="R917">
        <v>5</v>
      </c>
      <c r="S917">
        <v>2430</v>
      </c>
    </row>
    <row r="918" spans="13:19" x14ac:dyDescent="0.3">
      <c r="M918" t="str">
        <f>Data_Cleaned!B918</f>
        <v>No</v>
      </c>
      <c r="N918">
        <f>Data_Cleaned!S918</f>
        <v>18789</v>
      </c>
      <c r="R918">
        <v>7</v>
      </c>
      <c r="S918">
        <v>5878</v>
      </c>
    </row>
    <row r="919" spans="13:19" x14ac:dyDescent="0.3">
      <c r="M919" t="str">
        <f>Data_Cleaned!B919</f>
        <v>No</v>
      </c>
      <c r="N919">
        <f>Data_Cleaned!S919</f>
        <v>4538</v>
      </c>
      <c r="R919">
        <v>3</v>
      </c>
      <c r="S919">
        <v>2644</v>
      </c>
    </row>
    <row r="920" spans="13:19" x14ac:dyDescent="0.3">
      <c r="M920" t="str">
        <f>Data_Cleaned!B920</f>
        <v>No</v>
      </c>
      <c r="N920">
        <f>Data_Cleaned!S920</f>
        <v>19847</v>
      </c>
      <c r="R920">
        <v>8</v>
      </c>
      <c r="S920">
        <v>6439</v>
      </c>
    </row>
    <row r="921" spans="13:19" x14ac:dyDescent="0.3">
      <c r="M921" t="str">
        <f>Data_Cleaned!B921</f>
        <v>No</v>
      </c>
      <c r="N921">
        <f>Data_Cleaned!S921</f>
        <v>10512</v>
      </c>
      <c r="R921">
        <v>1</v>
      </c>
      <c r="S921">
        <v>2451</v>
      </c>
    </row>
    <row r="922" spans="13:19" x14ac:dyDescent="0.3">
      <c r="M922" t="str">
        <f>Data_Cleaned!B922</f>
        <v>No</v>
      </c>
      <c r="N922">
        <f>Data_Cleaned!S922</f>
        <v>4444</v>
      </c>
      <c r="R922">
        <v>2</v>
      </c>
      <c r="S922">
        <v>6392</v>
      </c>
    </row>
    <row r="923" spans="13:19" x14ac:dyDescent="0.3">
      <c r="M923" t="str">
        <f>Data_Cleaned!B923</f>
        <v>No</v>
      </c>
      <c r="N923">
        <f>Data_Cleaned!S923</f>
        <v>2154</v>
      </c>
      <c r="R923">
        <v>6</v>
      </c>
      <c r="S923">
        <v>6077</v>
      </c>
    </row>
    <row r="924" spans="13:19" x14ac:dyDescent="0.3">
      <c r="M924" t="str">
        <f>Data_Cleaned!B924</f>
        <v>No</v>
      </c>
      <c r="N924">
        <f>Data_Cleaned!S924</f>
        <v>19190</v>
      </c>
      <c r="R924">
        <v>3</v>
      </c>
      <c r="S924">
        <v>2450</v>
      </c>
    </row>
    <row r="925" spans="13:19" x14ac:dyDescent="0.3">
      <c r="M925" t="str">
        <f>Data_Cleaned!B925</f>
        <v>No</v>
      </c>
      <c r="N925">
        <f>Data_Cleaned!S925</f>
        <v>4490</v>
      </c>
      <c r="R925">
        <v>4</v>
      </c>
      <c r="S925">
        <v>9250</v>
      </c>
    </row>
    <row r="926" spans="13:19" x14ac:dyDescent="0.3">
      <c r="M926" t="str">
        <f>Data_Cleaned!B926</f>
        <v>No</v>
      </c>
      <c r="N926">
        <f>Data_Cleaned!S926</f>
        <v>3506</v>
      </c>
      <c r="R926">
        <v>6</v>
      </c>
      <c r="S926">
        <v>4087</v>
      </c>
    </row>
    <row r="927" spans="13:19" x14ac:dyDescent="0.3">
      <c r="M927" t="str">
        <f>Data_Cleaned!B927</f>
        <v>No</v>
      </c>
      <c r="N927">
        <f>Data_Cleaned!S927</f>
        <v>2372</v>
      </c>
      <c r="R927">
        <v>8</v>
      </c>
      <c r="S927">
        <v>2367</v>
      </c>
    </row>
    <row r="928" spans="13:19" x14ac:dyDescent="0.3">
      <c r="M928" t="str">
        <f>Data_Cleaned!B928</f>
        <v>No</v>
      </c>
      <c r="N928">
        <f>Data_Cleaned!S928</f>
        <v>10231</v>
      </c>
      <c r="R928">
        <v>1</v>
      </c>
      <c r="S928">
        <v>2972</v>
      </c>
    </row>
    <row r="929" spans="13:19" x14ac:dyDescent="0.3">
      <c r="M929" t="str">
        <f>Data_Cleaned!B929</f>
        <v>No</v>
      </c>
      <c r="N929">
        <f>Data_Cleaned!S929</f>
        <v>5410</v>
      </c>
      <c r="R929">
        <v>36</v>
      </c>
      <c r="S929">
        <v>19586</v>
      </c>
    </row>
    <row r="930" spans="13:19" x14ac:dyDescent="0.3">
      <c r="M930" t="str">
        <f>Data_Cleaned!B930</f>
        <v>Yes</v>
      </c>
      <c r="N930">
        <f>Data_Cleaned!S930</f>
        <v>7978</v>
      </c>
      <c r="R930">
        <v>2</v>
      </c>
      <c r="S930">
        <v>5484</v>
      </c>
    </row>
    <row r="931" spans="13:19" x14ac:dyDescent="0.3">
      <c r="M931" t="str">
        <f>Data_Cleaned!B931</f>
        <v>No</v>
      </c>
      <c r="N931">
        <f>Data_Cleaned!S931</f>
        <v>3867</v>
      </c>
      <c r="R931">
        <v>1</v>
      </c>
      <c r="S931">
        <v>2061</v>
      </c>
    </row>
    <row r="932" spans="13:19" x14ac:dyDescent="0.3">
      <c r="M932" t="str">
        <f>Data_Cleaned!B932</f>
        <v>No</v>
      </c>
      <c r="N932">
        <f>Data_Cleaned!S932</f>
        <v>2838</v>
      </c>
      <c r="R932">
        <v>9</v>
      </c>
      <c r="S932">
        <v>9924</v>
      </c>
    </row>
    <row r="933" spans="13:19" x14ac:dyDescent="0.3">
      <c r="M933" t="str">
        <f>Data_Cleaned!B933</f>
        <v>No</v>
      </c>
      <c r="N933">
        <f>Data_Cleaned!S933</f>
        <v>4695</v>
      </c>
      <c r="R933">
        <v>3</v>
      </c>
      <c r="S933">
        <v>4198</v>
      </c>
    </row>
    <row r="934" spans="13:19" x14ac:dyDescent="0.3">
      <c r="M934" t="str">
        <f>Data_Cleaned!B934</f>
        <v>Yes</v>
      </c>
      <c r="N934">
        <f>Data_Cleaned!S934</f>
        <v>3339</v>
      </c>
      <c r="R934">
        <v>1</v>
      </c>
      <c r="S934">
        <v>6815</v>
      </c>
    </row>
    <row r="935" spans="13:19" x14ac:dyDescent="0.3">
      <c r="M935" t="str">
        <f>Data_Cleaned!B935</f>
        <v>No</v>
      </c>
      <c r="N935">
        <f>Data_Cleaned!S935</f>
        <v>2080</v>
      </c>
      <c r="R935">
        <v>10</v>
      </c>
      <c r="S935">
        <v>4723</v>
      </c>
    </row>
    <row r="936" spans="13:19" x14ac:dyDescent="0.3">
      <c r="M936" t="str">
        <f>Data_Cleaned!B936</f>
        <v>No</v>
      </c>
      <c r="N936">
        <f>Data_Cleaned!S936</f>
        <v>2096</v>
      </c>
      <c r="R936">
        <v>5</v>
      </c>
      <c r="S936">
        <v>6142</v>
      </c>
    </row>
    <row r="937" spans="13:19" x14ac:dyDescent="0.3">
      <c r="M937" t="str">
        <f>Data_Cleaned!B937</f>
        <v>No</v>
      </c>
      <c r="N937">
        <f>Data_Cleaned!S937</f>
        <v>6209</v>
      </c>
      <c r="R937">
        <v>7</v>
      </c>
      <c r="S937">
        <v>8237</v>
      </c>
    </row>
    <row r="938" spans="13:19" x14ac:dyDescent="0.3">
      <c r="M938" t="str">
        <f>Data_Cleaned!B938</f>
        <v>No</v>
      </c>
      <c r="N938">
        <f>Data_Cleaned!S938</f>
        <v>18061</v>
      </c>
      <c r="R938">
        <v>6</v>
      </c>
      <c r="S938">
        <v>8853</v>
      </c>
    </row>
    <row r="939" spans="13:19" x14ac:dyDescent="0.3">
      <c r="M939" t="str">
        <f>Data_Cleaned!B939</f>
        <v>No</v>
      </c>
      <c r="N939">
        <f>Data_Cleaned!S939</f>
        <v>17123</v>
      </c>
      <c r="R939">
        <v>1</v>
      </c>
      <c r="S939">
        <v>19331</v>
      </c>
    </row>
    <row r="940" spans="13:19" x14ac:dyDescent="0.3">
      <c r="M940" t="str">
        <f>Data_Cleaned!B940</f>
        <v>No</v>
      </c>
      <c r="N940">
        <f>Data_Cleaned!S940</f>
        <v>2372</v>
      </c>
      <c r="R940">
        <v>2</v>
      </c>
      <c r="S940">
        <v>2073</v>
      </c>
    </row>
    <row r="941" spans="13:19" x14ac:dyDescent="0.3">
      <c r="M941" t="str">
        <f>Data_Cleaned!B941</f>
        <v>Yes</v>
      </c>
      <c r="N941">
        <f>Data_Cleaned!S941</f>
        <v>4883</v>
      </c>
      <c r="R941">
        <v>3</v>
      </c>
      <c r="S941">
        <v>5562</v>
      </c>
    </row>
    <row r="942" spans="13:19" x14ac:dyDescent="0.3">
      <c r="M942" t="str">
        <f>Data_Cleaned!B942</f>
        <v>Yes</v>
      </c>
      <c r="N942">
        <f>Data_Cleaned!S942</f>
        <v>3904</v>
      </c>
      <c r="R942">
        <v>1</v>
      </c>
      <c r="S942">
        <v>19613</v>
      </c>
    </row>
    <row r="943" spans="13:19" x14ac:dyDescent="0.3">
      <c r="M943" t="str">
        <f>Data_Cleaned!B943</f>
        <v>No</v>
      </c>
      <c r="N943">
        <f>Data_Cleaned!S943</f>
        <v>4627</v>
      </c>
      <c r="R943">
        <v>10</v>
      </c>
      <c r="S943">
        <v>3407</v>
      </c>
    </row>
    <row r="944" spans="13:19" x14ac:dyDescent="0.3">
      <c r="M944" t="str">
        <f>Data_Cleaned!B944</f>
        <v>No</v>
      </c>
      <c r="N944">
        <f>Data_Cleaned!S944</f>
        <v>7094</v>
      </c>
      <c r="R944">
        <v>8</v>
      </c>
      <c r="S944">
        <v>5063</v>
      </c>
    </row>
    <row r="945" spans="13:19" x14ac:dyDescent="0.3">
      <c r="M945" t="str">
        <f>Data_Cleaned!B945</f>
        <v>No</v>
      </c>
      <c r="N945">
        <f>Data_Cleaned!S945</f>
        <v>3423</v>
      </c>
      <c r="R945">
        <v>5</v>
      </c>
      <c r="S945">
        <v>4639</v>
      </c>
    </row>
    <row r="946" spans="13:19" x14ac:dyDescent="0.3">
      <c r="M946" t="str">
        <f>Data_Cleaned!B946</f>
        <v>No</v>
      </c>
      <c r="N946">
        <f>Data_Cleaned!S946</f>
        <v>6674</v>
      </c>
      <c r="R946">
        <v>6</v>
      </c>
      <c r="S946">
        <v>4876</v>
      </c>
    </row>
    <row r="947" spans="13:19" x14ac:dyDescent="0.3">
      <c r="M947" t="str">
        <f>Data_Cleaned!B947</f>
        <v>No</v>
      </c>
      <c r="N947">
        <f>Data_Cleaned!S947</f>
        <v>16880</v>
      </c>
      <c r="R947">
        <v>1</v>
      </c>
      <c r="S947">
        <v>2690</v>
      </c>
    </row>
    <row r="948" spans="13:19" x14ac:dyDescent="0.3">
      <c r="M948" t="str">
        <f>Data_Cleaned!B948</f>
        <v>Yes</v>
      </c>
      <c r="N948">
        <f>Data_Cleaned!S948</f>
        <v>9094</v>
      </c>
      <c r="R948">
        <v>26</v>
      </c>
      <c r="S948">
        <v>17567</v>
      </c>
    </row>
    <row r="949" spans="13:19" x14ac:dyDescent="0.3">
      <c r="M949" t="str">
        <f>Data_Cleaned!B949</f>
        <v>Yes</v>
      </c>
      <c r="N949">
        <f>Data_Cleaned!S949</f>
        <v>8446</v>
      </c>
      <c r="R949">
        <v>4</v>
      </c>
      <c r="S949">
        <v>2814</v>
      </c>
    </row>
    <row r="950" spans="13:19" x14ac:dyDescent="0.3">
      <c r="M950" t="str">
        <f>Data_Cleaned!B950</f>
        <v>No</v>
      </c>
      <c r="N950">
        <f>Data_Cleaned!S950</f>
        <v>11916</v>
      </c>
      <c r="R950">
        <v>30</v>
      </c>
      <c r="S950">
        <v>11245</v>
      </c>
    </row>
    <row r="951" spans="13:19" x14ac:dyDescent="0.3">
      <c r="M951" t="str">
        <f>Data_Cleaned!B951</f>
        <v>No</v>
      </c>
      <c r="N951">
        <f>Data_Cleaned!S951</f>
        <v>4534</v>
      </c>
      <c r="R951">
        <v>3</v>
      </c>
      <c r="S951">
        <v>3312</v>
      </c>
    </row>
    <row r="952" spans="13:19" x14ac:dyDescent="0.3">
      <c r="M952" t="str">
        <f>Data_Cleaned!B952</f>
        <v>No</v>
      </c>
      <c r="N952">
        <f>Data_Cleaned!S952</f>
        <v>9852</v>
      </c>
      <c r="R952">
        <v>22</v>
      </c>
      <c r="S952">
        <v>19049</v>
      </c>
    </row>
    <row r="953" spans="13:19" x14ac:dyDescent="0.3">
      <c r="M953" t="str">
        <f>Data_Cleaned!B953</f>
        <v>No</v>
      </c>
      <c r="N953">
        <f>Data_Cleaned!S953</f>
        <v>6151</v>
      </c>
      <c r="R953">
        <v>6</v>
      </c>
      <c r="S953">
        <v>2141</v>
      </c>
    </row>
    <row r="954" spans="13:19" x14ac:dyDescent="0.3">
      <c r="M954" t="str">
        <f>Data_Cleaned!B954</f>
        <v>Yes</v>
      </c>
      <c r="N954">
        <f>Data_Cleaned!S954</f>
        <v>2302</v>
      </c>
      <c r="R954">
        <v>10</v>
      </c>
      <c r="S954">
        <v>5769</v>
      </c>
    </row>
    <row r="955" spans="13:19" x14ac:dyDescent="0.3">
      <c r="M955" t="str">
        <f>Data_Cleaned!B955</f>
        <v>Yes</v>
      </c>
      <c r="N955">
        <f>Data_Cleaned!S955</f>
        <v>2362</v>
      </c>
      <c r="R955">
        <v>10</v>
      </c>
      <c r="S955">
        <v>4385</v>
      </c>
    </row>
    <row r="956" spans="13:19" x14ac:dyDescent="0.3">
      <c r="M956" t="str">
        <f>Data_Cleaned!B956</f>
        <v>No</v>
      </c>
      <c r="N956">
        <f>Data_Cleaned!S956</f>
        <v>17861</v>
      </c>
      <c r="R956">
        <v>5</v>
      </c>
      <c r="S956">
        <v>5332</v>
      </c>
    </row>
    <row r="957" spans="13:19" x14ac:dyDescent="0.3">
      <c r="M957" t="str">
        <f>Data_Cleaned!B957</f>
        <v>No</v>
      </c>
      <c r="N957">
        <f>Data_Cleaned!S957</f>
        <v>19187</v>
      </c>
      <c r="R957">
        <v>3</v>
      </c>
      <c r="S957">
        <v>4663</v>
      </c>
    </row>
    <row r="958" spans="13:19" x14ac:dyDescent="0.3">
      <c r="M958" t="str">
        <f>Data_Cleaned!B958</f>
        <v>No</v>
      </c>
      <c r="N958">
        <f>Data_Cleaned!S958</f>
        <v>19717</v>
      </c>
      <c r="R958">
        <v>9</v>
      </c>
      <c r="S958">
        <v>4724</v>
      </c>
    </row>
    <row r="959" spans="13:19" x14ac:dyDescent="0.3">
      <c r="M959" t="str">
        <f>Data_Cleaned!B959</f>
        <v>No</v>
      </c>
      <c r="N959">
        <f>Data_Cleaned!S959</f>
        <v>3544</v>
      </c>
      <c r="R959">
        <v>9</v>
      </c>
      <c r="S959">
        <v>3211</v>
      </c>
    </row>
    <row r="960" spans="13:19" x14ac:dyDescent="0.3">
      <c r="M960" t="str">
        <f>Data_Cleaned!B960</f>
        <v>No</v>
      </c>
      <c r="N960">
        <f>Data_Cleaned!S960</f>
        <v>8500</v>
      </c>
      <c r="R960">
        <v>7</v>
      </c>
      <c r="S960">
        <v>5377</v>
      </c>
    </row>
    <row r="961" spans="13:19" x14ac:dyDescent="0.3">
      <c r="M961" t="str">
        <f>Data_Cleaned!B961</f>
        <v>No</v>
      </c>
      <c r="N961">
        <f>Data_Cleaned!S961</f>
        <v>4661</v>
      </c>
      <c r="R961">
        <v>7</v>
      </c>
      <c r="S961">
        <v>4066</v>
      </c>
    </row>
    <row r="962" spans="13:19" x14ac:dyDescent="0.3">
      <c r="M962" t="str">
        <f>Data_Cleaned!B962</f>
        <v>No</v>
      </c>
      <c r="N962">
        <f>Data_Cleaned!S962</f>
        <v>4103</v>
      </c>
      <c r="R962">
        <v>16</v>
      </c>
      <c r="S962">
        <v>5208</v>
      </c>
    </row>
    <row r="963" spans="13:19" x14ac:dyDescent="0.3">
      <c r="M963" t="str">
        <f>Data_Cleaned!B963</f>
        <v>No</v>
      </c>
      <c r="N963">
        <f>Data_Cleaned!S963</f>
        <v>4249</v>
      </c>
      <c r="R963">
        <v>5</v>
      </c>
      <c r="S963">
        <v>4877</v>
      </c>
    </row>
    <row r="964" spans="13:19" x14ac:dyDescent="0.3">
      <c r="M964" t="str">
        <f>Data_Cleaned!B964</f>
        <v>No</v>
      </c>
      <c r="N964">
        <f>Data_Cleaned!S964</f>
        <v>14026</v>
      </c>
      <c r="R964">
        <v>2</v>
      </c>
      <c r="S964">
        <v>3117</v>
      </c>
    </row>
    <row r="965" spans="13:19" x14ac:dyDescent="0.3">
      <c r="M965" t="str">
        <f>Data_Cleaned!B965</f>
        <v>No</v>
      </c>
      <c r="N965">
        <f>Data_Cleaned!S965</f>
        <v>6893</v>
      </c>
      <c r="R965">
        <v>5</v>
      </c>
      <c r="S965">
        <v>19658</v>
      </c>
    </row>
    <row r="966" spans="13:19" x14ac:dyDescent="0.3">
      <c r="M966" t="str">
        <f>Data_Cleaned!B966</f>
        <v>No</v>
      </c>
      <c r="N966">
        <f>Data_Cleaned!S966</f>
        <v>6125</v>
      </c>
      <c r="R966">
        <v>10</v>
      </c>
      <c r="S966">
        <v>3069</v>
      </c>
    </row>
    <row r="967" spans="13:19" x14ac:dyDescent="0.3">
      <c r="M967" t="str">
        <f>Data_Cleaned!B967</f>
        <v>No</v>
      </c>
      <c r="N967">
        <f>Data_Cleaned!S967</f>
        <v>3669</v>
      </c>
      <c r="R967">
        <v>18</v>
      </c>
      <c r="S967">
        <v>10435</v>
      </c>
    </row>
    <row r="968" spans="13:19" x14ac:dyDescent="0.3">
      <c r="M968" t="str">
        <f>Data_Cleaned!B968</f>
        <v>Yes</v>
      </c>
      <c r="N968">
        <f>Data_Cleaned!S968</f>
        <v>10008</v>
      </c>
      <c r="R968">
        <v>14</v>
      </c>
      <c r="S968">
        <v>4148</v>
      </c>
    </row>
    <row r="969" spans="13:19" x14ac:dyDescent="0.3">
      <c r="M969" t="str">
        <f>Data_Cleaned!B969</f>
        <v>No</v>
      </c>
      <c r="N969">
        <f>Data_Cleaned!S969</f>
        <v>2387</v>
      </c>
      <c r="R969">
        <v>4</v>
      </c>
      <c r="S969">
        <v>5768</v>
      </c>
    </row>
    <row r="970" spans="13:19" x14ac:dyDescent="0.3">
      <c r="M970" t="str">
        <f>Data_Cleaned!B970</f>
        <v>No</v>
      </c>
      <c r="N970">
        <f>Data_Cleaned!S970</f>
        <v>4639</v>
      </c>
      <c r="R970">
        <v>9</v>
      </c>
      <c r="S970">
        <v>5042</v>
      </c>
    </row>
    <row r="971" spans="13:19" x14ac:dyDescent="0.3">
      <c r="M971" t="str">
        <f>Data_Cleaned!B971</f>
        <v>No</v>
      </c>
      <c r="N971">
        <f>Data_Cleaned!S971</f>
        <v>7898</v>
      </c>
      <c r="R971">
        <v>10</v>
      </c>
      <c r="S971">
        <v>5770</v>
      </c>
    </row>
    <row r="972" spans="13:19" x14ac:dyDescent="0.3">
      <c r="M972" t="str">
        <f>Data_Cleaned!B972</f>
        <v>No</v>
      </c>
      <c r="N972">
        <f>Data_Cleaned!S972</f>
        <v>2534</v>
      </c>
      <c r="R972">
        <v>5</v>
      </c>
      <c r="S972">
        <v>7756</v>
      </c>
    </row>
    <row r="973" spans="13:19" x14ac:dyDescent="0.3">
      <c r="M973" t="str">
        <f>Data_Cleaned!B973</f>
        <v>No</v>
      </c>
      <c r="N973">
        <f>Data_Cleaned!S973</f>
        <v>13142</v>
      </c>
      <c r="R973">
        <v>8</v>
      </c>
      <c r="S973">
        <v>3936</v>
      </c>
    </row>
    <row r="974" spans="13:19" x14ac:dyDescent="0.3">
      <c r="M974" t="str">
        <f>Data_Cleaned!B974</f>
        <v>No</v>
      </c>
      <c r="N974">
        <f>Data_Cleaned!S974</f>
        <v>1611</v>
      </c>
      <c r="R974">
        <v>4</v>
      </c>
      <c r="S974">
        <v>7945</v>
      </c>
    </row>
    <row r="975" spans="13:19" x14ac:dyDescent="0.3">
      <c r="M975" t="str">
        <f>Data_Cleaned!B975</f>
        <v>No</v>
      </c>
      <c r="N975">
        <f>Data_Cleaned!S975</f>
        <v>5363</v>
      </c>
      <c r="R975">
        <v>10</v>
      </c>
      <c r="S975">
        <v>5743</v>
      </c>
    </row>
    <row r="976" spans="13:19" x14ac:dyDescent="0.3">
      <c r="M976" t="str">
        <f>Data_Cleaned!B976</f>
        <v>No</v>
      </c>
      <c r="N976">
        <f>Data_Cleaned!S976</f>
        <v>5071</v>
      </c>
      <c r="R976">
        <v>2</v>
      </c>
      <c r="S976">
        <v>15202</v>
      </c>
    </row>
    <row r="977" spans="13:19" x14ac:dyDescent="0.3">
      <c r="M977" t="str">
        <f>Data_Cleaned!B977</f>
        <v>Yes</v>
      </c>
      <c r="N977">
        <f>Data_Cleaned!S977</f>
        <v>13695</v>
      </c>
      <c r="R977">
        <v>6</v>
      </c>
      <c r="S977">
        <v>3760</v>
      </c>
    </row>
    <row r="978" spans="13:19" x14ac:dyDescent="0.3">
      <c r="M978" t="str">
        <f>Data_Cleaned!B978</f>
        <v>No</v>
      </c>
      <c r="N978">
        <f>Data_Cleaned!S978</f>
        <v>13402</v>
      </c>
      <c r="R978">
        <v>3</v>
      </c>
      <c r="S978">
        <v>3517</v>
      </c>
    </row>
    <row r="979" spans="13:19" x14ac:dyDescent="0.3">
      <c r="M979" t="str">
        <f>Data_Cleaned!B979</f>
        <v>No</v>
      </c>
      <c r="N979">
        <f>Data_Cleaned!S979</f>
        <v>2029</v>
      </c>
      <c r="R979">
        <v>4</v>
      </c>
      <c r="S979">
        <v>2580</v>
      </c>
    </row>
    <row r="980" spans="13:19" x14ac:dyDescent="0.3">
      <c r="M980" t="str">
        <f>Data_Cleaned!B980</f>
        <v>No</v>
      </c>
      <c r="N980">
        <f>Data_Cleaned!S980</f>
        <v>6377</v>
      </c>
      <c r="R980">
        <v>5</v>
      </c>
      <c r="S980">
        <v>5869</v>
      </c>
    </row>
    <row r="981" spans="13:19" x14ac:dyDescent="0.3">
      <c r="M981" t="str">
        <f>Data_Cleaned!B981</f>
        <v>No</v>
      </c>
      <c r="N981">
        <f>Data_Cleaned!S981</f>
        <v>5429</v>
      </c>
      <c r="R981">
        <v>3</v>
      </c>
      <c r="S981">
        <v>8008</v>
      </c>
    </row>
    <row r="982" spans="13:19" x14ac:dyDescent="0.3">
      <c r="M982" t="str">
        <f>Data_Cleaned!B982</f>
        <v>Yes</v>
      </c>
      <c r="N982">
        <f>Data_Cleaned!S982</f>
        <v>2785</v>
      </c>
      <c r="R982">
        <v>7</v>
      </c>
      <c r="S982">
        <v>5206</v>
      </c>
    </row>
    <row r="983" spans="13:19" x14ac:dyDescent="0.3">
      <c r="M983" t="str">
        <f>Data_Cleaned!B983</f>
        <v>Yes</v>
      </c>
      <c r="N983">
        <f>Data_Cleaned!S983</f>
        <v>4614</v>
      </c>
      <c r="R983">
        <v>5</v>
      </c>
      <c r="S983">
        <v>5295</v>
      </c>
    </row>
    <row r="984" spans="13:19" x14ac:dyDescent="0.3">
      <c r="M984" t="str">
        <f>Data_Cleaned!B984</f>
        <v>No</v>
      </c>
      <c r="N984">
        <f>Data_Cleaned!S984</f>
        <v>2610</v>
      </c>
      <c r="R984">
        <v>4</v>
      </c>
      <c r="S984">
        <v>16413</v>
      </c>
    </row>
    <row r="985" spans="13:19" x14ac:dyDescent="0.3">
      <c r="M985" t="str">
        <f>Data_Cleaned!B985</f>
        <v>No</v>
      </c>
      <c r="N985">
        <f>Data_Cleaned!S985</f>
        <v>6687</v>
      </c>
      <c r="R985">
        <v>14</v>
      </c>
      <c r="S985">
        <v>13269</v>
      </c>
    </row>
    <row r="986" spans="13:19" x14ac:dyDescent="0.3">
      <c r="M986" t="str">
        <f>Data_Cleaned!B986</f>
        <v>No</v>
      </c>
      <c r="N986">
        <f>Data_Cleaned!S986</f>
        <v>4724</v>
      </c>
      <c r="R986">
        <v>2</v>
      </c>
      <c r="S986">
        <v>2783</v>
      </c>
    </row>
    <row r="987" spans="13:19" x14ac:dyDescent="0.3">
      <c r="M987" t="str">
        <f>Data_Cleaned!B987</f>
        <v>Yes</v>
      </c>
      <c r="N987">
        <f>Data_Cleaned!S987</f>
        <v>6179</v>
      </c>
      <c r="R987">
        <v>11</v>
      </c>
      <c r="S987">
        <v>5433</v>
      </c>
    </row>
    <row r="988" spans="13:19" x14ac:dyDescent="0.3">
      <c r="M988" t="str">
        <f>Data_Cleaned!B988</f>
        <v>No</v>
      </c>
      <c r="N988">
        <f>Data_Cleaned!S988</f>
        <v>6120</v>
      </c>
      <c r="R988">
        <v>4</v>
      </c>
      <c r="S988">
        <v>2013</v>
      </c>
    </row>
    <row r="989" spans="13:19" x14ac:dyDescent="0.3">
      <c r="M989" t="str">
        <f>Data_Cleaned!B989</f>
        <v>No</v>
      </c>
      <c r="N989">
        <f>Data_Cleaned!S989</f>
        <v>10596</v>
      </c>
      <c r="R989">
        <v>15</v>
      </c>
      <c r="S989">
        <v>13966</v>
      </c>
    </row>
    <row r="990" spans="13:19" x14ac:dyDescent="0.3">
      <c r="M990" t="str">
        <f>Data_Cleaned!B990</f>
        <v>No</v>
      </c>
      <c r="N990">
        <f>Data_Cleaned!S990</f>
        <v>5467</v>
      </c>
      <c r="R990">
        <v>3</v>
      </c>
      <c r="S990">
        <v>4374</v>
      </c>
    </row>
    <row r="991" spans="13:19" x14ac:dyDescent="0.3">
      <c r="M991" t="str">
        <f>Data_Cleaned!B991</f>
        <v>No</v>
      </c>
      <c r="N991">
        <f>Data_Cleaned!S991</f>
        <v>2996</v>
      </c>
      <c r="R991">
        <v>5</v>
      </c>
      <c r="S991">
        <v>6842</v>
      </c>
    </row>
    <row r="992" spans="13:19" x14ac:dyDescent="0.3">
      <c r="M992" t="str">
        <f>Data_Cleaned!B992</f>
        <v>No</v>
      </c>
      <c r="N992">
        <f>Data_Cleaned!S992</f>
        <v>9998</v>
      </c>
      <c r="R992">
        <v>10</v>
      </c>
      <c r="S992">
        <v>17426</v>
      </c>
    </row>
    <row r="993" spans="13:19" x14ac:dyDescent="0.3">
      <c r="M993" t="str">
        <f>Data_Cleaned!B993</f>
        <v>No</v>
      </c>
      <c r="N993">
        <f>Data_Cleaned!S993</f>
        <v>4078</v>
      </c>
      <c r="R993">
        <v>14</v>
      </c>
      <c r="S993">
        <v>17603</v>
      </c>
    </row>
    <row r="994" spans="13:19" x14ac:dyDescent="0.3">
      <c r="M994" t="str">
        <f>Data_Cleaned!B994</f>
        <v>No</v>
      </c>
      <c r="N994">
        <f>Data_Cleaned!S994</f>
        <v>10920</v>
      </c>
      <c r="R994">
        <v>13</v>
      </c>
      <c r="S994">
        <v>4735</v>
      </c>
    </row>
    <row r="995" spans="13:19" x14ac:dyDescent="0.3">
      <c r="M995" t="str">
        <f>Data_Cleaned!B995</f>
        <v>No</v>
      </c>
      <c r="N995">
        <f>Data_Cleaned!S995</f>
        <v>6232</v>
      </c>
      <c r="R995">
        <v>10</v>
      </c>
      <c r="S995">
        <v>4187</v>
      </c>
    </row>
    <row r="996" spans="13:19" x14ac:dyDescent="0.3">
      <c r="M996" t="str">
        <f>Data_Cleaned!B996</f>
        <v>No</v>
      </c>
      <c r="N996">
        <f>Data_Cleaned!S996</f>
        <v>13247</v>
      </c>
      <c r="R996">
        <v>6</v>
      </c>
      <c r="S996">
        <v>5505</v>
      </c>
    </row>
    <row r="997" spans="13:19" x14ac:dyDescent="0.3">
      <c r="M997" t="str">
        <f>Data_Cleaned!B997</f>
        <v>No</v>
      </c>
      <c r="N997">
        <f>Data_Cleaned!S997</f>
        <v>4081</v>
      </c>
      <c r="R997">
        <v>9</v>
      </c>
      <c r="S997">
        <v>5470</v>
      </c>
    </row>
    <row r="998" spans="13:19" x14ac:dyDescent="0.3">
      <c r="M998" t="str">
        <f>Data_Cleaned!B998</f>
        <v>No</v>
      </c>
      <c r="N998">
        <f>Data_Cleaned!S998</f>
        <v>5769</v>
      </c>
      <c r="R998">
        <v>10</v>
      </c>
      <c r="S998">
        <v>5476</v>
      </c>
    </row>
    <row r="999" spans="13:19" x14ac:dyDescent="0.3">
      <c r="M999" t="str">
        <f>Data_Cleaned!B999</f>
        <v>Yes</v>
      </c>
      <c r="N999">
        <f>Data_Cleaned!S999</f>
        <v>2394</v>
      </c>
      <c r="R999">
        <v>2</v>
      </c>
      <c r="S999">
        <v>2587</v>
      </c>
    </row>
    <row r="1000" spans="13:19" x14ac:dyDescent="0.3">
      <c r="M1000" t="str">
        <f>Data_Cleaned!B1000</f>
        <v>No</v>
      </c>
      <c r="N1000">
        <f>Data_Cleaned!S1000</f>
        <v>3904</v>
      </c>
      <c r="R1000">
        <v>4</v>
      </c>
      <c r="S1000">
        <v>2440</v>
      </c>
    </row>
    <row r="1001" spans="13:19" x14ac:dyDescent="0.3">
      <c r="M1001" t="str">
        <f>Data_Cleaned!B1001</f>
        <v>No</v>
      </c>
      <c r="N1001">
        <f>Data_Cleaned!S1001</f>
        <v>16799</v>
      </c>
      <c r="R1001">
        <v>3</v>
      </c>
      <c r="S1001">
        <v>15972</v>
      </c>
    </row>
    <row r="1002" spans="13:19" x14ac:dyDescent="0.3">
      <c r="M1002" t="str">
        <f>Data_Cleaned!B1002</f>
        <v>No</v>
      </c>
      <c r="N1002">
        <f>Data_Cleaned!S1002</f>
        <v>2674</v>
      </c>
      <c r="R1002">
        <v>8</v>
      </c>
      <c r="S1002">
        <v>15379</v>
      </c>
    </row>
    <row r="1003" spans="13:19" x14ac:dyDescent="0.3">
      <c r="M1003" t="str">
        <f>Data_Cleaned!B1003</f>
        <v>No</v>
      </c>
      <c r="N1003">
        <f>Data_Cleaned!S1003</f>
        <v>3629</v>
      </c>
      <c r="R1003">
        <v>2</v>
      </c>
      <c r="S1003">
        <v>7082</v>
      </c>
    </row>
    <row r="1004" spans="13:19" x14ac:dyDescent="0.3">
      <c r="M1004" t="str">
        <f>Data_Cleaned!B1004</f>
        <v>No</v>
      </c>
      <c r="N1004">
        <f>Data_Cleaned!S1004</f>
        <v>9362</v>
      </c>
      <c r="R1004">
        <v>2</v>
      </c>
      <c r="S1004">
        <v>2728</v>
      </c>
    </row>
    <row r="1005" spans="13:19" x14ac:dyDescent="0.3">
      <c r="M1005" t="str">
        <f>Data_Cleaned!B1005</f>
        <v>No</v>
      </c>
      <c r="N1005">
        <f>Data_Cleaned!S1005</f>
        <v>3229</v>
      </c>
      <c r="R1005">
        <v>6</v>
      </c>
      <c r="S1005">
        <v>5368</v>
      </c>
    </row>
    <row r="1006" spans="13:19" x14ac:dyDescent="0.3">
      <c r="M1006" t="str">
        <f>Data_Cleaned!B1006</f>
        <v>No</v>
      </c>
      <c r="N1006">
        <f>Data_Cleaned!S1006</f>
        <v>3578</v>
      </c>
      <c r="R1006">
        <v>3</v>
      </c>
      <c r="S1006">
        <v>5347</v>
      </c>
    </row>
    <row r="1007" spans="13:19" x14ac:dyDescent="0.3">
      <c r="M1007" t="str">
        <f>Data_Cleaned!B1007</f>
        <v>No</v>
      </c>
      <c r="N1007">
        <f>Data_Cleaned!S1007</f>
        <v>7988</v>
      </c>
      <c r="R1007">
        <v>2</v>
      </c>
      <c r="S1007">
        <v>3195</v>
      </c>
    </row>
    <row r="1008" spans="13:19" x14ac:dyDescent="0.3">
      <c r="M1008" t="str">
        <f>Data_Cleaned!B1008</f>
        <v>Yes</v>
      </c>
      <c r="N1008">
        <f>Data_Cleaned!S1008</f>
        <v>4284</v>
      </c>
      <c r="R1008">
        <v>0</v>
      </c>
      <c r="S1008">
        <v>3306</v>
      </c>
    </row>
    <row r="1009" spans="13:19" x14ac:dyDescent="0.3">
      <c r="M1009" t="str">
        <f>Data_Cleaned!B1009</f>
        <v>Yes</v>
      </c>
      <c r="N1009">
        <f>Data_Cleaned!S1009</f>
        <v>7553</v>
      </c>
      <c r="R1009">
        <v>4</v>
      </c>
      <c r="S1009">
        <v>7005</v>
      </c>
    </row>
    <row r="1010" spans="13:19" x14ac:dyDescent="0.3">
      <c r="M1010" t="str">
        <f>Data_Cleaned!B1010</f>
        <v>No</v>
      </c>
      <c r="N1010">
        <f>Data_Cleaned!S1010</f>
        <v>17328</v>
      </c>
      <c r="R1010">
        <v>7</v>
      </c>
      <c r="S1010">
        <v>2570</v>
      </c>
    </row>
    <row r="1011" spans="13:19" x14ac:dyDescent="0.3">
      <c r="M1011" t="str">
        <f>Data_Cleaned!B1011</f>
        <v>No</v>
      </c>
      <c r="N1011">
        <f>Data_Cleaned!S1011</f>
        <v>19701</v>
      </c>
      <c r="R1011">
        <v>4</v>
      </c>
      <c r="S1011">
        <v>3537</v>
      </c>
    </row>
    <row r="1012" spans="13:19" x14ac:dyDescent="0.3">
      <c r="M1012" t="str">
        <f>Data_Cleaned!B1012</f>
        <v>No</v>
      </c>
      <c r="N1012">
        <f>Data_Cleaned!S1012</f>
        <v>14732</v>
      </c>
      <c r="R1012">
        <v>15</v>
      </c>
      <c r="S1012">
        <v>3986</v>
      </c>
    </row>
    <row r="1013" spans="13:19" x14ac:dyDescent="0.3">
      <c r="M1013" t="str">
        <f>Data_Cleaned!B1013</f>
        <v>No</v>
      </c>
      <c r="N1013">
        <f>Data_Cleaned!S1013</f>
        <v>9278</v>
      </c>
      <c r="R1013">
        <v>1</v>
      </c>
      <c r="S1013">
        <v>10883</v>
      </c>
    </row>
    <row r="1014" spans="13:19" x14ac:dyDescent="0.3">
      <c r="M1014" t="str">
        <f>Data_Cleaned!B1014</f>
        <v>Yes</v>
      </c>
      <c r="N1014">
        <f>Data_Cleaned!S1014</f>
        <v>1359</v>
      </c>
      <c r="R1014">
        <v>14</v>
      </c>
      <c r="S1014">
        <v>2028</v>
      </c>
    </row>
    <row r="1015" spans="13:19" x14ac:dyDescent="0.3">
      <c r="M1015" t="str">
        <f>Data_Cleaned!B1015</f>
        <v>No</v>
      </c>
      <c r="N1015">
        <f>Data_Cleaned!S1015</f>
        <v>4779</v>
      </c>
      <c r="R1015">
        <v>6</v>
      </c>
      <c r="S1015">
        <v>9525</v>
      </c>
    </row>
    <row r="1016" spans="13:19" x14ac:dyDescent="0.3">
      <c r="M1016" t="str">
        <f>Data_Cleaned!B1016</f>
        <v>No</v>
      </c>
      <c r="N1016">
        <f>Data_Cleaned!S1016</f>
        <v>16422</v>
      </c>
      <c r="R1016">
        <v>10</v>
      </c>
      <c r="S1016">
        <v>2929</v>
      </c>
    </row>
    <row r="1017" spans="13:19" x14ac:dyDescent="0.3">
      <c r="M1017" t="str">
        <f>Data_Cleaned!B1017</f>
        <v>No</v>
      </c>
      <c r="N1017">
        <f>Data_Cleaned!S1017</f>
        <v>2996</v>
      </c>
      <c r="R1017">
        <v>8</v>
      </c>
      <c r="S1017">
        <v>7879</v>
      </c>
    </row>
    <row r="1018" spans="13:19" x14ac:dyDescent="0.3">
      <c r="M1018" t="str">
        <f>Data_Cleaned!B1018</f>
        <v>Yes</v>
      </c>
      <c r="N1018">
        <f>Data_Cleaned!S1018</f>
        <v>1261</v>
      </c>
      <c r="R1018">
        <v>5</v>
      </c>
      <c r="S1018">
        <v>4930</v>
      </c>
    </row>
    <row r="1019" spans="13:19" x14ac:dyDescent="0.3">
      <c r="M1019" t="str">
        <f>Data_Cleaned!B1019</f>
        <v>No</v>
      </c>
      <c r="N1019">
        <f>Data_Cleaned!S1019</f>
        <v>2099</v>
      </c>
      <c r="R1019">
        <v>10</v>
      </c>
      <c r="S1019">
        <v>7847</v>
      </c>
    </row>
    <row r="1020" spans="13:19" x14ac:dyDescent="0.3">
      <c r="M1020" t="str">
        <f>Data_Cleaned!B1020</f>
        <v>No</v>
      </c>
      <c r="N1020">
        <f>Data_Cleaned!S1020</f>
        <v>5810</v>
      </c>
      <c r="R1020">
        <v>5</v>
      </c>
      <c r="S1020">
        <v>4401</v>
      </c>
    </row>
    <row r="1021" spans="13:19" x14ac:dyDescent="0.3">
      <c r="M1021" t="str">
        <f>Data_Cleaned!B1021</f>
        <v>No</v>
      </c>
      <c r="N1021">
        <f>Data_Cleaned!S1021</f>
        <v>5647</v>
      </c>
      <c r="R1021">
        <v>10</v>
      </c>
      <c r="S1021">
        <v>9241</v>
      </c>
    </row>
    <row r="1022" spans="13:19" x14ac:dyDescent="0.3">
      <c r="M1022" t="str">
        <f>Data_Cleaned!B1022</f>
        <v>No</v>
      </c>
      <c r="N1022">
        <f>Data_Cleaned!S1022</f>
        <v>3420</v>
      </c>
      <c r="R1022">
        <v>5</v>
      </c>
      <c r="S1022">
        <v>2974</v>
      </c>
    </row>
    <row r="1023" spans="13:19" x14ac:dyDescent="0.3">
      <c r="M1023" t="str">
        <f>Data_Cleaned!B1023</f>
        <v>Yes</v>
      </c>
      <c r="N1023">
        <f>Data_Cleaned!S1023</f>
        <v>4400</v>
      </c>
      <c r="R1023">
        <v>13</v>
      </c>
      <c r="S1023">
        <v>4502</v>
      </c>
    </row>
    <row r="1024" spans="13:19" x14ac:dyDescent="0.3">
      <c r="M1024" t="str">
        <f>Data_Cleaned!B1024</f>
        <v>No</v>
      </c>
      <c r="N1024">
        <f>Data_Cleaned!S1024</f>
        <v>3500</v>
      </c>
      <c r="R1024">
        <v>23</v>
      </c>
      <c r="S1024">
        <v>10748</v>
      </c>
    </row>
    <row r="1025" spans="13:19" x14ac:dyDescent="0.3">
      <c r="M1025" t="str">
        <f>Data_Cleaned!B1025</f>
        <v>No</v>
      </c>
      <c r="N1025">
        <f>Data_Cleaned!S1025</f>
        <v>2066</v>
      </c>
      <c r="R1025">
        <v>3</v>
      </c>
      <c r="S1025">
        <v>2305</v>
      </c>
    </row>
    <row r="1026" spans="13:19" x14ac:dyDescent="0.3">
      <c r="M1026" t="str">
        <f>Data_Cleaned!B1026</f>
        <v>No</v>
      </c>
      <c r="N1026">
        <f>Data_Cleaned!S1026</f>
        <v>17169</v>
      </c>
      <c r="R1026">
        <v>21</v>
      </c>
      <c r="S1026">
        <v>16704</v>
      </c>
    </row>
    <row r="1027" spans="13:19" x14ac:dyDescent="0.3">
      <c r="M1027" t="str">
        <f>Data_Cleaned!B1027</f>
        <v>No</v>
      </c>
      <c r="N1027">
        <f>Data_Cleaned!S1027</f>
        <v>4162</v>
      </c>
      <c r="R1027">
        <v>5</v>
      </c>
      <c r="S1027">
        <v>3433</v>
      </c>
    </row>
    <row r="1028" spans="13:19" x14ac:dyDescent="0.3">
      <c r="M1028" t="str">
        <f>Data_Cleaned!B1028</f>
        <v>No</v>
      </c>
      <c r="N1028">
        <f>Data_Cleaned!S1028</f>
        <v>9204</v>
      </c>
      <c r="R1028">
        <v>5</v>
      </c>
      <c r="S1028">
        <v>3477</v>
      </c>
    </row>
    <row r="1029" spans="13:19" x14ac:dyDescent="0.3">
      <c r="M1029" t="str">
        <f>Data_Cleaned!B1029</f>
        <v>No</v>
      </c>
      <c r="N1029">
        <f>Data_Cleaned!S1029</f>
        <v>3294</v>
      </c>
      <c r="R1029">
        <v>3</v>
      </c>
      <c r="S1029">
        <v>6430</v>
      </c>
    </row>
    <row r="1030" spans="13:19" x14ac:dyDescent="0.3">
      <c r="M1030" t="str">
        <f>Data_Cleaned!B1030</f>
        <v>No</v>
      </c>
      <c r="N1030">
        <f>Data_Cleaned!S1030</f>
        <v>2127</v>
      </c>
      <c r="R1030">
        <v>1</v>
      </c>
      <c r="S1030">
        <v>6516</v>
      </c>
    </row>
    <row r="1031" spans="13:19" x14ac:dyDescent="0.3">
      <c r="M1031" t="str">
        <f>Data_Cleaned!B1031</f>
        <v>No</v>
      </c>
      <c r="N1031">
        <f>Data_Cleaned!S1031</f>
        <v>3975</v>
      </c>
      <c r="R1031">
        <v>6</v>
      </c>
      <c r="S1031">
        <v>3907</v>
      </c>
    </row>
    <row r="1032" spans="13:19" x14ac:dyDescent="0.3">
      <c r="M1032" t="str">
        <f>Data_Cleaned!B1032</f>
        <v>No</v>
      </c>
      <c r="N1032">
        <f>Data_Cleaned!S1032</f>
        <v>10793</v>
      </c>
      <c r="R1032">
        <v>10</v>
      </c>
      <c r="S1032">
        <v>5562</v>
      </c>
    </row>
    <row r="1033" spans="13:19" x14ac:dyDescent="0.3">
      <c r="M1033" t="str">
        <f>Data_Cleaned!B1033</f>
        <v>Yes</v>
      </c>
      <c r="N1033">
        <f>Data_Cleaned!S1033</f>
        <v>10096</v>
      </c>
      <c r="R1033">
        <v>7</v>
      </c>
      <c r="S1033">
        <v>6883</v>
      </c>
    </row>
    <row r="1034" spans="13:19" x14ac:dyDescent="0.3">
      <c r="M1034" t="str">
        <f>Data_Cleaned!B1034</f>
        <v>Yes</v>
      </c>
      <c r="N1034">
        <f>Data_Cleaned!S1034</f>
        <v>3646</v>
      </c>
      <c r="R1034">
        <v>10</v>
      </c>
      <c r="S1034">
        <v>2862</v>
      </c>
    </row>
    <row r="1035" spans="13:19" x14ac:dyDescent="0.3">
      <c r="M1035" t="str">
        <f>Data_Cleaned!B1035</f>
        <v>Yes</v>
      </c>
      <c r="N1035">
        <f>Data_Cleaned!S1035</f>
        <v>7446</v>
      </c>
      <c r="R1035">
        <v>1</v>
      </c>
      <c r="S1035">
        <v>4978</v>
      </c>
    </row>
    <row r="1036" spans="13:19" x14ac:dyDescent="0.3">
      <c r="M1036" t="str">
        <f>Data_Cleaned!B1036</f>
        <v>No</v>
      </c>
      <c r="N1036">
        <f>Data_Cleaned!S1036</f>
        <v>10851</v>
      </c>
      <c r="R1036">
        <v>10</v>
      </c>
      <c r="S1036">
        <v>10368</v>
      </c>
    </row>
    <row r="1037" spans="13:19" x14ac:dyDescent="0.3">
      <c r="M1037" t="str">
        <f>Data_Cleaned!B1037</f>
        <v>No</v>
      </c>
      <c r="N1037">
        <f>Data_Cleaned!S1037</f>
        <v>2109</v>
      </c>
      <c r="R1037">
        <v>3</v>
      </c>
      <c r="S1037">
        <v>3295</v>
      </c>
    </row>
    <row r="1038" spans="13:19" x14ac:dyDescent="0.3">
      <c r="M1038" t="str">
        <f>Data_Cleaned!B1038</f>
        <v>Yes</v>
      </c>
      <c r="N1038">
        <f>Data_Cleaned!S1038</f>
        <v>3722</v>
      </c>
      <c r="R1038">
        <v>5</v>
      </c>
      <c r="S1038">
        <v>5238</v>
      </c>
    </row>
    <row r="1039" spans="13:19" x14ac:dyDescent="0.3">
      <c r="M1039" t="str">
        <f>Data_Cleaned!B1039</f>
        <v>No</v>
      </c>
      <c r="N1039">
        <f>Data_Cleaned!S1039</f>
        <v>9380</v>
      </c>
      <c r="R1039">
        <v>9</v>
      </c>
      <c r="S1039">
        <v>6472</v>
      </c>
    </row>
    <row r="1040" spans="13:19" x14ac:dyDescent="0.3">
      <c r="M1040" t="str">
        <f>Data_Cleaned!B1040</f>
        <v>No</v>
      </c>
      <c r="N1040">
        <f>Data_Cleaned!S1040</f>
        <v>5486</v>
      </c>
      <c r="R1040">
        <v>4</v>
      </c>
      <c r="S1040">
        <v>9610</v>
      </c>
    </row>
    <row r="1041" spans="13:19" x14ac:dyDescent="0.3">
      <c r="M1041" t="str">
        <f>Data_Cleaned!B1041</f>
        <v>Yes</v>
      </c>
      <c r="N1041">
        <f>Data_Cleaned!S1041</f>
        <v>2742</v>
      </c>
      <c r="R1041">
        <v>21</v>
      </c>
      <c r="S1041">
        <v>19833</v>
      </c>
    </row>
    <row r="1042" spans="13:19" x14ac:dyDescent="0.3">
      <c r="M1042" t="str">
        <f>Data_Cleaned!B1042</f>
        <v>No</v>
      </c>
      <c r="N1042">
        <f>Data_Cleaned!S1042</f>
        <v>13757</v>
      </c>
      <c r="R1042">
        <v>5</v>
      </c>
      <c r="S1042">
        <v>9756</v>
      </c>
    </row>
    <row r="1043" spans="13:19" x14ac:dyDescent="0.3">
      <c r="M1043" t="str">
        <f>Data_Cleaned!B1043</f>
        <v>No</v>
      </c>
      <c r="N1043">
        <f>Data_Cleaned!S1043</f>
        <v>8463</v>
      </c>
      <c r="R1043">
        <v>9</v>
      </c>
      <c r="S1043">
        <v>4968</v>
      </c>
    </row>
    <row r="1044" spans="13:19" x14ac:dyDescent="0.3">
      <c r="M1044" t="str">
        <f>Data_Cleaned!B1044</f>
        <v>No</v>
      </c>
      <c r="N1044">
        <f>Data_Cleaned!S1044</f>
        <v>3162</v>
      </c>
      <c r="R1044">
        <v>2</v>
      </c>
      <c r="S1044">
        <v>2145</v>
      </c>
    </row>
    <row r="1045" spans="13:19" x14ac:dyDescent="0.3">
      <c r="M1045" t="str">
        <f>Data_Cleaned!B1045</f>
        <v>No</v>
      </c>
      <c r="N1045">
        <f>Data_Cleaned!S1045</f>
        <v>16598</v>
      </c>
      <c r="R1045">
        <v>5</v>
      </c>
      <c r="S1045">
        <v>8346</v>
      </c>
    </row>
    <row r="1046" spans="13:19" x14ac:dyDescent="0.3">
      <c r="M1046" t="str">
        <f>Data_Cleaned!B1046</f>
        <v>No</v>
      </c>
      <c r="N1046">
        <f>Data_Cleaned!S1046</f>
        <v>6651</v>
      </c>
      <c r="R1046">
        <v>6</v>
      </c>
      <c r="S1046">
        <v>3445</v>
      </c>
    </row>
    <row r="1047" spans="13:19" x14ac:dyDescent="0.3">
      <c r="M1047" t="str">
        <f>Data_Cleaned!B1047</f>
        <v>No</v>
      </c>
      <c r="N1047">
        <f>Data_Cleaned!S1047</f>
        <v>2345</v>
      </c>
      <c r="R1047">
        <v>3</v>
      </c>
      <c r="S1047">
        <v>6294</v>
      </c>
    </row>
    <row r="1048" spans="13:19" x14ac:dyDescent="0.3">
      <c r="M1048" t="str">
        <f>Data_Cleaned!B1048</f>
        <v>No</v>
      </c>
      <c r="N1048">
        <f>Data_Cleaned!S1048</f>
        <v>3420</v>
      </c>
      <c r="R1048">
        <v>7</v>
      </c>
      <c r="S1048">
        <v>7140</v>
      </c>
    </row>
    <row r="1049" spans="13:19" x14ac:dyDescent="0.3">
      <c r="M1049" t="str">
        <f>Data_Cleaned!B1049</f>
        <v>No</v>
      </c>
      <c r="N1049">
        <f>Data_Cleaned!S1049</f>
        <v>4373</v>
      </c>
      <c r="R1049">
        <v>5</v>
      </c>
      <c r="S1049">
        <v>2932</v>
      </c>
    </row>
    <row r="1050" spans="13:19" x14ac:dyDescent="0.3">
      <c r="M1050" t="str">
        <f>Data_Cleaned!B1050</f>
        <v>No</v>
      </c>
      <c r="N1050">
        <f>Data_Cleaned!S1050</f>
        <v>4759</v>
      </c>
      <c r="R1050">
        <v>11</v>
      </c>
      <c r="S1050">
        <v>5147</v>
      </c>
    </row>
    <row r="1051" spans="13:19" x14ac:dyDescent="0.3">
      <c r="M1051" t="str">
        <f>Data_Cleaned!B1051</f>
        <v>No</v>
      </c>
      <c r="N1051">
        <f>Data_Cleaned!S1051</f>
        <v>5301</v>
      </c>
      <c r="R1051">
        <v>5</v>
      </c>
      <c r="S1051">
        <v>4507</v>
      </c>
    </row>
    <row r="1052" spans="13:19" x14ac:dyDescent="0.3">
      <c r="M1052" t="str">
        <f>Data_Cleaned!B1052</f>
        <v>No</v>
      </c>
      <c r="N1052">
        <f>Data_Cleaned!S1052</f>
        <v>3673</v>
      </c>
      <c r="R1052">
        <v>6</v>
      </c>
      <c r="S1052">
        <v>2468</v>
      </c>
    </row>
    <row r="1053" spans="13:19" x14ac:dyDescent="0.3">
      <c r="M1053" t="str">
        <f>Data_Cleaned!B1053</f>
        <v>No</v>
      </c>
      <c r="N1053">
        <f>Data_Cleaned!S1053</f>
        <v>4768</v>
      </c>
      <c r="R1053">
        <v>1</v>
      </c>
      <c r="S1053">
        <v>2109</v>
      </c>
    </row>
    <row r="1054" spans="13:19" x14ac:dyDescent="0.3">
      <c r="M1054" t="str">
        <f>Data_Cleaned!B1054</f>
        <v>No</v>
      </c>
      <c r="N1054">
        <f>Data_Cleaned!S1054</f>
        <v>1274</v>
      </c>
      <c r="R1054">
        <v>7</v>
      </c>
      <c r="S1054">
        <v>5294</v>
      </c>
    </row>
    <row r="1055" spans="13:19" x14ac:dyDescent="0.3">
      <c r="M1055" t="str">
        <f>Data_Cleaned!B1055</f>
        <v>No</v>
      </c>
      <c r="N1055">
        <f>Data_Cleaned!S1055</f>
        <v>4900</v>
      </c>
      <c r="R1055">
        <v>7</v>
      </c>
      <c r="S1055">
        <v>2718</v>
      </c>
    </row>
    <row r="1056" spans="13:19" x14ac:dyDescent="0.3">
      <c r="M1056" t="str">
        <f>Data_Cleaned!B1056</f>
        <v>No</v>
      </c>
      <c r="N1056">
        <f>Data_Cleaned!S1056</f>
        <v>10466</v>
      </c>
      <c r="R1056">
        <v>1</v>
      </c>
      <c r="S1056">
        <v>5811</v>
      </c>
    </row>
    <row r="1057" spans="13:19" x14ac:dyDescent="0.3">
      <c r="M1057" t="str">
        <f>Data_Cleaned!B1057</f>
        <v>No</v>
      </c>
      <c r="N1057">
        <f>Data_Cleaned!S1057</f>
        <v>17007</v>
      </c>
      <c r="R1057">
        <v>5</v>
      </c>
      <c r="S1057">
        <v>2766</v>
      </c>
    </row>
    <row r="1058" spans="13:19" x14ac:dyDescent="0.3">
      <c r="M1058" t="str">
        <f>Data_Cleaned!B1058</f>
        <v>Yes</v>
      </c>
      <c r="N1058">
        <f>Data_Cleaned!S1058</f>
        <v>2909</v>
      </c>
      <c r="R1058">
        <v>1</v>
      </c>
      <c r="S1058">
        <v>19038</v>
      </c>
    </row>
    <row r="1059" spans="13:19" x14ac:dyDescent="0.3">
      <c r="M1059" t="str">
        <f>Data_Cleaned!B1059</f>
        <v>Yes</v>
      </c>
      <c r="N1059">
        <f>Data_Cleaned!S1059</f>
        <v>5765</v>
      </c>
      <c r="R1059">
        <v>9</v>
      </c>
      <c r="S1059">
        <v>3055</v>
      </c>
    </row>
    <row r="1060" spans="13:19" x14ac:dyDescent="0.3">
      <c r="M1060" t="str">
        <f>Data_Cleaned!B1060</f>
        <v>Yes</v>
      </c>
      <c r="N1060">
        <f>Data_Cleaned!S1060</f>
        <v>4599</v>
      </c>
      <c r="R1060">
        <v>5</v>
      </c>
      <c r="S1060">
        <v>2289</v>
      </c>
    </row>
    <row r="1061" spans="13:19" x14ac:dyDescent="0.3">
      <c r="M1061" t="str">
        <f>Data_Cleaned!B1061</f>
        <v>No</v>
      </c>
      <c r="N1061">
        <f>Data_Cleaned!S1061</f>
        <v>2404</v>
      </c>
      <c r="R1061">
        <v>15</v>
      </c>
      <c r="S1061">
        <v>4001</v>
      </c>
    </row>
    <row r="1062" spans="13:19" x14ac:dyDescent="0.3">
      <c r="M1062" t="str">
        <f>Data_Cleaned!B1062</f>
        <v>Yes</v>
      </c>
      <c r="N1062">
        <f>Data_Cleaned!S1062</f>
        <v>3172</v>
      </c>
      <c r="R1062">
        <v>3</v>
      </c>
      <c r="S1062">
        <v>12965</v>
      </c>
    </row>
    <row r="1063" spans="13:19" x14ac:dyDescent="0.3">
      <c r="M1063" t="str">
        <f>Data_Cleaned!B1063</f>
        <v>No</v>
      </c>
      <c r="N1063">
        <f>Data_Cleaned!S1063</f>
        <v>2033</v>
      </c>
      <c r="R1063">
        <v>9</v>
      </c>
      <c r="S1063">
        <v>3539</v>
      </c>
    </row>
    <row r="1064" spans="13:19" x14ac:dyDescent="0.3">
      <c r="M1064" t="str">
        <f>Data_Cleaned!B1064</f>
        <v>No</v>
      </c>
      <c r="N1064">
        <f>Data_Cleaned!S1064</f>
        <v>10209</v>
      </c>
      <c r="R1064">
        <v>2</v>
      </c>
      <c r="S1064">
        <v>6029</v>
      </c>
    </row>
    <row r="1065" spans="13:19" x14ac:dyDescent="0.3">
      <c r="M1065" t="str">
        <f>Data_Cleaned!B1065</f>
        <v>No</v>
      </c>
      <c r="N1065">
        <f>Data_Cleaned!S1065</f>
        <v>8620</v>
      </c>
      <c r="R1065">
        <v>5</v>
      </c>
      <c r="S1065">
        <v>3702</v>
      </c>
    </row>
    <row r="1066" spans="13:19" x14ac:dyDescent="0.3">
      <c r="M1066" t="str">
        <f>Data_Cleaned!B1066</f>
        <v>No</v>
      </c>
      <c r="N1066">
        <f>Data_Cleaned!S1066</f>
        <v>2064</v>
      </c>
      <c r="R1066">
        <v>12</v>
      </c>
      <c r="S1066">
        <v>5468</v>
      </c>
    </row>
    <row r="1067" spans="13:19" x14ac:dyDescent="0.3">
      <c r="M1067" t="str">
        <f>Data_Cleaned!B1067</f>
        <v>No</v>
      </c>
      <c r="N1067">
        <f>Data_Cleaned!S1067</f>
        <v>4035</v>
      </c>
      <c r="R1067">
        <v>2</v>
      </c>
      <c r="S1067">
        <v>13116</v>
      </c>
    </row>
    <row r="1068" spans="13:19" x14ac:dyDescent="0.3">
      <c r="M1068" t="str">
        <f>Data_Cleaned!B1068</f>
        <v>No</v>
      </c>
      <c r="N1068">
        <f>Data_Cleaned!S1068</f>
        <v>3838</v>
      </c>
      <c r="R1068">
        <v>5</v>
      </c>
      <c r="S1068">
        <v>4189</v>
      </c>
    </row>
    <row r="1069" spans="13:19" x14ac:dyDescent="0.3">
      <c r="M1069" t="str">
        <f>Data_Cleaned!B1069</f>
        <v>No</v>
      </c>
      <c r="N1069">
        <f>Data_Cleaned!S1069</f>
        <v>4591</v>
      </c>
      <c r="R1069">
        <v>2</v>
      </c>
      <c r="S1069">
        <v>19328</v>
      </c>
    </row>
    <row r="1070" spans="13:19" x14ac:dyDescent="0.3">
      <c r="M1070" t="str">
        <f>Data_Cleaned!B1070</f>
        <v>Yes</v>
      </c>
      <c r="N1070">
        <f>Data_Cleaned!S1070</f>
        <v>2561</v>
      </c>
      <c r="R1070">
        <v>12</v>
      </c>
      <c r="S1070">
        <v>8321</v>
      </c>
    </row>
    <row r="1071" spans="13:19" x14ac:dyDescent="0.3">
      <c r="M1071" t="str">
        <f>Data_Cleaned!B1071</f>
        <v>No</v>
      </c>
      <c r="N1071">
        <f>Data_Cleaned!S1071</f>
        <v>1563</v>
      </c>
      <c r="R1071">
        <v>10</v>
      </c>
      <c r="S1071">
        <v>4071</v>
      </c>
    </row>
    <row r="1072" spans="13:19" x14ac:dyDescent="0.3">
      <c r="M1072" t="str">
        <f>Data_Cleaned!B1072</f>
        <v>No</v>
      </c>
      <c r="N1072">
        <f>Data_Cleaned!S1072</f>
        <v>4898</v>
      </c>
      <c r="R1072">
        <v>10</v>
      </c>
      <c r="S1072">
        <v>3143</v>
      </c>
    </row>
    <row r="1073" spans="13:19" x14ac:dyDescent="0.3">
      <c r="M1073" t="str">
        <f>Data_Cleaned!B1073</f>
        <v>No</v>
      </c>
      <c r="N1073">
        <f>Data_Cleaned!S1073</f>
        <v>4789</v>
      </c>
      <c r="R1073">
        <v>5</v>
      </c>
      <c r="S1073">
        <v>2044</v>
      </c>
    </row>
    <row r="1074" spans="13:19" x14ac:dyDescent="0.3">
      <c r="M1074" t="str">
        <f>Data_Cleaned!B1074</f>
        <v>No</v>
      </c>
      <c r="N1074">
        <f>Data_Cleaned!S1074</f>
        <v>3180</v>
      </c>
      <c r="R1074">
        <v>4</v>
      </c>
      <c r="S1074">
        <v>13464</v>
      </c>
    </row>
    <row r="1075" spans="13:19" x14ac:dyDescent="0.3">
      <c r="M1075" t="str">
        <f>Data_Cleaned!B1075</f>
        <v>No</v>
      </c>
      <c r="N1075">
        <f>Data_Cleaned!S1075</f>
        <v>6549</v>
      </c>
      <c r="R1075">
        <v>2</v>
      </c>
      <c r="S1075">
        <v>7991</v>
      </c>
    </row>
    <row r="1076" spans="13:19" x14ac:dyDescent="0.3">
      <c r="M1076" t="str">
        <f>Data_Cleaned!B1076</f>
        <v>No</v>
      </c>
      <c r="N1076">
        <f>Data_Cleaned!S1076</f>
        <v>6388</v>
      </c>
      <c r="R1076">
        <v>4</v>
      </c>
      <c r="S1076">
        <v>3377</v>
      </c>
    </row>
    <row r="1077" spans="13:19" x14ac:dyDescent="0.3">
      <c r="M1077" t="str">
        <f>Data_Cleaned!B1077</f>
        <v>No</v>
      </c>
      <c r="N1077">
        <f>Data_Cleaned!S1077</f>
        <v>11244</v>
      </c>
      <c r="R1077">
        <v>0</v>
      </c>
      <c r="S1077">
        <v>5538</v>
      </c>
    </row>
    <row r="1078" spans="13:19" x14ac:dyDescent="0.3">
      <c r="M1078" t="str">
        <f>Data_Cleaned!B1078</f>
        <v>No</v>
      </c>
      <c r="N1078">
        <f>Data_Cleaned!S1078</f>
        <v>16032</v>
      </c>
      <c r="R1078">
        <v>7</v>
      </c>
      <c r="S1078">
        <v>5762</v>
      </c>
    </row>
    <row r="1079" spans="13:19" x14ac:dyDescent="0.3">
      <c r="M1079" t="str">
        <f>Data_Cleaned!B1079</f>
        <v>Yes</v>
      </c>
      <c r="N1079">
        <f>Data_Cleaned!S1079</f>
        <v>2362</v>
      </c>
      <c r="R1079">
        <v>11</v>
      </c>
      <c r="S1079">
        <v>2592</v>
      </c>
    </row>
    <row r="1080" spans="13:19" x14ac:dyDescent="0.3">
      <c r="M1080" t="str">
        <f>Data_Cleaned!B1080</f>
        <v>No</v>
      </c>
      <c r="N1080">
        <f>Data_Cleaned!S1080</f>
        <v>16328</v>
      </c>
      <c r="R1080">
        <v>2</v>
      </c>
      <c r="S1080">
        <v>4127</v>
      </c>
    </row>
    <row r="1081" spans="13:19" x14ac:dyDescent="0.3">
      <c r="M1081" t="str">
        <f>Data_Cleaned!B1081</f>
        <v>No</v>
      </c>
      <c r="N1081">
        <f>Data_Cleaned!S1081</f>
        <v>8376</v>
      </c>
      <c r="R1081">
        <v>3</v>
      </c>
      <c r="S1081">
        <v>2438</v>
      </c>
    </row>
    <row r="1082" spans="13:19" x14ac:dyDescent="0.3">
      <c r="M1082" t="str">
        <f>Data_Cleaned!B1082</f>
        <v>No</v>
      </c>
      <c r="N1082">
        <f>Data_Cleaned!S1082</f>
        <v>16606</v>
      </c>
      <c r="R1082">
        <v>3</v>
      </c>
      <c r="S1082">
        <v>6870</v>
      </c>
    </row>
    <row r="1083" spans="13:19" x14ac:dyDescent="0.3">
      <c r="M1083" t="str">
        <f>Data_Cleaned!B1083</f>
        <v>No</v>
      </c>
      <c r="N1083">
        <f>Data_Cleaned!S1083</f>
        <v>8606</v>
      </c>
      <c r="R1083">
        <v>22</v>
      </c>
      <c r="S1083">
        <v>10447</v>
      </c>
    </row>
    <row r="1084" spans="13:19" x14ac:dyDescent="0.3">
      <c r="M1084" t="str">
        <f>Data_Cleaned!B1084</f>
        <v>No</v>
      </c>
      <c r="N1084">
        <f>Data_Cleaned!S1084</f>
        <v>2272</v>
      </c>
      <c r="R1084">
        <v>7</v>
      </c>
      <c r="S1084">
        <v>9667</v>
      </c>
    </row>
    <row r="1085" spans="13:19" x14ac:dyDescent="0.3">
      <c r="M1085" t="str">
        <f>Data_Cleaned!B1085</f>
        <v>Yes</v>
      </c>
      <c r="N1085">
        <f>Data_Cleaned!S1085</f>
        <v>2018</v>
      </c>
      <c r="R1085">
        <v>5</v>
      </c>
      <c r="S1085">
        <v>6513</v>
      </c>
    </row>
    <row r="1086" spans="13:19" x14ac:dyDescent="0.3">
      <c r="M1086" t="str">
        <f>Data_Cleaned!B1086</f>
        <v>No</v>
      </c>
      <c r="N1086">
        <f>Data_Cleaned!S1086</f>
        <v>7083</v>
      </c>
      <c r="R1086">
        <v>10</v>
      </c>
      <c r="S1086">
        <v>6799</v>
      </c>
    </row>
    <row r="1087" spans="13:19" x14ac:dyDescent="0.3">
      <c r="M1087" t="str">
        <f>Data_Cleaned!B1087</f>
        <v>Yes</v>
      </c>
      <c r="N1087">
        <f>Data_Cleaned!S1087</f>
        <v>4084</v>
      </c>
      <c r="R1087">
        <v>16</v>
      </c>
      <c r="S1087">
        <v>16291</v>
      </c>
    </row>
    <row r="1088" spans="13:19" x14ac:dyDescent="0.3">
      <c r="M1088" t="str">
        <f>Data_Cleaned!B1088</f>
        <v>No</v>
      </c>
      <c r="N1088">
        <f>Data_Cleaned!S1088</f>
        <v>14411</v>
      </c>
      <c r="R1088">
        <v>5</v>
      </c>
      <c r="S1088">
        <v>2705</v>
      </c>
    </row>
    <row r="1089" spans="13:19" x14ac:dyDescent="0.3">
      <c r="M1089" t="str">
        <f>Data_Cleaned!B1089</f>
        <v>No</v>
      </c>
      <c r="N1089">
        <f>Data_Cleaned!S1089</f>
        <v>2308</v>
      </c>
      <c r="R1089">
        <v>22</v>
      </c>
      <c r="S1089">
        <v>10333</v>
      </c>
    </row>
    <row r="1090" spans="13:19" x14ac:dyDescent="0.3">
      <c r="M1090" t="str">
        <f>Data_Cleaned!B1090</f>
        <v>No</v>
      </c>
      <c r="N1090">
        <f>Data_Cleaned!S1090</f>
        <v>4841</v>
      </c>
      <c r="R1090">
        <v>7</v>
      </c>
      <c r="S1090">
        <v>4448</v>
      </c>
    </row>
    <row r="1091" spans="13:19" x14ac:dyDescent="0.3">
      <c r="M1091" t="str">
        <f>Data_Cleaned!B1091</f>
        <v>No</v>
      </c>
      <c r="N1091">
        <f>Data_Cleaned!S1091</f>
        <v>4285</v>
      </c>
      <c r="R1091">
        <v>7</v>
      </c>
      <c r="S1091">
        <v>6854</v>
      </c>
    </row>
    <row r="1092" spans="13:19" x14ac:dyDescent="0.3">
      <c r="M1092" t="str">
        <f>Data_Cleaned!B1092</f>
        <v>No</v>
      </c>
      <c r="N1092">
        <f>Data_Cleaned!S1092</f>
        <v>9715</v>
      </c>
      <c r="R1092">
        <v>3</v>
      </c>
      <c r="S1092">
        <v>9637</v>
      </c>
    </row>
    <row r="1093" spans="13:19" x14ac:dyDescent="0.3">
      <c r="M1093" t="str">
        <f>Data_Cleaned!B1093</f>
        <v>No</v>
      </c>
      <c r="N1093">
        <f>Data_Cleaned!S1093</f>
        <v>4320</v>
      </c>
      <c r="R1093">
        <v>3</v>
      </c>
      <c r="S1093">
        <v>3591</v>
      </c>
    </row>
    <row r="1094" spans="13:19" x14ac:dyDescent="0.3">
      <c r="M1094" t="str">
        <f>Data_Cleaned!B1094</f>
        <v>No</v>
      </c>
      <c r="N1094">
        <f>Data_Cleaned!S1094</f>
        <v>2132</v>
      </c>
      <c r="R1094">
        <v>4</v>
      </c>
      <c r="S1094">
        <v>5405</v>
      </c>
    </row>
    <row r="1095" spans="13:19" x14ac:dyDescent="0.3">
      <c r="M1095" t="str">
        <f>Data_Cleaned!B1095</f>
        <v>No</v>
      </c>
      <c r="N1095">
        <f>Data_Cleaned!S1095</f>
        <v>10124</v>
      </c>
      <c r="R1095">
        <v>5</v>
      </c>
      <c r="S1095">
        <v>4684</v>
      </c>
    </row>
    <row r="1096" spans="13:19" x14ac:dyDescent="0.3">
      <c r="M1096" t="str">
        <f>Data_Cleaned!B1096</f>
        <v>No</v>
      </c>
      <c r="N1096">
        <f>Data_Cleaned!S1096</f>
        <v>5473</v>
      </c>
      <c r="R1096">
        <v>2</v>
      </c>
      <c r="S1096">
        <v>15787</v>
      </c>
    </row>
    <row r="1097" spans="13:19" x14ac:dyDescent="0.3">
      <c r="M1097" t="str">
        <f>Data_Cleaned!B1097</f>
        <v>No</v>
      </c>
      <c r="N1097">
        <f>Data_Cleaned!S1097</f>
        <v>5207</v>
      </c>
      <c r="R1097">
        <v>0</v>
      </c>
      <c r="S1097">
        <v>1514</v>
      </c>
    </row>
    <row r="1098" spans="13:19" x14ac:dyDescent="0.3">
      <c r="M1098" t="str">
        <f>Data_Cleaned!B1098</f>
        <v>No</v>
      </c>
      <c r="N1098">
        <f>Data_Cleaned!S1098</f>
        <v>16437</v>
      </c>
      <c r="R1098">
        <v>8</v>
      </c>
      <c r="S1098">
        <v>5154</v>
      </c>
    </row>
    <row r="1099" spans="13:19" x14ac:dyDescent="0.3">
      <c r="M1099" t="str">
        <f>Data_Cleaned!B1099</f>
        <v>No</v>
      </c>
      <c r="N1099">
        <f>Data_Cleaned!S1099</f>
        <v>2296</v>
      </c>
      <c r="R1099">
        <v>1</v>
      </c>
      <c r="S1099">
        <v>6962</v>
      </c>
    </row>
    <row r="1100" spans="13:19" x14ac:dyDescent="0.3">
      <c r="M1100" t="str">
        <f>Data_Cleaned!B1100</f>
        <v>No</v>
      </c>
      <c r="N1100">
        <f>Data_Cleaned!S1100</f>
        <v>4069</v>
      </c>
      <c r="R1100">
        <v>7</v>
      </c>
      <c r="S1100">
        <v>5675</v>
      </c>
    </row>
    <row r="1101" spans="13:19" x14ac:dyDescent="0.3">
      <c r="M1101" t="str">
        <f>Data_Cleaned!B1101</f>
        <v>No</v>
      </c>
      <c r="N1101">
        <f>Data_Cleaned!S1101</f>
        <v>7441</v>
      </c>
      <c r="R1101">
        <v>5</v>
      </c>
      <c r="S1101">
        <v>2379</v>
      </c>
    </row>
    <row r="1102" spans="13:19" x14ac:dyDescent="0.3">
      <c r="M1102" t="str">
        <f>Data_Cleaned!B1102</f>
        <v>No</v>
      </c>
      <c r="N1102">
        <f>Data_Cleaned!S1102</f>
        <v>2430</v>
      </c>
      <c r="R1102">
        <v>11</v>
      </c>
      <c r="S1102">
        <v>3812</v>
      </c>
    </row>
    <row r="1103" spans="13:19" x14ac:dyDescent="0.3">
      <c r="M1103" t="str">
        <f>Data_Cleaned!B1103</f>
        <v>No</v>
      </c>
      <c r="N1103">
        <f>Data_Cleaned!S1103</f>
        <v>5878</v>
      </c>
      <c r="R1103">
        <v>0</v>
      </c>
      <c r="S1103">
        <v>4648</v>
      </c>
    </row>
    <row r="1104" spans="13:19" x14ac:dyDescent="0.3">
      <c r="M1104" t="str">
        <f>Data_Cleaned!B1104</f>
        <v>No</v>
      </c>
      <c r="N1104">
        <f>Data_Cleaned!S1104</f>
        <v>2644</v>
      </c>
      <c r="R1104">
        <v>6</v>
      </c>
      <c r="S1104">
        <v>2936</v>
      </c>
    </row>
    <row r="1105" spans="13:19" x14ac:dyDescent="0.3">
      <c r="M1105" t="str">
        <f>Data_Cleaned!B1105</f>
        <v>No</v>
      </c>
      <c r="N1105">
        <f>Data_Cleaned!S1105</f>
        <v>6439</v>
      </c>
      <c r="R1105">
        <v>2</v>
      </c>
      <c r="S1105">
        <v>2105</v>
      </c>
    </row>
    <row r="1106" spans="13:19" x14ac:dyDescent="0.3">
      <c r="M1106" t="str">
        <f>Data_Cleaned!B1106</f>
        <v>No</v>
      </c>
      <c r="N1106">
        <f>Data_Cleaned!S1106</f>
        <v>2451</v>
      </c>
      <c r="R1106">
        <v>9</v>
      </c>
      <c r="S1106">
        <v>8578</v>
      </c>
    </row>
    <row r="1107" spans="13:19" x14ac:dyDescent="0.3">
      <c r="M1107" t="str">
        <f>Data_Cleaned!B1107</f>
        <v>No</v>
      </c>
      <c r="N1107">
        <f>Data_Cleaned!S1107</f>
        <v>6392</v>
      </c>
      <c r="R1107">
        <v>3</v>
      </c>
      <c r="S1107">
        <v>2706</v>
      </c>
    </row>
    <row r="1108" spans="13:19" x14ac:dyDescent="0.3">
      <c r="M1108" t="str">
        <f>Data_Cleaned!B1108</f>
        <v>Yes</v>
      </c>
      <c r="N1108">
        <f>Data_Cleaned!S1108</f>
        <v>9714</v>
      </c>
      <c r="R1108">
        <v>7</v>
      </c>
      <c r="S1108">
        <v>6384</v>
      </c>
    </row>
    <row r="1109" spans="13:19" x14ac:dyDescent="0.3">
      <c r="M1109" t="str">
        <f>Data_Cleaned!B1109</f>
        <v>No</v>
      </c>
      <c r="N1109">
        <f>Data_Cleaned!S1109</f>
        <v>6077</v>
      </c>
      <c r="R1109">
        <v>0</v>
      </c>
      <c r="S1109">
        <v>3968</v>
      </c>
    </row>
    <row r="1110" spans="13:19" x14ac:dyDescent="0.3">
      <c r="M1110" t="str">
        <f>Data_Cleaned!B1110</f>
        <v>No</v>
      </c>
      <c r="N1110">
        <f>Data_Cleaned!S1110</f>
        <v>2450</v>
      </c>
      <c r="R1110">
        <v>19</v>
      </c>
      <c r="S1110">
        <v>13225</v>
      </c>
    </row>
    <row r="1111" spans="13:19" x14ac:dyDescent="0.3">
      <c r="M1111" t="str">
        <f>Data_Cleaned!B1111</f>
        <v>No</v>
      </c>
      <c r="N1111">
        <f>Data_Cleaned!S1111</f>
        <v>9250</v>
      </c>
      <c r="R1111">
        <v>9</v>
      </c>
      <c r="S1111">
        <v>3540</v>
      </c>
    </row>
    <row r="1112" spans="13:19" x14ac:dyDescent="0.3">
      <c r="M1112" t="str">
        <f>Data_Cleaned!B1112</f>
        <v>Yes</v>
      </c>
      <c r="N1112">
        <f>Data_Cleaned!S1112</f>
        <v>2074</v>
      </c>
      <c r="R1112">
        <v>1</v>
      </c>
      <c r="S1112">
        <v>2804</v>
      </c>
    </row>
    <row r="1113" spans="13:19" x14ac:dyDescent="0.3">
      <c r="M1113" t="str">
        <f>Data_Cleaned!B1113</f>
        <v>Yes</v>
      </c>
      <c r="N1113">
        <f>Data_Cleaned!S1113</f>
        <v>10169</v>
      </c>
      <c r="R1113">
        <v>16</v>
      </c>
      <c r="S1113">
        <v>19392</v>
      </c>
    </row>
    <row r="1114" spans="13:19" x14ac:dyDescent="0.3">
      <c r="M1114" t="str">
        <f>Data_Cleaned!B1114</f>
        <v>Yes</v>
      </c>
      <c r="N1114">
        <f>Data_Cleaned!S1114</f>
        <v>4855</v>
      </c>
      <c r="R1114">
        <v>22</v>
      </c>
      <c r="S1114">
        <v>19665</v>
      </c>
    </row>
    <row r="1115" spans="13:19" x14ac:dyDescent="0.3">
      <c r="M1115" t="str">
        <f>Data_Cleaned!B1115</f>
        <v>No</v>
      </c>
      <c r="N1115">
        <f>Data_Cleaned!S1115</f>
        <v>4087</v>
      </c>
      <c r="R1115">
        <v>7</v>
      </c>
      <c r="S1115">
        <v>4774</v>
      </c>
    </row>
    <row r="1116" spans="13:19" x14ac:dyDescent="0.3">
      <c r="M1116" t="str">
        <f>Data_Cleaned!B1116</f>
        <v>No</v>
      </c>
      <c r="N1116">
        <f>Data_Cleaned!S1116</f>
        <v>2367</v>
      </c>
      <c r="R1116">
        <v>2</v>
      </c>
      <c r="S1116">
        <v>3902</v>
      </c>
    </row>
    <row r="1117" spans="13:19" x14ac:dyDescent="0.3">
      <c r="M1117" t="str">
        <f>Data_Cleaned!B1117</f>
        <v>No</v>
      </c>
      <c r="N1117">
        <f>Data_Cleaned!S1117</f>
        <v>2972</v>
      </c>
      <c r="R1117">
        <v>5</v>
      </c>
      <c r="S1117">
        <v>2662</v>
      </c>
    </row>
    <row r="1118" spans="13:19" x14ac:dyDescent="0.3">
      <c r="M1118" t="str">
        <f>Data_Cleaned!B1118</f>
        <v>No</v>
      </c>
      <c r="N1118">
        <f>Data_Cleaned!S1118</f>
        <v>19586</v>
      </c>
      <c r="R1118">
        <v>1</v>
      </c>
      <c r="S1118">
        <v>2856</v>
      </c>
    </row>
    <row r="1119" spans="13:19" x14ac:dyDescent="0.3">
      <c r="M1119" t="str">
        <f>Data_Cleaned!B1119</f>
        <v>No</v>
      </c>
      <c r="N1119">
        <f>Data_Cleaned!S1119</f>
        <v>5484</v>
      </c>
      <c r="R1119">
        <v>10</v>
      </c>
      <c r="S1119">
        <v>5673</v>
      </c>
    </row>
    <row r="1120" spans="13:19" x14ac:dyDescent="0.3">
      <c r="M1120" t="str">
        <f>Data_Cleaned!B1120</f>
        <v>No</v>
      </c>
      <c r="N1120">
        <f>Data_Cleaned!S1120</f>
        <v>2061</v>
      </c>
      <c r="R1120">
        <v>10</v>
      </c>
      <c r="S1120">
        <v>4197</v>
      </c>
    </row>
    <row r="1121" spans="13:19" x14ac:dyDescent="0.3">
      <c r="M1121" t="str">
        <f>Data_Cleaned!B1121</f>
        <v>No</v>
      </c>
      <c r="N1121">
        <f>Data_Cleaned!S1121</f>
        <v>9924</v>
      </c>
      <c r="R1121">
        <v>5</v>
      </c>
      <c r="S1121">
        <v>9713</v>
      </c>
    </row>
    <row r="1122" spans="13:19" x14ac:dyDescent="0.3">
      <c r="M1122" t="str">
        <f>Data_Cleaned!B1122</f>
        <v>No</v>
      </c>
      <c r="N1122">
        <f>Data_Cleaned!S1122</f>
        <v>4198</v>
      </c>
      <c r="R1122">
        <v>3</v>
      </c>
      <c r="S1122">
        <v>2062</v>
      </c>
    </row>
    <row r="1123" spans="13:19" x14ac:dyDescent="0.3">
      <c r="M1123" t="str">
        <f>Data_Cleaned!B1123</f>
        <v>No</v>
      </c>
      <c r="N1123">
        <f>Data_Cleaned!S1123</f>
        <v>6815</v>
      </c>
      <c r="R1123">
        <v>5</v>
      </c>
      <c r="S1123">
        <v>4284</v>
      </c>
    </row>
    <row r="1124" spans="13:19" x14ac:dyDescent="0.3">
      <c r="M1124" t="str">
        <f>Data_Cleaned!B1124</f>
        <v>No</v>
      </c>
      <c r="N1124">
        <f>Data_Cleaned!S1124</f>
        <v>4723</v>
      </c>
      <c r="R1124">
        <v>3</v>
      </c>
      <c r="S1124">
        <v>4788</v>
      </c>
    </row>
    <row r="1125" spans="13:19" x14ac:dyDescent="0.3">
      <c r="M1125" t="str">
        <f>Data_Cleaned!B1125</f>
        <v>No</v>
      </c>
      <c r="N1125">
        <f>Data_Cleaned!S1125</f>
        <v>6142</v>
      </c>
      <c r="R1125">
        <v>9</v>
      </c>
      <c r="S1125">
        <v>5906</v>
      </c>
    </row>
    <row r="1126" spans="13:19" x14ac:dyDescent="0.3">
      <c r="M1126" t="str">
        <f>Data_Cleaned!B1126</f>
        <v>No</v>
      </c>
      <c r="N1126">
        <f>Data_Cleaned!S1126</f>
        <v>8237</v>
      </c>
      <c r="R1126">
        <v>10</v>
      </c>
      <c r="S1126">
        <v>3886</v>
      </c>
    </row>
    <row r="1127" spans="13:19" x14ac:dyDescent="0.3">
      <c r="M1127" t="str">
        <f>Data_Cleaned!B1127</f>
        <v>No</v>
      </c>
      <c r="N1127">
        <f>Data_Cleaned!S1127</f>
        <v>8853</v>
      </c>
      <c r="R1127">
        <v>19</v>
      </c>
      <c r="S1127">
        <v>16823</v>
      </c>
    </row>
    <row r="1128" spans="13:19" x14ac:dyDescent="0.3">
      <c r="M1128" t="str">
        <f>Data_Cleaned!B1128</f>
        <v>No</v>
      </c>
      <c r="N1128">
        <f>Data_Cleaned!S1128</f>
        <v>19331</v>
      </c>
      <c r="R1128">
        <v>1</v>
      </c>
      <c r="S1128">
        <v>2933</v>
      </c>
    </row>
    <row r="1129" spans="13:19" x14ac:dyDescent="0.3">
      <c r="M1129" t="str">
        <f>Data_Cleaned!B1129</f>
        <v>No</v>
      </c>
      <c r="N1129">
        <f>Data_Cleaned!S1129</f>
        <v>2073</v>
      </c>
      <c r="R1129">
        <v>8</v>
      </c>
      <c r="S1129">
        <v>6500</v>
      </c>
    </row>
    <row r="1130" spans="13:19" x14ac:dyDescent="0.3">
      <c r="M1130" t="str">
        <f>Data_Cleaned!B1130</f>
        <v>No</v>
      </c>
      <c r="N1130">
        <f>Data_Cleaned!S1130</f>
        <v>5562</v>
      </c>
      <c r="R1130">
        <v>22</v>
      </c>
      <c r="S1130">
        <v>17174</v>
      </c>
    </row>
    <row r="1131" spans="13:19" x14ac:dyDescent="0.3">
      <c r="M1131" t="str">
        <f>Data_Cleaned!B1131</f>
        <v>No</v>
      </c>
      <c r="N1131">
        <f>Data_Cleaned!S1131</f>
        <v>19613</v>
      </c>
      <c r="R1131">
        <v>2</v>
      </c>
      <c r="S1131">
        <v>5033</v>
      </c>
    </row>
    <row r="1132" spans="13:19" x14ac:dyDescent="0.3">
      <c r="M1132" t="str">
        <f>Data_Cleaned!B1132</f>
        <v>No</v>
      </c>
      <c r="N1132">
        <f>Data_Cleaned!S1132</f>
        <v>3407</v>
      </c>
      <c r="R1132">
        <v>4</v>
      </c>
      <c r="S1132">
        <v>5507</v>
      </c>
    </row>
    <row r="1133" spans="13:19" x14ac:dyDescent="0.3">
      <c r="M1133" t="str">
        <f>Data_Cleaned!B1133</f>
        <v>No</v>
      </c>
      <c r="N1133">
        <f>Data_Cleaned!S1133</f>
        <v>5063</v>
      </c>
      <c r="R1133">
        <v>5</v>
      </c>
      <c r="S1133">
        <v>4393</v>
      </c>
    </row>
    <row r="1134" spans="13:19" x14ac:dyDescent="0.3">
      <c r="M1134" t="str">
        <f>Data_Cleaned!B1134</f>
        <v>No</v>
      </c>
      <c r="N1134">
        <f>Data_Cleaned!S1134</f>
        <v>4639</v>
      </c>
      <c r="R1134">
        <v>13</v>
      </c>
      <c r="S1134">
        <v>13348</v>
      </c>
    </row>
    <row r="1135" spans="13:19" x14ac:dyDescent="0.3">
      <c r="M1135" t="str">
        <f>Data_Cleaned!B1135</f>
        <v>No</v>
      </c>
      <c r="N1135">
        <f>Data_Cleaned!S1135</f>
        <v>4876</v>
      </c>
      <c r="R1135">
        <v>5</v>
      </c>
      <c r="S1135">
        <v>6583</v>
      </c>
    </row>
    <row r="1136" spans="13:19" x14ac:dyDescent="0.3">
      <c r="M1136" t="str">
        <f>Data_Cleaned!B1136</f>
        <v>No</v>
      </c>
      <c r="N1136">
        <f>Data_Cleaned!S1136</f>
        <v>2690</v>
      </c>
      <c r="R1136">
        <v>4</v>
      </c>
      <c r="S1136">
        <v>8103</v>
      </c>
    </row>
    <row r="1137" spans="13:19" x14ac:dyDescent="0.3">
      <c r="M1137" t="str">
        <f>Data_Cleaned!B1137</f>
        <v>No</v>
      </c>
      <c r="N1137">
        <f>Data_Cleaned!S1137</f>
        <v>17567</v>
      </c>
      <c r="R1137">
        <v>2</v>
      </c>
      <c r="S1137">
        <v>3978</v>
      </c>
    </row>
    <row r="1138" spans="13:19" x14ac:dyDescent="0.3">
      <c r="M1138" t="str">
        <f>Data_Cleaned!B1138</f>
        <v>Yes</v>
      </c>
      <c r="N1138">
        <f>Data_Cleaned!S1138</f>
        <v>2408</v>
      </c>
      <c r="R1138">
        <v>7</v>
      </c>
      <c r="S1138">
        <v>2544</v>
      </c>
    </row>
    <row r="1139" spans="13:19" x14ac:dyDescent="0.3">
      <c r="M1139" t="str">
        <f>Data_Cleaned!B1139</f>
        <v>No</v>
      </c>
      <c r="N1139">
        <f>Data_Cleaned!S1139</f>
        <v>2814</v>
      </c>
      <c r="R1139">
        <v>4</v>
      </c>
      <c r="S1139">
        <v>5399</v>
      </c>
    </row>
    <row r="1140" spans="13:19" x14ac:dyDescent="0.3">
      <c r="M1140" t="str">
        <f>Data_Cleaned!B1140</f>
        <v>No</v>
      </c>
      <c r="N1140">
        <f>Data_Cleaned!S1140</f>
        <v>11245</v>
      </c>
      <c r="R1140">
        <v>10</v>
      </c>
      <c r="S1140">
        <v>5487</v>
      </c>
    </row>
    <row r="1141" spans="13:19" x14ac:dyDescent="0.3">
      <c r="M1141" t="str">
        <f>Data_Cleaned!B1141</f>
        <v>No</v>
      </c>
      <c r="N1141">
        <f>Data_Cleaned!S1141</f>
        <v>3312</v>
      </c>
      <c r="R1141">
        <v>7</v>
      </c>
      <c r="S1141">
        <v>6834</v>
      </c>
    </row>
    <row r="1142" spans="13:19" x14ac:dyDescent="0.3">
      <c r="M1142" t="str">
        <f>Data_Cleaned!B1142</f>
        <v>No</v>
      </c>
      <c r="N1142">
        <f>Data_Cleaned!S1142</f>
        <v>19049</v>
      </c>
      <c r="R1142">
        <v>3</v>
      </c>
      <c r="S1142">
        <v>5736</v>
      </c>
    </row>
    <row r="1143" spans="13:19" x14ac:dyDescent="0.3">
      <c r="M1143" t="str">
        <f>Data_Cleaned!B1143</f>
        <v>No</v>
      </c>
      <c r="N1143">
        <f>Data_Cleaned!S1143</f>
        <v>2141</v>
      </c>
      <c r="R1143">
        <v>5</v>
      </c>
      <c r="S1143">
        <v>2226</v>
      </c>
    </row>
    <row r="1144" spans="13:19" x14ac:dyDescent="0.3">
      <c r="M1144" t="str">
        <f>Data_Cleaned!B1144</f>
        <v>No</v>
      </c>
      <c r="N1144">
        <f>Data_Cleaned!S1144</f>
        <v>5769</v>
      </c>
      <c r="R1144">
        <v>15</v>
      </c>
      <c r="S1144">
        <v>5747</v>
      </c>
    </row>
    <row r="1145" spans="13:19" x14ac:dyDescent="0.3">
      <c r="M1145" t="str">
        <f>Data_Cleaned!B1145</f>
        <v>No</v>
      </c>
      <c r="N1145">
        <f>Data_Cleaned!S1145</f>
        <v>4385</v>
      </c>
      <c r="R1145">
        <v>8</v>
      </c>
      <c r="S1145">
        <v>5467</v>
      </c>
    </row>
    <row r="1146" spans="13:19" x14ac:dyDescent="0.3">
      <c r="M1146" t="str">
        <f>Data_Cleaned!B1146</f>
        <v>No</v>
      </c>
      <c r="N1146">
        <f>Data_Cleaned!S1146</f>
        <v>5332</v>
      </c>
      <c r="R1146">
        <v>0</v>
      </c>
      <c r="S1146">
        <v>5380</v>
      </c>
    </row>
    <row r="1147" spans="13:19" x14ac:dyDescent="0.3">
      <c r="M1147" t="str">
        <f>Data_Cleaned!B1147</f>
        <v>No</v>
      </c>
      <c r="N1147">
        <f>Data_Cleaned!S1147</f>
        <v>4663</v>
      </c>
      <c r="R1147">
        <v>10</v>
      </c>
      <c r="S1147">
        <v>5151</v>
      </c>
    </row>
    <row r="1148" spans="13:19" x14ac:dyDescent="0.3">
      <c r="M1148" t="str">
        <f>Data_Cleaned!B1148</f>
        <v>No</v>
      </c>
      <c r="N1148">
        <f>Data_Cleaned!S1148</f>
        <v>4724</v>
      </c>
      <c r="R1148">
        <v>20</v>
      </c>
      <c r="S1148">
        <v>2133</v>
      </c>
    </row>
    <row r="1149" spans="13:19" x14ac:dyDescent="0.3">
      <c r="M1149" t="str">
        <f>Data_Cleaned!B1149</f>
        <v>No</v>
      </c>
      <c r="N1149">
        <f>Data_Cleaned!S1149</f>
        <v>3211</v>
      </c>
      <c r="R1149">
        <v>1</v>
      </c>
      <c r="S1149">
        <v>17875</v>
      </c>
    </row>
    <row r="1150" spans="13:19" x14ac:dyDescent="0.3">
      <c r="M1150" t="str">
        <f>Data_Cleaned!B1150</f>
        <v>No</v>
      </c>
      <c r="N1150">
        <f>Data_Cleaned!S1150</f>
        <v>5377</v>
      </c>
      <c r="R1150">
        <v>5</v>
      </c>
      <c r="S1150">
        <v>4771</v>
      </c>
    </row>
    <row r="1151" spans="13:19" x14ac:dyDescent="0.3">
      <c r="M1151" t="str">
        <f>Data_Cleaned!B1151</f>
        <v>No</v>
      </c>
      <c r="N1151">
        <f>Data_Cleaned!S1151</f>
        <v>4066</v>
      </c>
      <c r="R1151">
        <v>5</v>
      </c>
      <c r="S1151">
        <v>19161</v>
      </c>
    </row>
    <row r="1152" spans="13:19" x14ac:dyDescent="0.3">
      <c r="M1152" t="str">
        <f>Data_Cleaned!B1152</f>
        <v>No</v>
      </c>
      <c r="N1152">
        <f>Data_Cleaned!S1152</f>
        <v>5208</v>
      </c>
      <c r="R1152">
        <v>0</v>
      </c>
      <c r="S1152">
        <v>5087</v>
      </c>
    </row>
    <row r="1153" spans="13:19" x14ac:dyDescent="0.3">
      <c r="M1153" t="str">
        <f>Data_Cleaned!B1153</f>
        <v>No</v>
      </c>
      <c r="N1153">
        <f>Data_Cleaned!S1153</f>
        <v>4877</v>
      </c>
      <c r="R1153">
        <v>5</v>
      </c>
      <c r="S1153">
        <v>5561</v>
      </c>
    </row>
    <row r="1154" spans="13:19" x14ac:dyDescent="0.3">
      <c r="M1154" t="str">
        <f>Data_Cleaned!B1154</f>
        <v>No</v>
      </c>
      <c r="N1154">
        <f>Data_Cleaned!S1154</f>
        <v>3117</v>
      </c>
      <c r="R1154">
        <v>5</v>
      </c>
      <c r="S1154">
        <v>2144</v>
      </c>
    </row>
    <row r="1155" spans="13:19" x14ac:dyDescent="0.3">
      <c r="M1155" t="str">
        <f>Data_Cleaned!B1155</f>
        <v>Yes</v>
      </c>
      <c r="N1155">
        <f>Data_Cleaned!S1155</f>
        <v>1569</v>
      </c>
      <c r="R1155">
        <v>4</v>
      </c>
      <c r="S1155">
        <v>3065</v>
      </c>
    </row>
    <row r="1156" spans="13:19" x14ac:dyDescent="0.3">
      <c r="M1156" t="str">
        <f>Data_Cleaned!B1156</f>
        <v>No</v>
      </c>
      <c r="N1156">
        <f>Data_Cleaned!S1156</f>
        <v>19658</v>
      </c>
      <c r="R1156">
        <v>5</v>
      </c>
      <c r="S1156">
        <v>2810</v>
      </c>
    </row>
    <row r="1157" spans="13:19" x14ac:dyDescent="0.3">
      <c r="M1157" t="str">
        <f>Data_Cleaned!B1157</f>
        <v>No</v>
      </c>
      <c r="N1157">
        <f>Data_Cleaned!S1157</f>
        <v>3069</v>
      </c>
      <c r="R1157">
        <v>14</v>
      </c>
      <c r="S1157">
        <v>9888</v>
      </c>
    </row>
    <row r="1158" spans="13:19" x14ac:dyDescent="0.3">
      <c r="M1158" t="str">
        <f>Data_Cleaned!B1158</f>
        <v>No</v>
      </c>
      <c r="N1158">
        <f>Data_Cleaned!S1158</f>
        <v>10435</v>
      </c>
      <c r="R1158">
        <v>8</v>
      </c>
      <c r="S1158">
        <v>8628</v>
      </c>
    </row>
    <row r="1159" spans="13:19" x14ac:dyDescent="0.3">
      <c r="M1159" t="str">
        <f>Data_Cleaned!B1159</f>
        <v>No</v>
      </c>
      <c r="N1159">
        <f>Data_Cleaned!S1159</f>
        <v>4148</v>
      </c>
      <c r="R1159">
        <v>7</v>
      </c>
      <c r="S1159">
        <v>2867</v>
      </c>
    </row>
    <row r="1160" spans="13:19" x14ac:dyDescent="0.3">
      <c r="M1160" t="str">
        <f>Data_Cleaned!B1160</f>
        <v>No</v>
      </c>
      <c r="N1160">
        <f>Data_Cleaned!S1160</f>
        <v>5768</v>
      </c>
      <c r="R1160">
        <v>5</v>
      </c>
      <c r="S1160">
        <v>5373</v>
      </c>
    </row>
    <row r="1161" spans="13:19" x14ac:dyDescent="0.3">
      <c r="M1161" t="str">
        <f>Data_Cleaned!B1161</f>
        <v>No</v>
      </c>
      <c r="N1161">
        <f>Data_Cleaned!S1161</f>
        <v>5042</v>
      </c>
      <c r="R1161">
        <v>5</v>
      </c>
      <c r="S1161">
        <v>6667</v>
      </c>
    </row>
    <row r="1162" spans="13:19" x14ac:dyDescent="0.3">
      <c r="M1162" t="str">
        <f>Data_Cleaned!B1162</f>
        <v>No</v>
      </c>
      <c r="N1162">
        <f>Data_Cleaned!S1162</f>
        <v>5770</v>
      </c>
      <c r="R1162">
        <v>10</v>
      </c>
      <c r="S1162">
        <v>5003</v>
      </c>
    </row>
    <row r="1163" spans="13:19" x14ac:dyDescent="0.3">
      <c r="M1163" t="str">
        <f>Data_Cleaned!B1163</f>
        <v>No</v>
      </c>
      <c r="N1163">
        <f>Data_Cleaned!S1163</f>
        <v>7756</v>
      </c>
      <c r="R1163">
        <v>1</v>
      </c>
      <c r="S1163">
        <v>2858</v>
      </c>
    </row>
    <row r="1164" spans="13:19" x14ac:dyDescent="0.3">
      <c r="M1164" t="str">
        <f>Data_Cleaned!B1164</f>
        <v>Yes</v>
      </c>
      <c r="N1164">
        <f>Data_Cleaned!S1164</f>
        <v>10306</v>
      </c>
      <c r="R1164">
        <v>10</v>
      </c>
      <c r="S1164">
        <v>5204</v>
      </c>
    </row>
    <row r="1165" spans="13:19" x14ac:dyDescent="0.3">
      <c r="M1165" t="str">
        <f>Data_Cleaned!B1165</f>
        <v>No</v>
      </c>
      <c r="N1165">
        <f>Data_Cleaned!S1165</f>
        <v>3936</v>
      </c>
      <c r="R1165">
        <v>7</v>
      </c>
      <c r="S1165">
        <v>4105</v>
      </c>
    </row>
    <row r="1166" spans="13:19" x14ac:dyDescent="0.3">
      <c r="M1166" t="str">
        <f>Data_Cleaned!B1166</f>
        <v>No</v>
      </c>
      <c r="N1166">
        <f>Data_Cleaned!S1166</f>
        <v>7945</v>
      </c>
      <c r="R1166">
        <v>1</v>
      </c>
      <c r="S1166">
        <v>9679</v>
      </c>
    </row>
    <row r="1167" spans="13:19" x14ac:dyDescent="0.3">
      <c r="M1167" t="str">
        <f>Data_Cleaned!B1167</f>
        <v>No</v>
      </c>
      <c r="N1167">
        <f>Data_Cleaned!S1167</f>
        <v>5743</v>
      </c>
      <c r="R1167">
        <v>4</v>
      </c>
      <c r="S1167">
        <v>2897</v>
      </c>
    </row>
    <row r="1168" spans="13:19" x14ac:dyDescent="0.3">
      <c r="M1168" t="str">
        <f>Data_Cleaned!B1168</f>
        <v>No</v>
      </c>
      <c r="N1168">
        <f>Data_Cleaned!S1168</f>
        <v>15202</v>
      </c>
      <c r="R1168">
        <v>9</v>
      </c>
      <c r="S1168">
        <v>5968</v>
      </c>
    </row>
    <row r="1169" spans="13:19" x14ac:dyDescent="0.3">
      <c r="M1169" t="str">
        <f>Data_Cleaned!B1169</f>
        <v>Yes</v>
      </c>
      <c r="N1169">
        <f>Data_Cleaned!S1169</f>
        <v>5440</v>
      </c>
      <c r="R1169">
        <v>10</v>
      </c>
      <c r="S1169">
        <v>7510</v>
      </c>
    </row>
    <row r="1170" spans="13:19" x14ac:dyDescent="0.3">
      <c r="M1170" t="str">
        <f>Data_Cleaned!B1170</f>
        <v>No</v>
      </c>
      <c r="N1170">
        <f>Data_Cleaned!S1170</f>
        <v>3760</v>
      </c>
      <c r="R1170">
        <v>6</v>
      </c>
      <c r="S1170">
        <v>2991</v>
      </c>
    </row>
    <row r="1171" spans="13:19" x14ac:dyDescent="0.3">
      <c r="M1171" t="str">
        <f>Data_Cleaned!B1171</f>
        <v>No</v>
      </c>
      <c r="N1171">
        <f>Data_Cleaned!S1171</f>
        <v>3517</v>
      </c>
      <c r="R1171">
        <v>10</v>
      </c>
      <c r="S1171">
        <v>19636</v>
      </c>
    </row>
    <row r="1172" spans="13:19" x14ac:dyDescent="0.3">
      <c r="M1172" t="str">
        <f>Data_Cleaned!B1172</f>
        <v>No</v>
      </c>
      <c r="N1172">
        <f>Data_Cleaned!S1172</f>
        <v>2580</v>
      </c>
      <c r="R1172">
        <v>1</v>
      </c>
      <c r="S1172">
        <v>1129</v>
      </c>
    </row>
    <row r="1173" spans="13:19" x14ac:dyDescent="0.3">
      <c r="M1173" t="str">
        <f>Data_Cleaned!B1173</f>
        <v>Yes</v>
      </c>
      <c r="N1173">
        <f>Data_Cleaned!S1173</f>
        <v>2166</v>
      </c>
      <c r="R1173">
        <v>20</v>
      </c>
      <c r="S1173">
        <v>13341</v>
      </c>
    </row>
    <row r="1174" spans="13:19" x14ac:dyDescent="0.3">
      <c r="M1174" t="str">
        <f>Data_Cleaned!B1174</f>
        <v>No</v>
      </c>
      <c r="N1174">
        <f>Data_Cleaned!S1174</f>
        <v>5869</v>
      </c>
      <c r="R1174">
        <v>20</v>
      </c>
      <c r="S1174">
        <v>4332</v>
      </c>
    </row>
    <row r="1175" spans="13:19" x14ac:dyDescent="0.3">
      <c r="M1175" t="str">
        <f>Data_Cleaned!B1175</f>
        <v>No</v>
      </c>
      <c r="N1175">
        <f>Data_Cleaned!S1175</f>
        <v>8008</v>
      </c>
      <c r="R1175">
        <v>11</v>
      </c>
      <c r="S1175">
        <v>11031</v>
      </c>
    </row>
    <row r="1176" spans="13:19" x14ac:dyDescent="0.3">
      <c r="M1176" t="str">
        <f>Data_Cleaned!B1176</f>
        <v>No</v>
      </c>
      <c r="N1176">
        <f>Data_Cleaned!S1176</f>
        <v>5206</v>
      </c>
      <c r="R1176">
        <v>5</v>
      </c>
      <c r="S1176">
        <v>4440</v>
      </c>
    </row>
    <row r="1177" spans="13:19" x14ac:dyDescent="0.3">
      <c r="M1177" t="str">
        <f>Data_Cleaned!B1177</f>
        <v>No</v>
      </c>
      <c r="N1177">
        <f>Data_Cleaned!S1177</f>
        <v>5295</v>
      </c>
      <c r="R1177">
        <v>4</v>
      </c>
      <c r="S1177">
        <v>4617</v>
      </c>
    </row>
    <row r="1178" spans="13:19" x14ac:dyDescent="0.3">
      <c r="M1178" t="str">
        <f>Data_Cleaned!B1178</f>
        <v>No</v>
      </c>
      <c r="N1178">
        <f>Data_Cleaned!S1178</f>
        <v>16413</v>
      </c>
      <c r="R1178">
        <v>5</v>
      </c>
      <c r="S1178">
        <v>2647</v>
      </c>
    </row>
    <row r="1179" spans="13:19" x14ac:dyDescent="0.3">
      <c r="M1179" t="str">
        <f>Data_Cleaned!B1179</f>
        <v>No</v>
      </c>
      <c r="N1179">
        <f>Data_Cleaned!S1179</f>
        <v>13269</v>
      </c>
      <c r="R1179">
        <v>10</v>
      </c>
      <c r="S1179">
        <v>6323</v>
      </c>
    </row>
    <row r="1180" spans="13:19" x14ac:dyDescent="0.3">
      <c r="M1180" t="str">
        <f>Data_Cleaned!B1180</f>
        <v>No</v>
      </c>
      <c r="N1180">
        <f>Data_Cleaned!S1180</f>
        <v>2783</v>
      </c>
      <c r="R1180">
        <v>11</v>
      </c>
      <c r="S1180">
        <v>5677</v>
      </c>
    </row>
    <row r="1181" spans="13:19" x14ac:dyDescent="0.3">
      <c r="M1181" t="str">
        <f>Data_Cleaned!B1181</f>
        <v>No</v>
      </c>
      <c r="N1181">
        <f>Data_Cleaned!S1181</f>
        <v>5433</v>
      </c>
      <c r="R1181">
        <v>2</v>
      </c>
      <c r="S1181">
        <v>2187</v>
      </c>
    </row>
    <row r="1182" spans="13:19" x14ac:dyDescent="0.3">
      <c r="M1182" t="str">
        <f>Data_Cleaned!B1182</f>
        <v>No</v>
      </c>
      <c r="N1182">
        <f>Data_Cleaned!S1182</f>
        <v>2013</v>
      </c>
      <c r="R1182">
        <v>12</v>
      </c>
      <c r="S1182">
        <v>3748</v>
      </c>
    </row>
    <row r="1183" spans="13:19" x14ac:dyDescent="0.3">
      <c r="M1183" t="str">
        <f>Data_Cleaned!B1183</f>
        <v>No</v>
      </c>
      <c r="N1183">
        <f>Data_Cleaned!S1183</f>
        <v>13966</v>
      </c>
      <c r="R1183">
        <v>2</v>
      </c>
      <c r="S1183">
        <v>3977</v>
      </c>
    </row>
    <row r="1184" spans="13:19" x14ac:dyDescent="0.3">
      <c r="M1184" t="str">
        <f>Data_Cleaned!B1184</f>
        <v>No</v>
      </c>
      <c r="N1184">
        <f>Data_Cleaned!S1184</f>
        <v>4374</v>
      </c>
      <c r="R1184">
        <v>17</v>
      </c>
      <c r="S1184">
        <v>8633</v>
      </c>
    </row>
    <row r="1185" spans="13:19" x14ac:dyDescent="0.3">
      <c r="M1185" t="str">
        <f>Data_Cleaned!B1185</f>
        <v>No</v>
      </c>
      <c r="N1185">
        <f>Data_Cleaned!S1185</f>
        <v>6842</v>
      </c>
      <c r="R1185">
        <v>1</v>
      </c>
      <c r="S1185">
        <v>2008</v>
      </c>
    </row>
    <row r="1186" spans="13:19" x14ac:dyDescent="0.3">
      <c r="M1186" t="str">
        <f>Data_Cleaned!B1186</f>
        <v>No</v>
      </c>
      <c r="N1186">
        <f>Data_Cleaned!S1186</f>
        <v>17426</v>
      </c>
      <c r="R1186">
        <v>15</v>
      </c>
      <c r="S1186">
        <v>4440</v>
      </c>
    </row>
    <row r="1187" spans="13:19" x14ac:dyDescent="0.3">
      <c r="M1187" t="str">
        <f>Data_Cleaned!B1187</f>
        <v>No</v>
      </c>
      <c r="N1187">
        <f>Data_Cleaned!S1187</f>
        <v>17603</v>
      </c>
      <c r="R1187">
        <v>2</v>
      </c>
      <c r="S1187">
        <v>3067</v>
      </c>
    </row>
    <row r="1188" spans="13:19" x14ac:dyDescent="0.3">
      <c r="M1188" t="str">
        <f>Data_Cleaned!B1188</f>
        <v>Yes</v>
      </c>
      <c r="N1188">
        <f>Data_Cleaned!S1188</f>
        <v>4581</v>
      </c>
      <c r="R1188">
        <v>8</v>
      </c>
      <c r="S1188">
        <v>5321</v>
      </c>
    </row>
    <row r="1189" spans="13:19" x14ac:dyDescent="0.3">
      <c r="M1189" t="str">
        <f>Data_Cleaned!B1189</f>
        <v>No</v>
      </c>
      <c r="N1189">
        <f>Data_Cleaned!S1189</f>
        <v>4735</v>
      </c>
      <c r="R1189">
        <v>4</v>
      </c>
      <c r="S1189">
        <v>5410</v>
      </c>
    </row>
    <row r="1190" spans="13:19" x14ac:dyDescent="0.3">
      <c r="M1190" t="str">
        <f>Data_Cleaned!B1190</f>
        <v>No</v>
      </c>
      <c r="N1190">
        <f>Data_Cleaned!S1190</f>
        <v>4187</v>
      </c>
      <c r="R1190">
        <v>5</v>
      </c>
      <c r="S1190">
        <v>2782</v>
      </c>
    </row>
    <row r="1191" spans="13:19" x14ac:dyDescent="0.3">
      <c r="M1191" t="str">
        <f>Data_Cleaned!B1191</f>
        <v>No</v>
      </c>
      <c r="N1191">
        <f>Data_Cleaned!S1191</f>
        <v>5505</v>
      </c>
      <c r="R1191">
        <v>13</v>
      </c>
      <c r="S1191">
        <v>11957</v>
      </c>
    </row>
    <row r="1192" spans="13:19" x14ac:dyDescent="0.3">
      <c r="M1192" t="str">
        <f>Data_Cleaned!B1192</f>
        <v>No</v>
      </c>
      <c r="N1192">
        <f>Data_Cleaned!S1192</f>
        <v>5470</v>
      </c>
      <c r="R1192">
        <v>2</v>
      </c>
      <c r="S1192">
        <v>2660</v>
      </c>
    </row>
    <row r="1193" spans="13:19" x14ac:dyDescent="0.3">
      <c r="M1193" t="str">
        <f>Data_Cleaned!B1193</f>
        <v>No</v>
      </c>
      <c r="N1193">
        <f>Data_Cleaned!S1193</f>
        <v>5476</v>
      </c>
      <c r="R1193">
        <v>3</v>
      </c>
      <c r="S1193">
        <v>3375</v>
      </c>
    </row>
    <row r="1194" spans="13:19" x14ac:dyDescent="0.3">
      <c r="M1194" t="str">
        <f>Data_Cleaned!B1194</f>
        <v>No</v>
      </c>
      <c r="N1194">
        <f>Data_Cleaned!S1194</f>
        <v>2587</v>
      </c>
      <c r="R1194">
        <v>10</v>
      </c>
      <c r="S1194">
        <v>5098</v>
      </c>
    </row>
    <row r="1195" spans="13:19" x14ac:dyDescent="0.3">
      <c r="M1195" t="str">
        <f>Data_Cleaned!B1195</f>
        <v>No</v>
      </c>
      <c r="N1195">
        <f>Data_Cleaned!S1195</f>
        <v>2440</v>
      </c>
      <c r="R1195">
        <v>9</v>
      </c>
      <c r="S1195">
        <v>4878</v>
      </c>
    </row>
    <row r="1196" spans="13:19" x14ac:dyDescent="0.3">
      <c r="M1196" t="str">
        <f>Data_Cleaned!B1196</f>
        <v>No</v>
      </c>
      <c r="N1196">
        <f>Data_Cleaned!S1196</f>
        <v>15972</v>
      </c>
      <c r="R1196">
        <v>6</v>
      </c>
      <c r="S1196">
        <v>2837</v>
      </c>
    </row>
    <row r="1197" spans="13:19" x14ac:dyDescent="0.3">
      <c r="M1197" t="str">
        <f>Data_Cleaned!B1197</f>
        <v>No</v>
      </c>
      <c r="N1197">
        <f>Data_Cleaned!S1197</f>
        <v>15379</v>
      </c>
      <c r="R1197">
        <v>1</v>
      </c>
      <c r="S1197">
        <v>2406</v>
      </c>
    </row>
    <row r="1198" spans="13:19" x14ac:dyDescent="0.3">
      <c r="M1198" t="str">
        <f>Data_Cleaned!B1198</f>
        <v>No</v>
      </c>
      <c r="N1198">
        <f>Data_Cleaned!S1198</f>
        <v>7082</v>
      </c>
      <c r="R1198">
        <v>2</v>
      </c>
      <c r="S1198">
        <v>2269</v>
      </c>
    </row>
    <row r="1199" spans="13:19" x14ac:dyDescent="0.3">
      <c r="M1199" t="str">
        <f>Data_Cleaned!B1199</f>
        <v>No</v>
      </c>
      <c r="N1199">
        <f>Data_Cleaned!S1199</f>
        <v>2728</v>
      </c>
      <c r="R1199">
        <v>7</v>
      </c>
      <c r="S1199">
        <v>4108</v>
      </c>
    </row>
    <row r="1200" spans="13:19" x14ac:dyDescent="0.3">
      <c r="M1200" t="str">
        <f>Data_Cleaned!B1200</f>
        <v>No</v>
      </c>
      <c r="N1200">
        <f>Data_Cleaned!S1200</f>
        <v>5368</v>
      </c>
      <c r="R1200">
        <v>18</v>
      </c>
      <c r="S1200">
        <v>13206</v>
      </c>
    </row>
    <row r="1201" spans="13:19" x14ac:dyDescent="0.3">
      <c r="M1201" t="str">
        <f>Data_Cleaned!B1201</f>
        <v>No</v>
      </c>
      <c r="N1201">
        <f>Data_Cleaned!S1201</f>
        <v>5347</v>
      </c>
      <c r="R1201">
        <v>14</v>
      </c>
      <c r="S1201">
        <v>10422</v>
      </c>
    </row>
    <row r="1202" spans="13:19" x14ac:dyDescent="0.3">
      <c r="M1202" t="str">
        <f>Data_Cleaned!B1202</f>
        <v>No</v>
      </c>
      <c r="N1202">
        <f>Data_Cleaned!S1202</f>
        <v>3195</v>
      </c>
      <c r="R1202">
        <v>16</v>
      </c>
      <c r="S1202">
        <v>13744</v>
      </c>
    </row>
    <row r="1203" spans="13:19" x14ac:dyDescent="0.3">
      <c r="M1203" t="str">
        <f>Data_Cleaned!B1203</f>
        <v>Yes</v>
      </c>
      <c r="N1203">
        <f>Data_Cleaned!S1203</f>
        <v>3989</v>
      </c>
      <c r="R1203">
        <v>5</v>
      </c>
      <c r="S1203">
        <v>4907</v>
      </c>
    </row>
    <row r="1204" spans="13:19" x14ac:dyDescent="0.3">
      <c r="M1204" t="str">
        <f>Data_Cleaned!B1204</f>
        <v>No</v>
      </c>
      <c r="N1204">
        <f>Data_Cleaned!S1204</f>
        <v>3306</v>
      </c>
      <c r="R1204">
        <v>9</v>
      </c>
      <c r="S1204">
        <v>3482</v>
      </c>
    </row>
    <row r="1205" spans="13:19" x14ac:dyDescent="0.3">
      <c r="M1205" t="str">
        <f>Data_Cleaned!B1205</f>
        <v>No</v>
      </c>
      <c r="N1205">
        <f>Data_Cleaned!S1205</f>
        <v>7005</v>
      </c>
      <c r="R1205">
        <v>4</v>
      </c>
      <c r="S1205">
        <v>2436</v>
      </c>
    </row>
    <row r="1206" spans="13:19" x14ac:dyDescent="0.3">
      <c r="M1206" t="str">
        <f>Data_Cleaned!B1206</f>
        <v>Yes</v>
      </c>
      <c r="N1206">
        <f>Data_Cleaned!S1206</f>
        <v>2655</v>
      </c>
      <c r="R1206">
        <v>2</v>
      </c>
      <c r="S1206">
        <v>2380</v>
      </c>
    </row>
    <row r="1207" spans="13:19" x14ac:dyDescent="0.3">
      <c r="M1207" t="str">
        <f>Data_Cleaned!B1207</f>
        <v>Yes</v>
      </c>
      <c r="N1207">
        <f>Data_Cleaned!S1207</f>
        <v>1393</v>
      </c>
      <c r="R1207">
        <v>6</v>
      </c>
      <c r="S1207">
        <v>19431</v>
      </c>
    </row>
    <row r="1208" spans="13:19" x14ac:dyDescent="0.3">
      <c r="M1208" t="str">
        <f>Data_Cleaned!B1208</f>
        <v>No</v>
      </c>
      <c r="N1208">
        <f>Data_Cleaned!S1208</f>
        <v>2570</v>
      </c>
      <c r="R1208">
        <v>9</v>
      </c>
      <c r="S1208">
        <v>7644</v>
      </c>
    </row>
    <row r="1209" spans="13:19" x14ac:dyDescent="0.3">
      <c r="M1209" t="str">
        <f>Data_Cleaned!B1209</f>
        <v>No</v>
      </c>
      <c r="N1209">
        <f>Data_Cleaned!S1209</f>
        <v>3537</v>
      </c>
      <c r="R1209">
        <v>4</v>
      </c>
      <c r="S1209">
        <v>5131</v>
      </c>
    </row>
    <row r="1210" spans="13:19" x14ac:dyDescent="0.3">
      <c r="M1210" t="str">
        <f>Data_Cleaned!B1210</f>
        <v>No</v>
      </c>
      <c r="N1210">
        <f>Data_Cleaned!S1210</f>
        <v>3986</v>
      </c>
      <c r="R1210">
        <v>13</v>
      </c>
      <c r="S1210">
        <v>6306</v>
      </c>
    </row>
    <row r="1211" spans="13:19" x14ac:dyDescent="0.3">
      <c r="M1211" t="str">
        <f>Data_Cleaned!B1211</f>
        <v>No</v>
      </c>
      <c r="N1211">
        <f>Data_Cleaned!S1211</f>
        <v>10883</v>
      </c>
      <c r="R1211">
        <v>22</v>
      </c>
      <c r="S1211">
        <v>18880</v>
      </c>
    </row>
    <row r="1212" spans="13:19" x14ac:dyDescent="0.3">
      <c r="M1212" t="str">
        <f>Data_Cleaned!B1212</f>
        <v>No</v>
      </c>
      <c r="N1212">
        <f>Data_Cleaned!S1212</f>
        <v>2028</v>
      </c>
      <c r="R1212">
        <v>20</v>
      </c>
      <c r="S1212">
        <v>13570</v>
      </c>
    </row>
    <row r="1213" spans="13:19" x14ac:dyDescent="0.3">
      <c r="M1213" t="str">
        <f>Data_Cleaned!B1213</f>
        <v>No</v>
      </c>
      <c r="N1213">
        <f>Data_Cleaned!S1213</f>
        <v>9525</v>
      </c>
      <c r="R1213">
        <v>8</v>
      </c>
      <c r="S1213">
        <v>6712</v>
      </c>
    </row>
    <row r="1214" spans="13:19" x14ac:dyDescent="0.3">
      <c r="M1214" t="str">
        <f>Data_Cleaned!B1214</f>
        <v>No</v>
      </c>
      <c r="N1214">
        <f>Data_Cleaned!S1214</f>
        <v>2929</v>
      </c>
      <c r="R1214">
        <v>15</v>
      </c>
      <c r="S1214">
        <v>5406</v>
      </c>
    </row>
    <row r="1215" spans="13:19" x14ac:dyDescent="0.3">
      <c r="M1215" t="str">
        <f>Data_Cleaned!B1215</f>
        <v>Yes</v>
      </c>
      <c r="N1215">
        <f>Data_Cleaned!S1215</f>
        <v>2275</v>
      </c>
      <c r="R1215">
        <v>5</v>
      </c>
      <c r="S1215">
        <v>8938</v>
      </c>
    </row>
    <row r="1216" spans="13:19" x14ac:dyDescent="0.3">
      <c r="M1216" t="str">
        <f>Data_Cleaned!B1216</f>
        <v>No</v>
      </c>
      <c r="N1216">
        <f>Data_Cleaned!S1216</f>
        <v>7879</v>
      </c>
      <c r="R1216">
        <v>4</v>
      </c>
      <c r="S1216">
        <v>2439</v>
      </c>
    </row>
    <row r="1217" spans="13:19" x14ac:dyDescent="0.3">
      <c r="M1217" t="str">
        <f>Data_Cleaned!B1217</f>
        <v>No</v>
      </c>
      <c r="N1217">
        <f>Data_Cleaned!S1217</f>
        <v>4930</v>
      </c>
      <c r="R1217">
        <v>9</v>
      </c>
      <c r="S1217">
        <v>8837</v>
      </c>
    </row>
    <row r="1218" spans="13:19" x14ac:dyDescent="0.3">
      <c r="M1218" t="str">
        <f>Data_Cleaned!B1218</f>
        <v>No</v>
      </c>
      <c r="N1218">
        <f>Data_Cleaned!S1218</f>
        <v>7847</v>
      </c>
      <c r="R1218">
        <v>10</v>
      </c>
      <c r="S1218">
        <v>5343</v>
      </c>
    </row>
    <row r="1219" spans="13:19" x14ac:dyDescent="0.3">
      <c r="M1219" t="str">
        <f>Data_Cleaned!B1219</f>
        <v>No</v>
      </c>
      <c r="N1219">
        <f>Data_Cleaned!S1219</f>
        <v>4401</v>
      </c>
      <c r="R1219">
        <v>6</v>
      </c>
      <c r="S1219">
        <v>6652</v>
      </c>
    </row>
    <row r="1220" spans="13:19" x14ac:dyDescent="0.3">
      <c r="M1220" t="str">
        <f>Data_Cleaned!B1220</f>
        <v>No</v>
      </c>
      <c r="N1220">
        <f>Data_Cleaned!S1220</f>
        <v>9241</v>
      </c>
      <c r="R1220">
        <v>5</v>
      </c>
      <c r="S1220">
        <v>4850</v>
      </c>
    </row>
    <row r="1221" spans="13:19" x14ac:dyDescent="0.3">
      <c r="M1221" t="str">
        <f>Data_Cleaned!B1221</f>
        <v>No</v>
      </c>
      <c r="N1221">
        <f>Data_Cleaned!S1221</f>
        <v>2974</v>
      </c>
      <c r="R1221">
        <v>2</v>
      </c>
      <c r="S1221">
        <v>2809</v>
      </c>
    </row>
    <row r="1222" spans="13:19" x14ac:dyDescent="0.3">
      <c r="M1222" t="str">
        <f>Data_Cleaned!B1222</f>
        <v>No</v>
      </c>
      <c r="N1222">
        <f>Data_Cleaned!S1222</f>
        <v>4502</v>
      </c>
      <c r="R1222">
        <v>10</v>
      </c>
      <c r="S1222">
        <v>5689</v>
      </c>
    </row>
    <row r="1223" spans="13:19" x14ac:dyDescent="0.3">
      <c r="M1223" t="str">
        <f>Data_Cleaned!B1223</f>
        <v>No</v>
      </c>
      <c r="N1223">
        <f>Data_Cleaned!S1223</f>
        <v>10748</v>
      </c>
      <c r="R1223">
        <v>5</v>
      </c>
      <c r="S1223">
        <v>2001</v>
      </c>
    </row>
    <row r="1224" spans="13:19" x14ac:dyDescent="0.3">
      <c r="M1224" t="str">
        <f>Data_Cleaned!B1224</f>
        <v>Yes</v>
      </c>
      <c r="N1224">
        <f>Data_Cleaned!S1224</f>
        <v>1555</v>
      </c>
      <c r="R1224">
        <v>4</v>
      </c>
      <c r="S1224">
        <v>2977</v>
      </c>
    </row>
    <row r="1225" spans="13:19" x14ac:dyDescent="0.3">
      <c r="M1225" t="str">
        <f>Data_Cleaned!B1225</f>
        <v>Yes</v>
      </c>
      <c r="N1225">
        <f>Data_Cleaned!S1225</f>
        <v>12936</v>
      </c>
      <c r="R1225">
        <v>4</v>
      </c>
      <c r="S1225">
        <v>4025</v>
      </c>
    </row>
    <row r="1226" spans="13:19" x14ac:dyDescent="0.3">
      <c r="M1226" t="str">
        <f>Data_Cleaned!B1226</f>
        <v>No</v>
      </c>
      <c r="N1226">
        <f>Data_Cleaned!S1226</f>
        <v>2305</v>
      </c>
      <c r="R1226">
        <v>5</v>
      </c>
      <c r="S1226">
        <v>3785</v>
      </c>
    </row>
    <row r="1227" spans="13:19" x14ac:dyDescent="0.3">
      <c r="M1227" t="str">
        <f>Data_Cleaned!B1227</f>
        <v>No</v>
      </c>
      <c r="N1227">
        <f>Data_Cleaned!S1227</f>
        <v>16704</v>
      </c>
      <c r="R1227">
        <v>20</v>
      </c>
      <c r="S1227">
        <v>12031</v>
      </c>
    </row>
    <row r="1228" spans="13:19" x14ac:dyDescent="0.3">
      <c r="M1228" t="str">
        <f>Data_Cleaned!B1228</f>
        <v>No</v>
      </c>
      <c r="N1228">
        <f>Data_Cleaned!S1228</f>
        <v>3433</v>
      </c>
      <c r="R1228">
        <v>9</v>
      </c>
      <c r="S1228">
        <v>9936</v>
      </c>
    </row>
    <row r="1229" spans="13:19" x14ac:dyDescent="0.3">
      <c r="M1229" t="str">
        <f>Data_Cleaned!B1229</f>
        <v>No</v>
      </c>
      <c r="N1229">
        <f>Data_Cleaned!S1229</f>
        <v>3477</v>
      </c>
      <c r="R1229">
        <v>4</v>
      </c>
      <c r="S1229">
        <v>2966</v>
      </c>
    </row>
    <row r="1230" spans="13:19" x14ac:dyDescent="0.3">
      <c r="M1230" t="str">
        <f>Data_Cleaned!B1230</f>
        <v>No</v>
      </c>
      <c r="N1230">
        <f>Data_Cleaned!S1230</f>
        <v>6430</v>
      </c>
      <c r="R1230">
        <v>5</v>
      </c>
      <c r="S1230">
        <v>2571</v>
      </c>
    </row>
    <row r="1231" spans="13:19" x14ac:dyDescent="0.3">
      <c r="M1231" t="str">
        <f>Data_Cleaned!B1231</f>
        <v>No</v>
      </c>
      <c r="N1231">
        <f>Data_Cleaned!S1231</f>
        <v>6516</v>
      </c>
      <c r="R1231">
        <v>7</v>
      </c>
      <c r="S1231">
        <v>9991</v>
      </c>
    </row>
    <row r="1232" spans="13:19" x14ac:dyDescent="0.3">
      <c r="M1232" t="str">
        <f>Data_Cleaned!B1232</f>
        <v>No</v>
      </c>
      <c r="N1232">
        <f>Data_Cleaned!S1232</f>
        <v>3907</v>
      </c>
      <c r="R1232">
        <v>6</v>
      </c>
      <c r="S1232">
        <v>6142</v>
      </c>
    </row>
    <row r="1233" spans="13:19" x14ac:dyDescent="0.3">
      <c r="M1233" t="str">
        <f>Data_Cleaned!B1233</f>
        <v>No</v>
      </c>
      <c r="N1233">
        <f>Data_Cleaned!S1233</f>
        <v>5562</v>
      </c>
      <c r="R1233">
        <v>9</v>
      </c>
      <c r="S1233">
        <v>5390</v>
      </c>
    </row>
    <row r="1234" spans="13:19" x14ac:dyDescent="0.3">
      <c r="M1234" t="str">
        <f>Data_Cleaned!B1234</f>
        <v>No</v>
      </c>
      <c r="N1234">
        <f>Data_Cleaned!S1234</f>
        <v>6883</v>
      </c>
      <c r="R1234">
        <v>4</v>
      </c>
      <c r="S1234">
        <v>4404</v>
      </c>
    </row>
    <row r="1235" spans="13:19" x14ac:dyDescent="0.3">
      <c r="M1235" t="str">
        <f>Data_Cleaned!B1235</f>
        <v>No</v>
      </c>
      <c r="N1235">
        <f>Data_Cleaned!S1235</f>
        <v>2862</v>
      </c>
    </row>
    <row r="1236" spans="13:19" x14ac:dyDescent="0.3">
      <c r="M1236" t="str">
        <f>Data_Cleaned!B1236</f>
        <v>No</v>
      </c>
      <c r="N1236">
        <f>Data_Cleaned!S1236</f>
        <v>4978</v>
      </c>
    </row>
    <row r="1237" spans="13:19" x14ac:dyDescent="0.3">
      <c r="M1237" t="str">
        <f>Data_Cleaned!B1237</f>
        <v>No</v>
      </c>
      <c r="N1237">
        <f>Data_Cleaned!S1237</f>
        <v>10368</v>
      </c>
    </row>
    <row r="1238" spans="13:19" x14ac:dyDescent="0.3">
      <c r="M1238" t="str">
        <f>Data_Cleaned!B1238</f>
        <v>Yes</v>
      </c>
      <c r="N1238">
        <f>Data_Cleaned!S1238</f>
        <v>6134</v>
      </c>
    </row>
    <row r="1239" spans="13:19" x14ac:dyDescent="0.3">
      <c r="M1239" t="str">
        <f>Data_Cleaned!B1239</f>
        <v>Yes</v>
      </c>
      <c r="N1239">
        <f>Data_Cleaned!S1239</f>
        <v>6735</v>
      </c>
    </row>
    <row r="1240" spans="13:19" x14ac:dyDescent="0.3">
      <c r="M1240" t="str">
        <f>Data_Cleaned!B1240</f>
        <v>No</v>
      </c>
      <c r="N1240">
        <f>Data_Cleaned!S1240</f>
        <v>3295</v>
      </c>
    </row>
    <row r="1241" spans="13:19" x14ac:dyDescent="0.3">
      <c r="M1241" t="str">
        <f>Data_Cleaned!B1241</f>
        <v>No</v>
      </c>
      <c r="N1241">
        <f>Data_Cleaned!S1241</f>
        <v>5238</v>
      </c>
    </row>
    <row r="1242" spans="13:19" x14ac:dyDescent="0.3">
      <c r="M1242" t="str">
        <f>Data_Cleaned!B1242</f>
        <v>No</v>
      </c>
      <c r="N1242">
        <f>Data_Cleaned!S1242</f>
        <v>6472</v>
      </c>
    </row>
    <row r="1243" spans="13:19" x14ac:dyDescent="0.3">
      <c r="M1243" t="str">
        <f>Data_Cleaned!B1243</f>
        <v>No</v>
      </c>
      <c r="N1243">
        <f>Data_Cleaned!S1243</f>
        <v>9610</v>
      </c>
    </row>
    <row r="1244" spans="13:19" x14ac:dyDescent="0.3">
      <c r="M1244" t="str">
        <f>Data_Cleaned!B1244</f>
        <v>No</v>
      </c>
      <c r="N1244">
        <f>Data_Cleaned!S1244</f>
        <v>19833</v>
      </c>
    </row>
    <row r="1245" spans="13:19" x14ac:dyDescent="0.3">
      <c r="M1245" t="str">
        <f>Data_Cleaned!B1245</f>
        <v>No</v>
      </c>
      <c r="N1245">
        <f>Data_Cleaned!S1245</f>
        <v>9756</v>
      </c>
    </row>
    <row r="1246" spans="13:19" x14ac:dyDescent="0.3">
      <c r="M1246" t="str">
        <f>Data_Cleaned!B1246</f>
        <v>No</v>
      </c>
      <c r="N1246">
        <f>Data_Cleaned!S1246</f>
        <v>4968</v>
      </c>
    </row>
    <row r="1247" spans="13:19" x14ac:dyDescent="0.3">
      <c r="M1247" t="str">
        <f>Data_Cleaned!B1247</f>
        <v>No</v>
      </c>
      <c r="N1247">
        <f>Data_Cleaned!S1247</f>
        <v>2145</v>
      </c>
    </row>
    <row r="1248" spans="13:19" x14ac:dyDescent="0.3">
      <c r="M1248" t="str">
        <f>Data_Cleaned!B1248</f>
        <v>Yes</v>
      </c>
      <c r="N1248">
        <f>Data_Cleaned!S1248</f>
        <v>2180</v>
      </c>
    </row>
    <row r="1249" spans="13:14" x14ac:dyDescent="0.3">
      <c r="M1249" t="str">
        <f>Data_Cleaned!B1249</f>
        <v>No</v>
      </c>
      <c r="N1249">
        <f>Data_Cleaned!S1249</f>
        <v>8346</v>
      </c>
    </row>
    <row r="1250" spans="13:14" x14ac:dyDescent="0.3">
      <c r="M1250" t="str">
        <f>Data_Cleaned!B1250</f>
        <v>No</v>
      </c>
      <c r="N1250">
        <f>Data_Cleaned!S1250</f>
        <v>3445</v>
      </c>
    </row>
    <row r="1251" spans="13:14" x14ac:dyDescent="0.3">
      <c r="M1251" t="str">
        <f>Data_Cleaned!B1251</f>
        <v>Yes</v>
      </c>
      <c r="N1251">
        <f>Data_Cleaned!S1251</f>
        <v>2760</v>
      </c>
    </row>
    <row r="1252" spans="13:14" x14ac:dyDescent="0.3">
      <c r="M1252" t="str">
        <f>Data_Cleaned!B1252</f>
        <v>No</v>
      </c>
      <c r="N1252">
        <f>Data_Cleaned!S1252</f>
        <v>6294</v>
      </c>
    </row>
    <row r="1253" spans="13:14" x14ac:dyDescent="0.3">
      <c r="M1253" t="str">
        <f>Data_Cleaned!B1253</f>
        <v>No</v>
      </c>
      <c r="N1253">
        <f>Data_Cleaned!S1253</f>
        <v>7140</v>
      </c>
    </row>
    <row r="1254" spans="13:14" x14ac:dyDescent="0.3">
      <c r="M1254" t="str">
        <f>Data_Cleaned!B1254</f>
        <v>No</v>
      </c>
      <c r="N1254">
        <f>Data_Cleaned!S1254</f>
        <v>2932</v>
      </c>
    </row>
    <row r="1255" spans="13:14" x14ac:dyDescent="0.3">
      <c r="M1255" t="str">
        <f>Data_Cleaned!B1255</f>
        <v>No</v>
      </c>
      <c r="N1255">
        <f>Data_Cleaned!S1255</f>
        <v>5147</v>
      </c>
    </row>
    <row r="1256" spans="13:14" x14ac:dyDescent="0.3">
      <c r="M1256" t="str">
        <f>Data_Cleaned!B1256</f>
        <v>No</v>
      </c>
      <c r="N1256">
        <f>Data_Cleaned!S1256</f>
        <v>4507</v>
      </c>
    </row>
    <row r="1257" spans="13:14" x14ac:dyDescent="0.3">
      <c r="M1257" t="str">
        <f>Data_Cleaned!B1257</f>
        <v>Yes</v>
      </c>
      <c r="N1257">
        <f>Data_Cleaned!S1257</f>
        <v>8564</v>
      </c>
    </row>
    <row r="1258" spans="13:14" x14ac:dyDescent="0.3">
      <c r="M1258" t="str">
        <f>Data_Cleaned!B1258</f>
        <v>No</v>
      </c>
      <c r="N1258">
        <f>Data_Cleaned!S1258</f>
        <v>2468</v>
      </c>
    </row>
    <row r="1259" spans="13:14" x14ac:dyDescent="0.3">
      <c r="M1259" t="str">
        <f>Data_Cleaned!B1259</f>
        <v>Yes</v>
      </c>
      <c r="N1259">
        <f>Data_Cleaned!S1259</f>
        <v>8161</v>
      </c>
    </row>
    <row r="1260" spans="13:14" x14ac:dyDescent="0.3">
      <c r="M1260" t="str">
        <f>Data_Cleaned!B1260</f>
        <v>No</v>
      </c>
      <c r="N1260">
        <f>Data_Cleaned!S1260</f>
        <v>2109</v>
      </c>
    </row>
    <row r="1261" spans="13:14" x14ac:dyDescent="0.3">
      <c r="M1261" t="str">
        <f>Data_Cleaned!B1261</f>
        <v>No</v>
      </c>
      <c r="N1261">
        <f>Data_Cleaned!S1261</f>
        <v>5294</v>
      </c>
    </row>
    <row r="1262" spans="13:14" x14ac:dyDescent="0.3">
      <c r="M1262" t="str">
        <f>Data_Cleaned!B1262</f>
        <v>No</v>
      </c>
      <c r="N1262">
        <f>Data_Cleaned!S1262</f>
        <v>2718</v>
      </c>
    </row>
    <row r="1263" spans="13:14" x14ac:dyDescent="0.3">
      <c r="M1263" t="str">
        <f>Data_Cleaned!B1263</f>
        <v>No</v>
      </c>
      <c r="N1263">
        <f>Data_Cleaned!S1263</f>
        <v>5811</v>
      </c>
    </row>
    <row r="1264" spans="13:14" x14ac:dyDescent="0.3">
      <c r="M1264" t="str">
        <f>Data_Cleaned!B1264</f>
        <v>Yes</v>
      </c>
      <c r="N1264">
        <f>Data_Cleaned!S1264</f>
        <v>2437</v>
      </c>
    </row>
    <row r="1265" spans="13:14" x14ac:dyDescent="0.3">
      <c r="M1265" t="str">
        <f>Data_Cleaned!B1265</f>
        <v>No</v>
      </c>
      <c r="N1265">
        <f>Data_Cleaned!S1265</f>
        <v>2766</v>
      </c>
    </row>
    <row r="1266" spans="13:14" x14ac:dyDescent="0.3">
      <c r="M1266" t="str">
        <f>Data_Cleaned!B1266</f>
        <v>No</v>
      </c>
      <c r="N1266">
        <f>Data_Cleaned!S1266</f>
        <v>19038</v>
      </c>
    </row>
    <row r="1267" spans="13:14" x14ac:dyDescent="0.3">
      <c r="M1267" t="str">
        <f>Data_Cleaned!B1267</f>
        <v>No</v>
      </c>
      <c r="N1267">
        <f>Data_Cleaned!S1267</f>
        <v>3055</v>
      </c>
    </row>
    <row r="1268" spans="13:14" x14ac:dyDescent="0.3">
      <c r="M1268" t="str">
        <f>Data_Cleaned!B1268</f>
        <v>No</v>
      </c>
      <c r="N1268">
        <f>Data_Cleaned!S1268</f>
        <v>2289</v>
      </c>
    </row>
    <row r="1269" spans="13:14" x14ac:dyDescent="0.3">
      <c r="M1269" t="str">
        <f>Data_Cleaned!B1269</f>
        <v>No</v>
      </c>
      <c r="N1269">
        <f>Data_Cleaned!S1269</f>
        <v>4001</v>
      </c>
    </row>
    <row r="1270" spans="13:14" x14ac:dyDescent="0.3">
      <c r="M1270" t="str">
        <f>Data_Cleaned!B1270</f>
        <v>No</v>
      </c>
      <c r="N1270">
        <f>Data_Cleaned!S1270</f>
        <v>12965</v>
      </c>
    </row>
    <row r="1271" spans="13:14" x14ac:dyDescent="0.3">
      <c r="M1271" t="str">
        <f>Data_Cleaned!B1271</f>
        <v>No</v>
      </c>
      <c r="N1271">
        <f>Data_Cleaned!S1271</f>
        <v>3539</v>
      </c>
    </row>
    <row r="1272" spans="13:14" x14ac:dyDescent="0.3">
      <c r="M1272" t="str">
        <f>Data_Cleaned!B1272</f>
        <v>No</v>
      </c>
      <c r="N1272">
        <f>Data_Cleaned!S1272</f>
        <v>6029</v>
      </c>
    </row>
    <row r="1273" spans="13:14" x14ac:dyDescent="0.3">
      <c r="M1273" t="str">
        <f>Data_Cleaned!B1273</f>
        <v>Yes</v>
      </c>
      <c r="N1273">
        <f>Data_Cleaned!S1273</f>
        <v>2679</v>
      </c>
    </row>
    <row r="1274" spans="13:14" x14ac:dyDescent="0.3">
      <c r="M1274" t="str">
        <f>Data_Cleaned!B1274</f>
        <v>No</v>
      </c>
      <c r="N1274">
        <f>Data_Cleaned!S1274</f>
        <v>3702</v>
      </c>
    </row>
    <row r="1275" spans="13:14" x14ac:dyDescent="0.3">
      <c r="M1275" t="str">
        <f>Data_Cleaned!B1275</f>
        <v>Yes</v>
      </c>
      <c r="N1275">
        <f>Data_Cleaned!S1275</f>
        <v>2398</v>
      </c>
    </row>
    <row r="1276" spans="13:14" x14ac:dyDescent="0.3">
      <c r="M1276" t="str">
        <f>Data_Cleaned!B1276</f>
        <v>No</v>
      </c>
      <c r="N1276">
        <f>Data_Cleaned!S1276</f>
        <v>5468</v>
      </c>
    </row>
    <row r="1277" spans="13:14" x14ac:dyDescent="0.3">
      <c r="M1277" t="str">
        <f>Data_Cleaned!B1277</f>
        <v>No</v>
      </c>
      <c r="N1277">
        <f>Data_Cleaned!S1277</f>
        <v>13116</v>
      </c>
    </row>
    <row r="1278" spans="13:14" x14ac:dyDescent="0.3">
      <c r="M1278" t="str">
        <f>Data_Cleaned!B1278</f>
        <v>No</v>
      </c>
      <c r="N1278">
        <f>Data_Cleaned!S1278</f>
        <v>4189</v>
      </c>
    </row>
    <row r="1279" spans="13:14" x14ac:dyDescent="0.3">
      <c r="M1279" t="str">
        <f>Data_Cleaned!B1279</f>
        <v>No</v>
      </c>
      <c r="N1279">
        <f>Data_Cleaned!S1279</f>
        <v>19328</v>
      </c>
    </row>
    <row r="1280" spans="13:14" x14ac:dyDescent="0.3">
      <c r="M1280" t="str">
        <f>Data_Cleaned!B1280</f>
        <v>No</v>
      </c>
      <c r="N1280">
        <f>Data_Cleaned!S1280</f>
        <v>8321</v>
      </c>
    </row>
    <row r="1281" spans="13:14" x14ac:dyDescent="0.3">
      <c r="M1281" t="str">
        <f>Data_Cleaned!B1281</f>
        <v>Yes</v>
      </c>
      <c r="N1281">
        <f>Data_Cleaned!S1281</f>
        <v>2342</v>
      </c>
    </row>
    <row r="1282" spans="13:14" x14ac:dyDescent="0.3">
      <c r="M1282" t="str">
        <f>Data_Cleaned!B1282</f>
        <v>No</v>
      </c>
      <c r="N1282">
        <f>Data_Cleaned!S1282</f>
        <v>4071</v>
      </c>
    </row>
    <row r="1283" spans="13:14" x14ac:dyDescent="0.3">
      <c r="M1283" t="str">
        <f>Data_Cleaned!B1283</f>
        <v>Yes</v>
      </c>
      <c r="N1283">
        <f>Data_Cleaned!S1283</f>
        <v>5813</v>
      </c>
    </row>
    <row r="1284" spans="13:14" x14ac:dyDescent="0.3">
      <c r="M1284" t="str">
        <f>Data_Cleaned!B1284</f>
        <v>No</v>
      </c>
      <c r="N1284">
        <f>Data_Cleaned!S1284</f>
        <v>3143</v>
      </c>
    </row>
    <row r="1285" spans="13:14" x14ac:dyDescent="0.3">
      <c r="M1285" t="str">
        <f>Data_Cleaned!B1285</f>
        <v>No</v>
      </c>
      <c r="N1285">
        <f>Data_Cleaned!S1285</f>
        <v>2044</v>
      </c>
    </row>
    <row r="1286" spans="13:14" x14ac:dyDescent="0.3">
      <c r="M1286" t="str">
        <f>Data_Cleaned!B1286</f>
        <v>No</v>
      </c>
      <c r="N1286">
        <f>Data_Cleaned!S1286</f>
        <v>13464</v>
      </c>
    </row>
    <row r="1287" spans="13:14" x14ac:dyDescent="0.3">
      <c r="M1287" t="str">
        <f>Data_Cleaned!B1287</f>
        <v>No</v>
      </c>
      <c r="N1287">
        <f>Data_Cleaned!S1287</f>
        <v>7991</v>
      </c>
    </row>
    <row r="1288" spans="13:14" x14ac:dyDescent="0.3">
      <c r="M1288" t="str">
        <f>Data_Cleaned!B1288</f>
        <v>No</v>
      </c>
      <c r="N1288">
        <f>Data_Cleaned!S1288</f>
        <v>3377</v>
      </c>
    </row>
    <row r="1289" spans="13:14" x14ac:dyDescent="0.3">
      <c r="M1289" t="str">
        <f>Data_Cleaned!B1289</f>
        <v>No</v>
      </c>
      <c r="N1289">
        <f>Data_Cleaned!S1289</f>
        <v>5538</v>
      </c>
    </row>
    <row r="1290" spans="13:14" x14ac:dyDescent="0.3">
      <c r="M1290" t="str">
        <f>Data_Cleaned!B1290</f>
        <v>No</v>
      </c>
      <c r="N1290">
        <f>Data_Cleaned!S1290</f>
        <v>5762</v>
      </c>
    </row>
    <row r="1291" spans="13:14" x14ac:dyDescent="0.3">
      <c r="M1291" t="str">
        <f>Data_Cleaned!B1291</f>
        <v>No</v>
      </c>
      <c r="N1291">
        <f>Data_Cleaned!S1291</f>
        <v>2592</v>
      </c>
    </row>
    <row r="1292" spans="13:14" x14ac:dyDescent="0.3">
      <c r="M1292" t="str">
        <f>Data_Cleaned!B1292</f>
        <v>Yes</v>
      </c>
      <c r="N1292">
        <f>Data_Cleaned!S1292</f>
        <v>5346</v>
      </c>
    </row>
    <row r="1293" spans="13:14" x14ac:dyDescent="0.3">
      <c r="M1293" t="str">
        <f>Data_Cleaned!B1293</f>
        <v>Yes</v>
      </c>
      <c r="N1293">
        <f>Data_Cleaned!S1293</f>
        <v>4213</v>
      </c>
    </row>
    <row r="1294" spans="13:14" x14ac:dyDescent="0.3">
      <c r="M1294" t="str">
        <f>Data_Cleaned!B1294</f>
        <v>No</v>
      </c>
      <c r="N1294">
        <f>Data_Cleaned!S1294</f>
        <v>4127</v>
      </c>
    </row>
    <row r="1295" spans="13:14" x14ac:dyDescent="0.3">
      <c r="M1295" t="str">
        <f>Data_Cleaned!B1295</f>
        <v>No</v>
      </c>
      <c r="N1295">
        <f>Data_Cleaned!S1295</f>
        <v>2438</v>
      </c>
    </row>
    <row r="1296" spans="13:14" x14ac:dyDescent="0.3">
      <c r="M1296" t="str">
        <f>Data_Cleaned!B1296</f>
        <v>No</v>
      </c>
      <c r="N1296">
        <f>Data_Cleaned!S1296</f>
        <v>6870</v>
      </c>
    </row>
    <row r="1297" spans="13:14" x14ac:dyDescent="0.3">
      <c r="M1297" t="str">
        <f>Data_Cleaned!B1297</f>
        <v>No</v>
      </c>
      <c r="N1297">
        <f>Data_Cleaned!S1297</f>
        <v>10447</v>
      </c>
    </row>
    <row r="1298" spans="13:14" x14ac:dyDescent="0.3">
      <c r="M1298" t="str">
        <f>Data_Cleaned!B1298</f>
        <v>No</v>
      </c>
      <c r="N1298">
        <f>Data_Cleaned!S1298</f>
        <v>9667</v>
      </c>
    </row>
    <row r="1299" spans="13:14" x14ac:dyDescent="0.3">
      <c r="M1299" t="str">
        <f>Data_Cleaned!B1299</f>
        <v>Yes</v>
      </c>
      <c r="N1299">
        <f>Data_Cleaned!S1299</f>
        <v>2148</v>
      </c>
    </row>
    <row r="1300" spans="13:14" x14ac:dyDescent="0.3">
      <c r="M1300" t="str">
        <f>Data_Cleaned!B1300</f>
        <v>Yes</v>
      </c>
      <c r="N1300">
        <f>Data_Cleaned!S1300</f>
        <v>8926</v>
      </c>
    </row>
    <row r="1301" spans="13:14" x14ac:dyDescent="0.3">
      <c r="M1301" t="str">
        <f>Data_Cleaned!B1301</f>
        <v>No</v>
      </c>
      <c r="N1301">
        <f>Data_Cleaned!S1301</f>
        <v>6513</v>
      </c>
    </row>
    <row r="1302" spans="13:14" x14ac:dyDescent="0.3">
      <c r="M1302" t="str">
        <f>Data_Cleaned!B1302</f>
        <v>No</v>
      </c>
      <c r="N1302">
        <f>Data_Cleaned!S1302</f>
        <v>6799</v>
      </c>
    </row>
    <row r="1303" spans="13:14" x14ac:dyDescent="0.3">
      <c r="M1303" t="str">
        <f>Data_Cleaned!B1303</f>
        <v>No</v>
      </c>
      <c r="N1303">
        <f>Data_Cleaned!S1303</f>
        <v>16291</v>
      </c>
    </row>
    <row r="1304" spans="13:14" x14ac:dyDescent="0.3">
      <c r="M1304" t="str">
        <f>Data_Cleaned!B1304</f>
        <v>No</v>
      </c>
      <c r="N1304">
        <f>Data_Cleaned!S1304</f>
        <v>2705</v>
      </c>
    </row>
    <row r="1305" spans="13:14" x14ac:dyDescent="0.3">
      <c r="M1305" t="str">
        <f>Data_Cleaned!B1305</f>
        <v>No</v>
      </c>
      <c r="N1305">
        <f>Data_Cleaned!S1305</f>
        <v>10333</v>
      </c>
    </row>
    <row r="1306" spans="13:14" x14ac:dyDescent="0.3">
      <c r="M1306" t="str">
        <f>Data_Cleaned!B1306</f>
        <v>No</v>
      </c>
      <c r="N1306">
        <f>Data_Cleaned!S1306</f>
        <v>4448</v>
      </c>
    </row>
    <row r="1307" spans="13:14" x14ac:dyDescent="0.3">
      <c r="M1307" t="str">
        <f>Data_Cleaned!B1307</f>
        <v>No</v>
      </c>
      <c r="N1307">
        <f>Data_Cleaned!S1307</f>
        <v>6854</v>
      </c>
    </row>
    <row r="1308" spans="13:14" x14ac:dyDescent="0.3">
      <c r="M1308" t="str">
        <f>Data_Cleaned!B1308</f>
        <v>No</v>
      </c>
      <c r="N1308">
        <f>Data_Cleaned!S1308</f>
        <v>9637</v>
      </c>
    </row>
    <row r="1309" spans="13:14" x14ac:dyDescent="0.3">
      <c r="M1309" t="str">
        <f>Data_Cleaned!B1309</f>
        <v>No</v>
      </c>
      <c r="N1309">
        <f>Data_Cleaned!S1309</f>
        <v>3591</v>
      </c>
    </row>
    <row r="1310" spans="13:14" x14ac:dyDescent="0.3">
      <c r="M1310" t="str">
        <f>Data_Cleaned!B1310</f>
        <v>No</v>
      </c>
      <c r="N1310">
        <f>Data_Cleaned!S1310</f>
        <v>5405</v>
      </c>
    </row>
    <row r="1311" spans="13:14" x14ac:dyDescent="0.3">
      <c r="M1311" t="str">
        <f>Data_Cleaned!B1311</f>
        <v>No</v>
      </c>
      <c r="N1311">
        <f>Data_Cleaned!S1311</f>
        <v>4684</v>
      </c>
    </row>
    <row r="1312" spans="13:14" x14ac:dyDescent="0.3">
      <c r="M1312" t="str">
        <f>Data_Cleaned!B1312</f>
        <v>No</v>
      </c>
      <c r="N1312">
        <f>Data_Cleaned!S1312</f>
        <v>15787</v>
      </c>
    </row>
    <row r="1313" spans="13:14" x14ac:dyDescent="0.3">
      <c r="M1313" t="str">
        <f>Data_Cleaned!B1313</f>
        <v>No</v>
      </c>
      <c r="N1313">
        <f>Data_Cleaned!S1313</f>
        <v>1514</v>
      </c>
    </row>
    <row r="1314" spans="13:14" x14ac:dyDescent="0.3">
      <c r="M1314" t="str">
        <f>Data_Cleaned!B1314</f>
        <v>Yes</v>
      </c>
      <c r="N1314">
        <f>Data_Cleaned!S1314</f>
        <v>2956</v>
      </c>
    </row>
    <row r="1315" spans="13:14" x14ac:dyDescent="0.3">
      <c r="M1315" t="str">
        <f>Data_Cleaned!B1315</f>
        <v>Yes</v>
      </c>
      <c r="N1315">
        <f>Data_Cleaned!S1315</f>
        <v>2335</v>
      </c>
    </row>
    <row r="1316" spans="13:14" x14ac:dyDescent="0.3">
      <c r="M1316" t="str">
        <f>Data_Cleaned!B1316</f>
        <v>No</v>
      </c>
      <c r="N1316">
        <f>Data_Cleaned!S1316</f>
        <v>5154</v>
      </c>
    </row>
    <row r="1317" spans="13:14" x14ac:dyDescent="0.3">
      <c r="M1317" t="str">
        <f>Data_Cleaned!B1317</f>
        <v>No</v>
      </c>
      <c r="N1317">
        <f>Data_Cleaned!S1317</f>
        <v>6962</v>
      </c>
    </row>
    <row r="1318" spans="13:14" x14ac:dyDescent="0.3">
      <c r="M1318" t="str">
        <f>Data_Cleaned!B1318</f>
        <v>No</v>
      </c>
      <c r="N1318">
        <f>Data_Cleaned!S1318</f>
        <v>5675</v>
      </c>
    </row>
    <row r="1319" spans="13:14" x14ac:dyDescent="0.3">
      <c r="M1319" t="str">
        <f>Data_Cleaned!B1319</f>
        <v>No</v>
      </c>
      <c r="N1319">
        <f>Data_Cleaned!S1319</f>
        <v>2379</v>
      </c>
    </row>
    <row r="1320" spans="13:14" x14ac:dyDescent="0.3">
      <c r="M1320" t="str">
        <f>Data_Cleaned!B1320</f>
        <v>No</v>
      </c>
      <c r="N1320">
        <f>Data_Cleaned!S1320</f>
        <v>3812</v>
      </c>
    </row>
    <row r="1321" spans="13:14" x14ac:dyDescent="0.3">
      <c r="M1321" t="str">
        <f>Data_Cleaned!B1321</f>
        <v>No</v>
      </c>
      <c r="N1321">
        <f>Data_Cleaned!S1321</f>
        <v>4648</v>
      </c>
    </row>
    <row r="1322" spans="13:14" x14ac:dyDescent="0.3">
      <c r="M1322" t="str">
        <f>Data_Cleaned!B1322</f>
        <v>No</v>
      </c>
      <c r="N1322">
        <f>Data_Cleaned!S1322</f>
        <v>2936</v>
      </c>
    </row>
    <row r="1323" spans="13:14" x14ac:dyDescent="0.3">
      <c r="M1323" t="str">
        <f>Data_Cleaned!B1323</f>
        <v>No</v>
      </c>
      <c r="N1323">
        <f>Data_Cleaned!S1323</f>
        <v>2105</v>
      </c>
    </row>
    <row r="1324" spans="13:14" x14ac:dyDescent="0.3">
      <c r="M1324" t="str">
        <f>Data_Cleaned!B1324</f>
        <v>No</v>
      </c>
      <c r="N1324">
        <f>Data_Cleaned!S1324</f>
        <v>8578</v>
      </c>
    </row>
    <row r="1325" spans="13:14" x14ac:dyDescent="0.3">
      <c r="M1325" t="str">
        <f>Data_Cleaned!B1325</f>
        <v>No</v>
      </c>
      <c r="N1325">
        <f>Data_Cleaned!S1325</f>
        <v>2706</v>
      </c>
    </row>
    <row r="1326" spans="13:14" x14ac:dyDescent="0.3">
      <c r="M1326" t="str">
        <f>Data_Cleaned!B1326</f>
        <v>No</v>
      </c>
      <c r="N1326">
        <f>Data_Cleaned!S1326</f>
        <v>6384</v>
      </c>
    </row>
    <row r="1327" spans="13:14" x14ac:dyDescent="0.3">
      <c r="M1327" t="str">
        <f>Data_Cleaned!B1327</f>
        <v>No</v>
      </c>
      <c r="N1327">
        <f>Data_Cleaned!S1327</f>
        <v>3968</v>
      </c>
    </row>
    <row r="1328" spans="13:14" x14ac:dyDescent="0.3">
      <c r="M1328" t="str">
        <f>Data_Cleaned!B1328</f>
        <v>Yes</v>
      </c>
      <c r="N1328">
        <f>Data_Cleaned!S1328</f>
        <v>9907</v>
      </c>
    </row>
    <row r="1329" spans="13:14" x14ac:dyDescent="0.3">
      <c r="M1329" t="str">
        <f>Data_Cleaned!B1329</f>
        <v>No</v>
      </c>
      <c r="N1329">
        <f>Data_Cleaned!S1329</f>
        <v>13225</v>
      </c>
    </row>
    <row r="1330" spans="13:14" x14ac:dyDescent="0.3">
      <c r="M1330" t="str">
        <f>Data_Cleaned!B1330</f>
        <v>No</v>
      </c>
      <c r="N1330">
        <f>Data_Cleaned!S1330</f>
        <v>3540</v>
      </c>
    </row>
    <row r="1331" spans="13:14" x14ac:dyDescent="0.3">
      <c r="M1331" t="str">
        <f>Data_Cleaned!B1331</f>
        <v>No</v>
      </c>
      <c r="N1331">
        <f>Data_Cleaned!S1331</f>
        <v>2804</v>
      </c>
    </row>
    <row r="1332" spans="13:14" x14ac:dyDescent="0.3">
      <c r="M1332" t="str">
        <f>Data_Cleaned!B1332</f>
        <v>No</v>
      </c>
      <c r="N1332">
        <f>Data_Cleaned!S1332</f>
        <v>19392</v>
      </c>
    </row>
    <row r="1333" spans="13:14" x14ac:dyDescent="0.3">
      <c r="M1333" t="str">
        <f>Data_Cleaned!B1333</f>
        <v>No</v>
      </c>
      <c r="N1333">
        <f>Data_Cleaned!S1333</f>
        <v>19665</v>
      </c>
    </row>
    <row r="1334" spans="13:14" x14ac:dyDescent="0.3">
      <c r="M1334" t="str">
        <f>Data_Cleaned!B1334</f>
        <v>Yes</v>
      </c>
      <c r="N1334">
        <f>Data_Cleaned!S1334</f>
        <v>2439</v>
      </c>
    </row>
    <row r="1335" spans="13:14" x14ac:dyDescent="0.3">
      <c r="M1335" t="str">
        <f>Data_Cleaned!B1335</f>
        <v>Yes</v>
      </c>
      <c r="N1335">
        <f>Data_Cleaned!S1335</f>
        <v>7314</v>
      </c>
    </row>
    <row r="1336" spans="13:14" x14ac:dyDescent="0.3">
      <c r="M1336" t="str">
        <f>Data_Cleaned!B1336</f>
        <v>No</v>
      </c>
      <c r="N1336">
        <f>Data_Cleaned!S1336</f>
        <v>4774</v>
      </c>
    </row>
    <row r="1337" spans="13:14" x14ac:dyDescent="0.3">
      <c r="M1337" t="str">
        <f>Data_Cleaned!B1337</f>
        <v>No</v>
      </c>
      <c r="N1337">
        <f>Data_Cleaned!S1337</f>
        <v>3902</v>
      </c>
    </row>
    <row r="1338" spans="13:14" x14ac:dyDescent="0.3">
      <c r="M1338" t="str">
        <f>Data_Cleaned!B1338</f>
        <v>No</v>
      </c>
      <c r="N1338">
        <f>Data_Cleaned!S1338</f>
        <v>2662</v>
      </c>
    </row>
    <row r="1339" spans="13:14" x14ac:dyDescent="0.3">
      <c r="M1339" t="str">
        <f>Data_Cleaned!B1339</f>
        <v>No</v>
      </c>
      <c r="N1339">
        <f>Data_Cleaned!S1339</f>
        <v>2856</v>
      </c>
    </row>
    <row r="1340" spans="13:14" x14ac:dyDescent="0.3">
      <c r="M1340" t="str">
        <f>Data_Cleaned!B1340</f>
        <v>Yes</v>
      </c>
      <c r="N1340">
        <f>Data_Cleaned!S1340</f>
        <v>1081</v>
      </c>
    </row>
    <row r="1341" spans="13:14" x14ac:dyDescent="0.3">
      <c r="M1341" t="str">
        <f>Data_Cleaned!B1341</f>
        <v>Yes</v>
      </c>
      <c r="N1341">
        <f>Data_Cleaned!S1341</f>
        <v>2472</v>
      </c>
    </row>
    <row r="1342" spans="13:14" x14ac:dyDescent="0.3">
      <c r="M1342" t="str">
        <f>Data_Cleaned!B1342</f>
        <v>No</v>
      </c>
      <c r="N1342">
        <f>Data_Cleaned!S1342</f>
        <v>5673</v>
      </c>
    </row>
    <row r="1343" spans="13:14" x14ac:dyDescent="0.3">
      <c r="M1343" t="str">
        <f>Data_Cleaned!B1343</f>
        <v>No</v>
      </c>
      <c r="N1343">
        <f>Data_Cleaned!S1343</f>
        <v>4197</v>
      </c>
    </row>
    <row r="1344" spans="13:14" x14ac:dyDescent="0.3">
      <c r="M1344" t="str">
        <f>Data_Cleaned!B1344</f>
        <v>No</v>
      </c>
      <c r="N1344">
        <f>Data_Cleaned!S1344</f>
        <v>9713</v>
      </c>
    </row>
    <row r="1345" spans="13:14" x14ac:dyDescent="0.3">
      <c r="M1345" t="str">
        <f>Data_Cleaned!B1345</f>
        <v>No</v>
      </c>
      <c r="N1345">
        <f>Data_Cleaned!S1345</f>
        <v>2062</v>
      </c>
    </row>
    <row r="1346" spans="13:14" x14ac:dyDescent="0.3">
      <c r="M1346" t="str">
        <f>Data_Cleaned!B1346</f>
        <v>No</v>
      </c>
      <c r="N1346">
        <f>Data_Cleaned!S1346</f>
        <v>4284</v>
      </c>
    </row>
    <row r="1347" spans="13:14" x14ac:dyDescent="0.3">
      <c r="M1347" t="str">
        <f>Data_Cleaned!B1347</f>
        <v>No</v>
      </c>
      <c r="N1347">
        <f>Data_Cleaned!S1347</f>
        <v>4788</v>
      </c>
    </row>
    <row r="1348" spans="13:14" x14ac:dyDescent="0.3">
      <c r="M1348" t="str">
        <f>Data_Cleaned!B1348</f>
        <v>No</v>
      </c>
      <c r="N1348">
        <f>Data_Cleaned!S1348</f>
        <v>5906</v>
      </c>
    </row>
    <row r="1349" spans="13:14" x14ac:dyDescent="0.3">
      <c r="M1349" t="str">
        <f>Data_Cleaned!B1349</f>
        <v>No</v>
      </c>
      <c r="N1349">
        <f>Data_Cleaned!S1349</f>
        <v>3886</v>
      </c>
    </row>
    <row r="1350" spans="13:14" x14ac:dyDescent="0.3">
      <c r="M1350" t="str">
        <f>Data_Cleaned!B1350</f>
        <v>No</v>
      </c>
      <c r="N1350">
        <f>Data_Cleaned!S1350</f>
        <v>16823</v>
      </c>
    </row>
    <row r="1351" spans="13:14" x14ac:dyDescent="0.3">
      <c r="M1351" t="str">
        <f>Data_Cleaned!B1351</f>
        <v>No</v>
      </c>
      <c r="N1351">
        <f>Data_Cleaned!S1351</f>
        <v>2933</v>
      </c>
    </row>
    <row r="1352" spans="13:14" x14ac:dyDescent="0.3">
      <c r="M1352" t="str">
        <f>Data_Cleaned!B1352</f>
        <v>No</v>
      </c>
      <c r="N1352">
        <f>Data_Cleaned!S1352</f>
        <v>6500</v>
      </c>
    </row>
    <row r="1353" spans="13:14" x14ac:dyDescent="0.3">
      <c r="M1353" t="str">
        <f>Data_Cleaned!B1353</f>
        <v>No</v>
      </c>
      <c r="N1353">
        <f>Data_Cleaned!S1353</f>
        <v>17174</v>
      </c>
    </row>
    <row r="1354" spans="13:14" x14ac:dyDescent="0.3">
      <c r="M1354" t="str">
        <f>Data_Cleaned!B1354</f>
        <v>No</v>
      </c>
      <c r="N1354">
        <f>Data_Cleaned!S1354</f>
        <v>5033</v>
      </c>
    </row>
    <row r="1355" spans="13:14" x14ac:dyDescent="0.3">
      <c r="M1355" t="str">
        <f>Data_Cleaned!B1355</f>
        <v>Yes</v>
      </c>
      <c r="N1355">
        <f>Data_Cleaned!S1355</f>
        <v>2307</v>
      </c>
    </row>
    <row r="1356" spans="13:14" x14ac:dyDescent="0.3">
      <c r="M1356" t="str">
        <f>Data_Cleaned!B1356</f>
        <v>Yes</v>
      </c>
      <c r="N1356">
        <f>Data_Cleaned!S1356</f>
        <v>2587</v>
      </c>
    </row>
    <row r="1357" spans="13:14" x14ac:dyDescent="0.3">
      <c r="M1357" t="str">
        <f>Data_Cleaned!B1357</f>
        <v>No</v>
      </c>
      <c r="N1357">
        <f>Data_Cleaned!S1357</f>
        <v>5507</v>
      </c>
    </row>
    <row r="1358" spans="13:14" x14ac:dyDescent="0.3">
      <c r="M1358" t="str">
        <f>Data_Cleaned!B1358</f>
        <v>No</v>
      </c>
      <c r="N1358">
        <f>Data_Cleaned!S1358</f>
        <v>4393</v>
      </c>
    </row>
    <row r="1359" spans="13:14" x14ac:dyDescent="0.3">
      <c r="M1359" t="str">
        <f>Data_Cleaned!B1359</f>
        <v>No</v>
      </c>
      <c r="N1359">
        <f>Data_Cleaned!S1359</f>
        <v>13348</v>
      </c>
    </row>
    <row r="1360" spans="13:14" x14ac:dyDescent="0.3">
      <c r="M1360" t="str">
        <f>Data_Cleaned!B1360</f>
        <v>No</v>
      </c>
      <c r="N1360">
        <f>Data_Cleaned!S1360</f>
        <v>6583</v>
      </c>
    </row>
    <row r="1361" spans="13:14" x14ac:dyDescent="0.3">
      <c r="M1361" t="str">
        <f>Data_Cleaned!B1361</f>
        <v>No</v>
      </c>
      <c r="N1361">
        <f>Data_Cleaned!S1361</f>
        <v>8103</v>
      </c>
    </row>
    <row r="1362" spans="13:14" x14ac:dyDescent="0.3">
      <c r="M1362" t="str">
        <f>Data_Cleaned!B1362</f>
        <v>No</v>
      </c>
      <c r="N1362">
        <f>Data_Cleaned!S1362</f>
        <v>3978</v>
      </c>
    </row>
    <row r="1363" spans="13:14" x14ac:dyDescent="0.3">
      <c r="M1363" t="str">
        <f>Data_Cleaned!B1363</f>
        <v>No</v>
      </c>
      <c r="N1363">
        <f>Data_Cleaned!S1363</f>
        <v>2544</v>
      </c>
    </row>
    <row r="1364" spans="13:14" x14ac:dyDescent="0.3">
      <c r="M1364" t="str">
        <f>Data_Cleaned!B1364</f>
        <v>No</v>
      </c>
      <c r="N1364">
        <f>Data_Cleaned!S1364</f>
        <v>5399</v>
      </c>
    </row>
    <row r="1365" spans="13:14" x14ac:dyDescent="0.3">
      <c r="M1365" t="str">
        <f>Data_Cleaned!B1365</f>
        <v>No</v>
      </c>
      <c r="N1365">
        <f>Data_Cleaned!S1365</f>
        <v>5487</v>
      </c>
    </row>
    <row r="1366" spans="13:14" x14ac:dyDescent="0.3">
      <c r="M1366" t="str">
        <f>Data_Cleaned!B1366</f>
        <v>No</v>
      </c>
      <c r="N1366">
        <f>Data_Cleaned!S1366</f>
        <v>6834</v>
      </c>
    </row>
    <row r="1367" spans="13:14" x14ac:dyDescent="0.3">
      <c r="M1367" t="str">
        <f>Data_Cleaned!B1367</f>
        <v>Yes</v>
      </c>
      <c r="N1367">
        <f>Data_Cleaned!S1367</f>
        <v>1091</v>
      </c>
    </row>
    <row r="1368" spans="13:14" x14ac:dyDescent="0.3">
      <c r="M1368" t="str">
        <f>Data_Cleaned!B1368</f>
        <v>No</v>
      </c>
      <c r="N1368">
        <f>Data_Cleaned!S1368</f>
        <v>5736</v>
      </c>
    </row>
    <row r="1369" spans="13:14" x14ac:dyDescent="0.3">
      <c r="M1369" t="str">
        <f>Data_Cleaned!B1369</f>
        <v>No</v>
      </c>
      <c r="N1369">
        <f>Data_Cleaned!S1369</f>
        <v>2226</v>
      </c>
    </row>
    <row r="1370" spans="13:14" x14ac:dyDescent="0.3">
      <c r="M1370" t="str">
        <f>Data_Cleaned!B1370</f>
        <v>No</v>
      </c>
      <c r="N1370">
        <f>Data_Cleaned!S1370</f>
        <v>5747</v>
      </c>
    </row>
    <row r="1371" spans="13:14" x14ac:dyDescent="0.3">
      <c r="M1371" t="str">
        <f>Data_Cleaned!B1371</f>
        <v>Yes</v>
      </c>
      <c r="N1371">
        <f>Data_Cleaned!S1371</f>
        <v>9854</v>
      </c>
    </row>
    <row r="1372" spans="13:14" x14ac:dyDescent="0.3">
      <c r="M1372" t="str">
        <f>Data_Cleaned!B1372</f>
        <v>No</v>
      </c>
      <c r="N1372">
        <f>Data_Cleaned!S1372</f>
        <v>5467</v>
      </c>
    </row>
    <row r="1373" spans="13:14" x14ac:dyDescent="0.3">
      <c r="M1373" t="str">
        <f>Data_Cleaned!B1373</f>
        <v>No</v>
      </c>
      <c r="N1373">
        <f>Data_Cleaned!S1373</f>
        <v>5380</v>
      </c>
    </row>
    <row r="1374" spans="13:14" x14ac:dyDescent="0.3">
      <c r="M1374" t="str">
        <f>Data_Cleaned!B1374</f>
        <v>No</v>
      </c>
      <c r="N1374">
        <f>Data_Cleaned!S1374</f>
        <v>5151</v>
      </c>
    </row>
    <row r="1375" spans="13:14" x14ac:dyDescent="0.3">
      <c r="M1375" t="str">
        <f>Data_Cleaned!B1375</f>
        <v>No</v>
      </c>
      <c r="N1375">
        <f>Data_Cleaned!S1375</f>
        <v>2133</v>
      </c>
    </row>
    <row r="1376" spans="13:14" x14ac:dyDescent="0.3">
      <c r="M1376" t="str">
        <f>Data_Cleaned!B1376</f>
        <v>No</v>
      </c>
      <c r="N1376">
        <f>Data_Cleaned!S1376</f>
        <v>17875</v>
      </c>
    </row>
    <row r="1377" spans="13:14" x14ac:dyDescent="0.3">
      <c r="M1377" t="str">
        <f>Data_Cleaned!B1377</f>
        <v>Yes</v>
      </c>
      <c r="N1377">
        <f>Data_Cleaned!S1377</f>
        <v>2432</v>
      </c>
    </row>
    <row r="1378" spans="13:14" x14ac:dyDescent="0.3">
      <c r="M1378" t="str">
        <f>Data_Cleaned!B1378</f>
        <v>No</v>
      </c>
      <c r="N1378">
        <f>Data_Cleaned!S1378</f>
        <v>4771</v>
      </c>
    </row>
    <row r="1379" spans="13:14" x14ac:dyDescent="0.3">
      <c r="M1379" t="str">
        <f>Data_Cleaned!B1379</f>
        <v>No</v>
      </c>
      <c r="N1379">
        <f>Data_Cleaned!S1379</f>
        <v>19161</v>
      </c>
    </row>
    <row r="1380" spans="13:14" x14ac:dyDescent="0.3">
      <c r="M1380" t="str">
        <f>Data_Cleaned!B1380</f>
        <v>No</v>
      </c>
      <c r="N1380">
        <f>Data_Cleaned!S1380</f>
        <v>5087</v>
      </c>
    </row>
    <row r="1381" spans="13:14" x14ac:dyDescent="0.3">
      <c r="M1381" t="str">
        <f>Data_Cleaned!B1381</f>
        <v>Yes</v>
      </c>
      <c r="N1381">
        <f>Data_Cleaned!S1381</f>
        <v>2863</v>
      </c>
    </row>
    <row r="1382" spans="13:14" x14ac:dyDescent="0.3">
      <c r="M1382" t="str">
        <f>Data_Cleaned!B1382</f>
        <v>No</v>
      </c>
      <c r="N1382">
        <f>Data_Cleaned!S1382</f>
        <v>5561</v>
      </c>
    </row>
    <row r="1383" spans="13:14" x14ac:dyDescent="0.3">
      <c r="M1383" t="str">
        <f>Data_Cleaned!B1383</f>
        <v>No</v>
      </c>
      <c r="N1383">
        <f>Data_Cleaned!S1383</f>
        <v>2144</v>
      </c>
    </row>
    <row r="1384" spans="13:14" x14ac:dyDescent="0.3">
      <c r="M1384" t="str">
        <f>Data_Cleaned!B1384</f>
        <v>No</v>
      </c>
      <c r="N1384">
        <f>Data_Cleaned!S1384</f>
        <v>3065</v>
      </c>
    </row>
    <row r="1385" spans="13:14" x14ac:dyDescent="0.3">
      <c r="M1385" t="str">
        <f>Data_Cleaned!B1385</f>
        <v>No</v>
      </c>
      <c r="N1385">
        <f>Data_Cleaned!S1385</f>
        <v>2810</v>
      </c>
    </row>
    <row r="1386" spans="13:14" x14ac:dyDescent="0.3">
      <c r="M1386" t="str">
        <f>Data_Cleaned!B1386</f>
        <v>No</v>
      </c>
      <c r="N1386">
        <f>Data_Cleaned!S1386</f>
        <v>9888</v>
      </c>
    </row>
    <row r="1387" spans="13:14" x14ac:dyDescent="0.3">
      <c r="M1387" t="str">
        <f>Data_Cleaned!B1387</f>
        <v>No</v>
      </c>
      <c r="N1387">
        <f>Data_Cleaned!S1387</f>
        <v>8628</v>
      </c>
    </row>
    <row r="1388" spans="13:14" x14ac:dyDescent="0.3">
      <c r="M1388" t="str">
        <f>Data_Cleaned!B1388</f>
        <v>No</v>
      </c>
      <c r="N1388">
        <f>Data_Cleaned!S1388</f>
        <v>2867</v>
      </c>
    </row>
    <row r="1389" spans="13:14" x14ac:dyDescent="0.3">
      <c r="M1389" t="str">
        <f>Data_Cleaned!B1389</f>
        <v>No</v>
      </c>
      <c r="N1389">
        <f>Data_Cleaned!S1389</f>
        <v>5373</v>
      </c>
    </row>
    <row r="1390" spans="13:14" x14ac:dyDescent="0.3">
      <c r="M1390" t="str">
        <f>Data_Cleaned!B1390</f>
        <v>No</v>
      </c>
      <c r="N1390">
        <f>Data_Cleaned!S1390</f>
        <v>6667</v>
      </c>
    </row>
    <row r="1391" spans="13:14" x14ac:dyDescent="0.3">
      <c r="M1391" t="str">
        <f>Data_Cleaned!B1391</f>
        <v>No</v>
      </c>
      <c r="N1391">
        <f>Data_Cleaned!S1391</f>
        <v>5003</v>
      </c>
    </row>
    <row r="1392" spans="13:14" x14ac:dyDescent="0.3">
      <c r="M1392" t="str">
        <f>Data_Cleaned!B1392</f>
        <v>Yes</v>
      </c>
      <c r="N1392">
        <f>Data_Cleaned!S1392</f>
        <v>2367</v>
      </c>
    </row>
    <row r="1393" spans="13:14" x14ac:dyDescent="0.3">
      <c r="M1393" t="str">
        <f>Data_Cleaned!B1393</f>
        <v>No</v>
      </c>
      <c r="N1393">
        <f>Data_Cleaned!S1393</f>
        <v>2858</v>
      </c>
    </row>
    <row r="1394" spans="13:14" x14ac:dyDescent="0.3">
      <c r="M1394" t="str">
        <f>Data_Cleaned!B1394</f>
        <v>No</v>
      </c>
      <c r="N1394">
        <f>Data_Cleaned!S1394</f>
        <v>5204</v>
      </c>
    </row>
    <row r="1395" spans="13:14" x14ac:dyDescent="0.3">
      <c r="M1395" t="str">
        <f>Data_Cleaned!B1395</f>
        <v>No</v>
      </c>
      <c r="N1395">
        <f>Data_Cleaned!S1395</f>
        <v>4105</v>
      </c>
    </row>
    <row r="1396" spans="13:14" x14ac:dyDescent="0.3">
      <c r="M1396" t="str">
        <f>Data_Cleaned!B1396</f>
        <v>No</v>
      </c>
      <c r="N1396">
        <f>Data_Cleaned!S1396</f>
        <v>9679</v>
      </c>
    </row>
    <row r="1397" spans="13:14" x14ac:dyDescent="0.3">
      <c r="M1397" t="str">
        <f>Data_Cleaned!B1397</f>
        <v>Yes</v>
      </c>
      <c r="N1397">
        <f>Data_Cleaned!S1397</f>
        <v>5617</v>
      </c>
    </row>
    <row r="1398" spans="13:14" x14ac:dyDescent="0.3">
      <c r="M1398" t="str">
        <f>Data_Cleaned!B1398</f>
        <v>Yes</v>
      </c>
      <c r="N1398">
        <f>Data_Cleaned!S1398</f>
        <v>10448</v>
      </c>
    </row>
    <row r="1399" spans="13:14" x14ac:dyDescent="0.3">
      <c r="M1399" t="str">
        <f>Data_Cleaned!B1399</f>
        <v>No</v>
      </c>
      <c r="N1399">
        <f>Data_Cleaned!S1399</f>
        <v>2897</v>
      </c>
    </row>
    <row r="1400" spans="13:14" x14ac:dyDescent="0.3">
      <c r="M1400" t="str">
        <f>Data_Cleaned!B1400</f>
        <v>No</v>
      </c>
      <c r="N1400">
        <f>Data_Cleaned!S1400</f>
        <v>5968</v>
      </c>
    </row>
    <row r="1401" spans="13:14" x14ac:dyDescent="0.3">
      <c r="M1401" t="str">
        <f>Data_Cleaned!B1401</f>
        <v>No</v>
      </c>
      <c r="N1401">
        <f>Data_Cleaned!S1401</f>
        <v>7510</v>
      </c>
    </row>
    <row r="1402" spans="13:14" x14ac:dyDescent="0.3">
      <c r="M1402" t="str">
        <f>Data_Cleaned!B1402</f>
        <v>No</v>
      </c>
      <c r="N1402">
        <f>Data_Cleaned!S1402</f>
        <v>2991</v>
      </c>
    </row>
    <row r="1403" spans="13:14" x14ac:dyDescent="0.3">
      <c r="M1403" t="str">
        <f>Data_Cleaned!B1403</f>
        <v>No</v>
      </c>
      <c r="N1403">
        <f>Data_Cleaned!S1403</f>
        <v>19636</v>
      </c>
    </row>
    <row r="1404" spans="13:14" x14ac:dyDescent="0.3">
      <c r="M1404" t="str">
        <f>Data_Cleaned!B1404</f>
        <v>No</v>
      </c>
      <c r="N1404">
        <f>Data_Cleaned!S1404</f>
        <v>1129</v>
      </c>
    </row>
    <row r="1405" spans="13:14" x14ac:dyDescent="0.3">
      <c r="M1405" t="str">
        <f>Data_Cleaned!B1405</f>
        <v>No</v>
      </c>
      <c r="N1405">
        <f>Data_Cleaned!S1405</f>
        <v>13341</v>
      </c>
    </row>
    <row r="1406" spans="13:14" x14ac:dyDescent="0.3">
      <c r="M1406" t="str">
        <f>Data_Cleaned!B1406</f>
        <v>No</v>
      </c>
      <c r="N1406">
        <f>Data_Cleaned!S1406</f>
        <v>4332</v>
      </c>
    </row>
    <row r="1407" spans="13:14" x14ac:dyDescent="0.3">
      <c r="M1407" t="str">
        <f>Data_Cleaned!B1407</f>
        <v>No</v>
      </c>
      <c r="N1407">
        <f>Data_Cleaned!S1407</f>
        <v>11031</v>
      </c>
    </row>
    <row r="1408" spans="13:14" x14ac:dyDescent="0.3">
      <c r="M1408" t="str">
        <f>Data_Cleaned!B1408</f>
        <v>No</v>
      </c>
      <c r="N1408">
        <f>Data_Cleaned!S1408</f>
        <v>4440</v>
      </c>
    </row>
    <row r="1409" spans="13:14" x14ac:dyDescent="0.3">
      <c r="M1409" t="str">
        <f>Data_Cleaned!B1409</f>
        <v>No</v>
      </c>
      <c r="N1409">
        <f>Data_Cleaned!S1409</f>
        <v>4617</v>
      </c>
    </row>
    <row r="1410" spans="13:14" x14ac:dyDescent="0.3">
      <c r="M1410" t="str">
        <f>Data_Cleaned!B1410</f>
        <v>No</v>
      </c>
      <c r="N1410">
        <f>Data_Cleaned!S1410</f>
        <v>2647</v>
      </c>
    </row>
    <row r="1411" spans="13:14" x14ac:dyDescent="0.3">
      <c r="M1411" t="str">
        <f>Data_Cleaned!B1411</f>
        <v>No</v>
      </c>
      <c r="N1411">
        <f>Data_Cleaned!S1411</f>
        <v>6323</v>
      </c>
    </row>
    <row r="1412" spans="13:14" x14ac:dyDescent="0.3">
      <c r="M1412" t="str">
        <f>Data_Cleaned!B1412</f>
        <v>No</v>
      </c>
      <c r="N1412">
        <f>Data_Cleaned!S1412</f>
        <v>5677</v>
      </c>
    </row>
    <row r="1413" spans="13:14" x14ac:dyDescent="0.3">
      <c r="M1413" t="str">
        <f>Data_Cleaned!B1413</f>
        <v>No</v>
      </c>
      <c r="N1413">
        <f>Data_Cleaned!S1413</f>
        <v>2187</v>
      </c>
    </row>
    <row r="1414" spans="13:14" x14ac:dyDescent="0.3">
      <c r="M1414" t="str">
        <f>Data_Cleaned!B1414</f>
        <v>No</v>
      </c>
      <c r="N1414">
        <f>Data_Cleaned!S1414</f>
        <v>3748</v>
      </c>
    </row>
    <row r="1415" spans="13:14" x14ac:dyDescent="0.3">
      <c r="M1415" t="str">
        <f>Data_Cleaned!B1415</f>
        <v>No</v>
      </c>
      <c r="N1415">
        <f>Data_Cleaned!S1415</f>
        <v>3977</v>
      </c>
    </row>
    <row r="1416" spans="13:14" x14ac:dyDescent="0.3">
      <c r="M1416" t="str">
        <f>Data_Cleaned!B1416</f>
        <v>No</v>
      </c>
      <c r="N1416">
        <f>Data_Cleaned!S1416</f>
        <v>8633</v>
      </c>
    </row>
    <row r="1417" spans="13:14" x14ac:dyDescent="0.3">
      <c r="M1417" t="str">
        <f>Data_Cleaned!B1417</f>
        <v>No</v>
      </c>
      <c r="N1417">
        <f>Data_Cleaned!S1417</f>
        <v>2008</v>
      </c>
    </row>
    <row r="1418" spans="13:14" x14ac:dyDescent="0.3">
      <c r="M1418" t="str">
        <f>Data_Cleaned!B1418</f>
        <v>No</v>
      </c>
      <c r="N1418">
        <f>Data_Cleaned!S1418</f>
        <v>4440</v>
      </c>
    </row>
    <row r="1419" spans="13:14" x14ac:dyDescent="0.3">
      <c r="M1419" t="str">
        <f>Data_Cleaned!B1419</f>
        <v>No</v>
      </c>
      <c r="N1419">
        <f>Data_Cleaned!S1419</f>
        <v>3067</v>
      </c>
    </row>
    <row r="1420" spans="13:14" x14ac:dyDescent="0.3">
      <c r="M1420" t="str">
        <f>Data_Cleaned!B1420</f>
        <v>No</v>
      </c>
      <c r="N1420">
        <f>Data_Cleaned!S1420</f>
        <v>5321</v>
      </c>
    </row>
    <row r="1421" spans="13:14" x14ac:dyDescent="0.3">
      <c r="M1421" t="str">
        <f>Data_Cleaned!B1421</f>
        <v>No</v>
      </c>
      <c r="N1421">
        <f>Data_Cleaned!S1421</f>
        <v>5410</v>
      </c>
    </row>
    <row r="1422" spans="13:14" x14ac:dyDescent="0.3">
      <c r="M1422" t="str">
        <f>Data_Cleaned!B1422</f>
        <v>No</v>
      </c>
      <c r="N1422">
        <f>Data_Cleaned!S1422</f>
        <v>2782</v>
      </c>
    </row>
    <row r="1423" spans="13:14" x14ac:dyDescent="0.3">
      <c r="M1423" t="str">
        <f>Data_Cleaned!B1423</f>
        <v>No</v>
      </c>
      <c r="N1423">
        <f>Data_Cleaned!S1423</f>
        <v>11957</v>
      </c>
    </row>
    <row r="1424" spans="13:14" x14ac:dyDescent="0.3">
      <c r="M1424" t="str">
        <f>Data_Cleaned!B1424</f>
        <v>No</v>
      </c>
      <c r="N1424">
        <f>Data_Cleaned!S1424</f>
        <v>2660</v>
      </c>
    </row>
    <row r="1425" spans="13:14" x14ac:dyDescent="0.3">
      <c r="M1425" t="str">
        <f>Data_Cleaned!B1425</f>
        <v>No</v>
      </c>
      <c r="N1425">
        <f>Data_Cleaned!S1425</f>
        <v>3375</v>
      </c>
    </row>
    <row r="1426" spans="13:14" x14ac:dyDescent="0.3">
      <c r="M1426" t="str">
        <f>Data_Cleaned!B1426</f>
        <v>No</v>
      </c>
      <c r="N1426">
        <f>Data_Cleaned!S1426</f>
        <v>5098</v>
      </c>
    </row>
    <row r="1427" spans="13:14" x14ac:dyDescent="0.3">
      <c r="M1427" t="str">
        <f>Data_Cleaned!B1427</f>
        <v>No</v>
      </c>
      <c r="N1427">
        <f>Data_Cleaned!S1427</f>
        <v>4878</v>
      </c>
    </row>
    <row r="1428" spans="13:14" x14ac:dyDescent="0.3">
      <c r="M1428" t="str">
        <f>Data_Cleaned!B1428</f>
        <v>No</v>
      </c>
      <c r="N1428">
        <f>Data_Cleaned!S1428</f>
        <v>2837</v>
      </c>
    </row>
    <row r="1429" spans="13:14" x14ac:dyDescent="0.3">
      <c r="M1429" t="str">
        <f>Data_Cleaned!B1429</f>
        <v>No</v>
      </c>
      <c r="N1429">
        <f>Data_Cleaned!S1429</f>
        <v>2406</v>
      </c>
    </row>
    <row r="1430" spans="13:14" x14ac:dyDescent="0.3">
      <c r="M1430" t="str">
        <f>Data_Cleaned!B1430</f>
        <v>No</v>
      </c>
      <c r="N1430">
        <f>Data_Cleaned!S1430</f>
        <v>2269</v>
      </c>
    </row>
    <row r="1431" spans="13:14" x14ac:dyDescent="0.3">
      <c r="M1431" t="str">
        <f>Data_Cleaned!B1431</f>
        <v>No</v>
      </c>
      <c r="N1431">
        <f>Data_Cleaned!S1431</f>
        <v>4108</v>
      </c>
    </row>
    <row r="1432" spans="13:14" x14ac:dyDescent="0.3">
      <c r="M1432" t="str">
        <f>Data_Cleaned!B1432</f>
        <v>No</v>
      </c>
      <c r="N1432">
        <f>Data_Cleaned!S1432</f>
        <v>13206</v>
      </c>
    </row>
    <row r="1433" spans="13:14" x14ac:dyDescent="0.3">
      <c r="M1433" t="str">
        <f>Data_Cleaned!B1433</f>
        <v>No</v>
      </c>
      <c r="N1433">
        <f>Data_Cleaned!S1433</f>
        <v>10422</v>
      </c>
    </row>
    <row r="1434" spans="13:14" x14ac:dyDescent="0.3">
      <c r="M1434" t="str">
        <f>Data_Cleaned!B1434</f>
        <v>No</v>
      </c>
      <c r="N1434">
        <f>Data_Cleaned!S1434</f>
        <v>13744</v>
      </c>
    </row>
    <row r="1435" spans="13:14" x14ac:dyDescent="0.3">
      <c r="M1435" t="str">
        <f>Data_Cleaned!B1435</f>
        <v>No</v>
      </c>
      <c r="N1435">
        <f>Data_Cleaned!S1435</f>
        <v>4907</v>
      </c>
    </row>
    <row r="1436" spans="13:14" x14ac:dyDescent="0.3">
      <c r="M1436" t="str">
        <f>Data_Cleaned!B1436</f>
        <v>No</v>
      </c>
      <c r="N1436">
        <f>Data_Cleaned!S1436</f>
        <v>3482</v>
      </c>
    </row>
    <row r="1437" spans="13:14" x14ac:dyDescent="0.3">
      <c r="M1437" t="str">
        <f>Data_Cleaned!B1437</f>
        <v>No</v>
      </c>
      <c r="N1437">
        <f>Data_Cleaned!S1437</f>
        <v>2436</v>
      </c>
    </row>
    <row r="1438" spans="13:14" x14ac:dyDescent="0.3">
      <c r="M1438" t="str">
        <f>Data_Cleaned!B1438</f>
        <v>No</v>
      </c>
      <c r="N1438">
        <f>Data_Cleaned!S1438</f>
        <v>2380</v>
      </c>
    </row>
    <row r="1439" spans="13:14" x14ac:dyDescent="0.3">
      <c r="M1439" t="str">
        <f>Data_Cleaned!B1439</f>
        <v>No</v>
      </c>
      <c r="N1439">
        <f>Data_Cleaned!S1439</f>
        <v>19431</v>
      </c>
    </row>
    <row r="1440" spans="13:14" x14ac:dyDescent="0.3">
      <c r="M1440" t="str">
        <f>Data_Cleaned!B1440</f>
        <v>Yes</v>
      </c>
      <c r="N1440">
        <f>Data_Cleaned!S1440</f>
        <v>1790</v>
      </c>
    </row>
    <row r="1441" spans="13:14" x14ac:dyDescent="0.3">
      <c r="M1441" t="str">
        <f>Data_Cleaned!B1441</f>
        <v>No</v>
      </c>
      <c r="N1441">
        <f>Data_Cleaned!S1441</f>
        <v>7644</v>
      </c>
    </row>
    <row r="1442" spans="13:14" x14ac:dyDescent="0.3">
      <c r="M1442" t="str">
        <f>Data_Cleaned!B1442</f>
        <v>No</v>
      </c>
      <c r="N1442">
        <f>Data_Cleaned!S1442</f>
        <v>5131</v>
      </c>
    </row>
    <row r="1443" spans="13:14" x14ac:dyDescent="0.3">
      <c r="M1443" t="str">
        <f>Data_Cleaned!B1443</f>
        <v>No</v>
      </c>
      <c r="N1443">
        <f>Data_Cleaned!S1443</f>
        <v>6306</v>
      </c>
    </row>
    <row r="1444" spans="13:14" x14ac:dyDescent="0.3">
      <c r="M1444" t="str">
        <f>Data_Cleaned!B1444</f>
        <v>Yes</v>
      </c>
      <c r="N1444">
        <f>Data_Cleaned!S1444</f>
        <v>4787</v>
      </c>
    </row>
    <row r="1445" spans="13:14" x14ac:dyDescent="0.3">
      <c r="M1445" t="str">
        <f>Data_Cleaned!B1445</f>
        <v>No</v>
      </c>
      <c r="N1445">
        <f>Data_Cleaned!S1445</f>
        <v>18880</v>
      </c>
    </row>
    <row r="1446" spans="13:14" x14ac:dyDescent="0.3">
      <c r="M1446" t="str">
        <f>Data_Cleaned!B1446</f>
        <v>Yes</v>
      </c>
      <c r="N1446">
        <f>Data_Cleaned!S1446</f>
        <v>2339</v>
      </c>
    </row>
    <row r="1447" spans="13:14" x14ac:dyDescent="0.3">
      <c r="M1447" t="str">
        <f>Data_Cleaned!B1447</f>
        <v>No</v>
      </c>
      <c r="N1447">
        <f>Data_Cleaned!S1447</f>
        <v>13570</v>
      </c>
    </row>
    <row r="1448" spans="13:14" x14ac:dyDescent="0.3">
      <c r="M1448" t="str">
        <f>Data_Cleaned!B1448</f>
        <v>No</v>
      </c>
      <c r="N1448">
        <f>Data_Cleaned!S1448</f>
        <v>6712</v>
      </c>
    </row>
    <row r="1449" spans="13:14" x14ac:dyDescent="0.3">
      <c r="M1449" t="str">
        <f>Data_Cleaned!B1449</f>
        <v>No</v>
      </c>
      <c r="N1449">
        <f>Data_Cleaned!S1449</f>
        <v>5406</v>
      </c>
    </row>
    <row r="1450" spans="13:14" x14ac:dyDescent="0.3">
      <c r="M1450" t="str">
        <f>Data_Cleaned!B1450</f>
        <v>No</v>
      </c>
      <c r="N1450">
        <f>Data_Cleaned!S1450</f>
        <v>8938</v>
      </c>
    </row>
    <row r="1451" spans="13:14" x14ac:dyDescent="0.3">
      <c r="M1451" t="str">
        <f>Data_Cleaned!B1451</f>
        <v>No</v>
      </c>
      <c r="N1451">
        <f>Data_Cleaned!S1451</f>
        <v>2439</v>
      </c>
    </row>
    <row r="1452" spans="13:14" x14ac:dyDescent="0.3">
      <c r="M1452" t="str">
        <f>Data_Cleaned!B1452</f>
        <v>No</v>
      </c>
      <c r="N1452">
        <f>Data_Cleaned!S1452</f>
        <v>8837</v>
      </c>
    </row>
    <row r="1453" spans="13:14" x14ac:dyDescent="0.3">
      <c r="M1453" t="str">
        <f>Data_Cleaned!B1453</f>
        <v>No</v>
      </c>
      <c r="N1453">
        <f>Data_Cleaned!S1453</f>
        <v>5343</v>
      </c>
    </row>
    <row r="1454" spans="13:14" x14ac:dyDescent="0.3">
      <c r="M1454" t="str">
        <f>Data_Cleaned!B1454</f>
        <v>Yes</v>
      </c>
      <c r="N1454">
        <f>Data_Cleaned!S1454</f>
        <v>6728</v>
      </c>
    </row>
    <row r="1455" spans="13:14" x14ac:dyDescent="0.3">
      <c r="M1455" t="str">
        <f>Data_Cleaned!B1455</f>
        <v>No</v>
      </c>
      <c r="N1455">
        <f>Data_Cleaned!S1455</f>
        <v>6652</v>
      </c>
    </row>
    <row r="1456" spans="13:14" x14ac:dyDescent="0.3">
      <c r="M1456" t="str">
        <f>Data_Cleaned!B1456</f>
        <v>No</v>
      </c>
      <c r="N1456">
        <f>Data_Cleaned!S1456</f>
        <v>4850</v>
      </c>
    </row>
    <row r="1457" spans="13:14" x14ac:dyDescent="0.3">
      <c r="M1457" t="str">
        <f>Data_Cleaned!B1457</f>
        <v>No</v>
      </c>
      <c r="N1457">
        <f>Data_Cleaned!S1457</f>
        <v>2809</v>
      </c>
    </row>
    <row r="1458" spans="13:14" x14ac:dyDescent="0.3">
      <c r="M1458" t="str">
        <f>Data_Cleaned!B1458</f>
        <v>No</v>
      </c>
      <c r="N1458">
        <f>Data_Cleaned!S1458</f>
        <v>5689</v>
      </c>
    </row>
    <row r="1459" spans="13:14" x14ac:dyDescent="0.3">
      <c r="M1459" t="str">
        <f>Data_Cleaned!B1459</f>
        <v>No</v>
      </c>
      <c r="N1459">
        <f>Data_Cleaned!S1459</f>
        <v>2001</v>
      </c>
    </row>
    <row r="1460" spans="13:14" x14ac:dyDescent="0.3">
      <c r="M1460" t="str">
        <f>Data_Cleaned!B1460</f>
        <v>No</v>
      </c>
      <c r="N1460">
        <f>Data_Cleaned!S1460</f>
        <v>2977</v>
      </c>
    </row>
    <row r="1461" spans="13:14" x14ac:dyDescent="0.3">
      <c r="M1461" t="str">
        <f>Data_Cleaned!B1461</f>
        <v>No</v>
      </c>
      <c r="N1461">
        <f>Data_Cleaned!S1461</f>
        <v>4025</v>
      </c>
    </row>
    <row r="1462" spans="13:14" x14ac:dyDescent="0.3">
      <c r="M1462" t="str">
        <f>Data_Cleaned!B1462</f>
        <v>No</v>
      </c>
      <c r="N1462">
        <f>Data_Cleaned!S1462</f>
        <v>3785</v>
      </c>
    </row>
    <row r="1463" spans="13:14" x14ac:dyDescent="0.3">
      <c r="M1463" t="str">
        <f>Data_Cleaned!B1463</f>
        <v>Yes</v>
      </c>
      <c r="N1463">
        <f>Data_Cleaned!S1463</f>
        <v>10854</v>
      </c>
    </row>
    <row r="1464" spans="13:14" x14ac:dyDescent="0.3">
      <c r="M1464" t="str">
        <f>Data_Cleaned!B1464</f>
        <v>No</v>
      </c>
      <c r="N1464">
        <f>Data_Cleaned!S1464</f>
        <v>12031</v>
      </c>
    </row>
    <row r="1465" spans="13:14" x14ac:dyDescent="0.3">
      <c r="M1465" t="str">
        <f>Data_Cleaned!B1465</f>
        <v>No</v>
      </c>
      <c r="N1465">
        <f>Data_Cleaned!S1465</f>
        <v>9936</v>
      </c>
    </row>
    <row r="1466" spans="13:14" x14ac:dyDescent="0.3">
      <c r="M1466" t="str">
        <f>Data_Cleaned!B1466</f>
        <v>No</v>
      </c>
      <c r="N1466">
        <f>Data_Cleaned!S1466</f>
        <v>2966</v>
      </c>
    </row>
    <row r="1467" spans="13:14" x14ac:dyDescent="0.3">
      <c r="M1467" t="str">
        <f>Data_Cleaned!B1467</f>
        <v>No</v>
      </c>
      <c r="N1467">
        <f>Data_Cleaned!S1467</f>
        <v>2571</v>
      </c>
    </row>
    <row r="1468" spans="13:14" x14ac:dyDescent="0.3">
      <c r="M1468" t="str">
        <f>Data_Cleaned!B1468</f>
        <v>No</v>
      </c>
      <c r="N1468">
        <f>Data_Cleaned!S1468</f>
        <v>9991</v>
      </c>
    </row>
    <row r="1469" spans="13:14" x14ac:dyDescent="0.3">
      <c r="M1469" t="str">
        <f>Data_Cleaned!B1469</f>
        <v>No</v>
      </c>
      <c r="N1469">
        <f>Data_Cleaned!S1469</f>
        <v>6142</v>
      </c>
    </row>
    <row r="1470" spans="13:14" x14ac:dyDescent="0.3">
      <c r="M1470" t="str">
        <f>Data_Cleaned!B1470</f>
        <v>No</v>
      </c>
      <c r="N1470">
        <f>Data_Cleaned!S1470</f>
        <v>5390</v>
      </c>
    </row>
    <row r="1471" spans="13:14" x14ac:dyDescent="0.3">
      <c r="M1471" t="str">
        <f>Data_Cleaned!B1471</f>
        <v>No</v>
      </c>
      <c r="N1471">
        <f>Data_Cleaned!S1471</f>
        <v>4404</v>
      </c>
    </row>
  </sheetData>
  <conditionalFormatting sqref="B66:B79">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8933-7873-46D9-A4C0-EA500F3108C6}">
  <dimension ref="A1:J47"/>
  <sheetViews>
    <sheetView topLeftCell="A43" workbookViewId="0"/>
  </sheetViews>
  <sheetFormatPr defaultRowHeight="14.4" x14ac:dyDescent="0.3"/>
  <cols>
    <col min="1" max="1" width="35.21875" customWidth="1"/>
    <col min="2" max="10" width="16.6640625" customWidth="1"/>
  </cols>
  <sheetData>
    <row r="1" spans="1:10" ht="21" x14ac:dyDescent="0.4">
      <c r="A1" s="1" t="s">
        <v>259</v>
      </c>
    </row>
    <row r="3" spans="1:10" ht="15.6" x14ac:dyDescent="0.3">
      <c r="A3" s="3" t="s">
        <v>260</v>
      </c>
    </row>
    <row r="4" spans="1:10" ht="129.6" x14ac:dyDescent="0.3">
      <c r="A4" s="5" t="s">
        <v>261</v>
      </c>
    </row>
    <row r="6" spans="1:10" ht="15.6" x14ac:dyDescent="0.3">
      <c r="A6" s="3" t="s">
        <v>262</v>
      </c>
    </row>
    <row r="7" spans="1:10" ht="100.8" x14ac:dyDescent="0.3">
      <c r="A7" s="5" t="s">
        <v>263</v>
      </c>
    </row>
    <row r="9" spans="1:10" ht="15.6" x14ac:dyDescent="0.3">
      <c r="A9" s="3" t="s">
        <v>264</v>
      </c>
    </row>
    <row r="10" spans="1:10" ht="187.2" x14ac:dyDescent="0.3">
      <c r="A10" s="5" t="s">
        <v>265</v>
      </c>
    </row>
    <row r="12" spans="1:10" x14ac:dyDescent="0.3">
      <c r="A12" t="s">
        <v>266</v>
      </c>
      <c r="B12">
        <v>1176</v>
      </c>
      <c r="C12" t="s">
        <v>267</v>
      </c>
    </row>
    <row r="13" spans="1:10" x14ac:dyDescent="0.3">
      <c r="A13" t="s">
        <v>268</v>
      </c>
      <c r="B13">
        <v>294</v>
      </c>
      <c r="C13" t="s">
        <v>269</v>
      </c>
    </row>
    <row r="15" spans="1:10" ht="15.6" x14ac:dyDescent="0.3">
      <c r="A15" s="3" t="s">
        <v>270</v>
      </c>
    </row>
    <row r="16" spans="1:10" x14ac:dyDescent="0.3">
      <c r="A16" s="14" t="s">
        <v>271</v>
      </c>
      <c r="B16" s="14" t="s">
        <v>272</v>
      </c>
      <c r="C16" s="14" t="s">
        <v>273</v>
      </c>
      <c r="D16" s="14" t="s">
        <v>274</v>
      </c>
      <c r="E16" s="14" t="s">
        <v>275</v>
      </c>
      <c r="F16" s="14" t="s">
        <v>276</v>
      </c>
      <c r="G16" s="14" t="s">
        <v>277</v>
      </c>
      <c r="H16" s="14" t="s">
        <v>278</v>
      </c>
      <c r="I16" s="14" t="s">
        <v>279</v>
      </c>
      <c r="J16" s="14" t="s">
        <v>280</v>
      </c>
    </row>
    <row r="17" spans="1:10" x14ac:dyDescent="0.3">
      <c r="A17" s="2" t="s">
        <v>281</v>
      </c>
      <c r="B17" s="27">
        <v>0.87070000000000003</v>
      </c>
      <c r="C17" s="27">
        <v>0.73680000000000001</v>
      </c>
      <c r="D17" s="27">
        <v>0.2979</v>
      </c>
      <c r="E17" s="27">
        <v>0.42420000000000002</v>
      </c>
      <c r="F17" s="27">
        <v>0.77659999999999996</v>
      </c>
      <c r="G17">
        <v>14</v>
      </c>
      <c r="H17">
        <v>5</v>
      </c>
      <c r="I17">
        <v>242</v>
      </c>
      <c r="J17">
        <v>33</v>
      </c>
    </row>
    <row r="18" spans="1:10" x14ac:dyDescent="0.3">
      <c r="A18" t="s">
        <v>282</v>
      </c>
      <c r="B18" s="27">
        <v>0.8367</v>
      </c>
      <c r="C18" s="27">
        <v>0.48149999999999998</v>
      </c>
      <c r="D18" s="27">
        <v>0.27660000000000001</v>
      </c>
      <c r="E18" s="27">
        <v>0.35139999999999999</v>
      </c>
      <c r="F18" s="27">
        <v>0.69379999999999997</v>
      </c>
      <c r="G18">
        <v>13</v>
      </c>
      <c r="H18">
        <v>14</v>
      </c>
      <c r="I18">
        <v>233</v>
      </c>
      <c r="J18">
        <v>34</v>
      </c>
    </row>
    <row r="19" spans="1:10" x14ac:dyDescent="0.3">
      <c r="A19" t="s">
        <v>283</v>
      </c>
      <c r="B19" s="27">
        <v>0.85370000000000001</v>
      </c>
      <c r="C19" s="27">
        <v>0.75</v>
      </c>
      <c r="D19" s="27">
        <v>0.12770000000000001</v>
      </c>
      <c r="E19" s="27">
        <v>0.21820000000000001</v>
      </c>
      <c r="F19" s="27">
        <v>0.79210000000000003</v>
      </c>
      <c r="G19">
        <v>6</v>
      </c>
      <c r="H19">
        <v>2</v>
      </c>
      <c r="I19">
        <v>245</v>
      </c>
      <c r="J19">
        <v>41</v>
      </c>
    </row>
    <row r="21" spans="1:10" x14ac:dyDescent="0.3">
      <c r="A21" s="26" t="s">
        <v>284</v>
      </c>
    </row>
    <row r="22" spans="1:10" ht="90" customHeight="1" x14ac:dyDescent="0.3">
      <c r="A22" s="5" t="s">
        <v>285</v>
      </c>
    </row>
    <row r="25" spans="1:10" ht="15.6" x14ac:dyDescent="0.3">
      <c r="A25" s="3" t="s">
        <v>286</v>
      </c>
    </row>
    <row r="26" spans="1:10" x14ac:dyDescent="0.3">
      <c r="A26" s="2" t="s">
        <v>287</v>
      </c>
      <c r="B26" t="s">
        <v>288</v>
      </c>
      <c r="D26" s="2" t="s">
        <v>282</v>
      </c>
      <c r="E26" t="s">
        <v>289</v>
      </c>
      <c r="G26" s="2" t="s">
        <v>283</v>
      </c>
      <c r="H26" t="s">
        <v>289</v>
      </c>
    </row>
    <row r="27" spans="1:10" x14ac:dyDescent="0.3">
      <c r="A27" t="s">
        <v>114</v>
      </c>
      <c r="B27">
        <v>1.2989999999999999</v>
      </c>
      <c r="D27" t="s">
        <v>14</v>
      </c>
      <c r="E27">
        <v>0.17510000000000001</v>
      </c>
      <c r="G27" t="s">
        <v>114</v>
      </c>
      <c r="H27">
        <v>0.13170000000000001</v>
      </c>
    </row>
    <row r="28" spans="1:10" x14ac:dyDescent="0.3">
      <c r="A28" t="s">
        <v>290</v>
      </c>
      <c r="B28">
        <v>0.66600000000000004</v>
      </c>
      <c r="D28" t="s">
        <v>114</v>
      </c>
      <c r="E28">
        <v>0.1744</v>
      </c>
      <c r="G28" t="s">
        <v>0</v>
      </c>
      <c r="H28">
        <v>0.1011</v>
      </c>
    </row>
    <row r="29" spans="1:10" x14ac:dyDescent="0.3">
      <c r="A29" t="s">
        <v>291</v>
      </c>
      <c r="B29">
        <v>0.64900000000000002</v>
      </c>
      <c r="D29" t="s">
        <v>27</v>
      </c>
      <c r="E29">
        <v>0.1149</v>
      </c>
      <c r="G29" t="s">
        <v>18</v>
      </c>
      <c r="H29">
        <v>8.9200000000000002E-2</v>
      </c>
    </row>
    <row r="30" spans="1:10" x14ac:dyDescent="0.3">
      <c r="A30" t="s">
        <v>292</v>
      </c>
      <c r="B30">
        <v>0.44500000000000001</v>
      </c>
      <c r="D30" t="s">
        <v>18</v>
      </c>
      <c r="E30">
        <v>7.7399999999999997E-2</v>
      </c>
      <c r="G30" t="s">
        <v>5</v>
      </c>
      <c r="H30">
        <v>5.4699999999999999E-2</v>
      </c>
    </row>
    <row r="31" spans="1:10" x14ac:dyDescent="0.3">
      <c r="A31" t="s">
        <v>293</v>
      </c>
      <c r="B31">
        <v>0.41199999999999998</v>
      </c>
      <c r="D31" t="s">
        <v>3</v>
      </c>
      <c r="E31">
        <v>7.2400000000000006E-2</v>
      </c>
      <c r="G31" t="s">
        <v>28</v>
      </c>
      <c r="H31">
        <v>5.3600000000000002E-2</v>
      </c>
    </row>
    <row r="32" spans="1:10" x14ac:dyDescent="0.3">
      <c r="A32" t="s">
        <v>294</v>
      </c>
      <c r="B32">
        <v>0.38700000000000001</v>
      </c>
      <c r="D32" t="s">
        <v>28</v>
      </c>
      <c r="E32">
        <v>5.6800000000000003E-2</v>
      </c>
      <c r="G32" t="s">
        <v>3</v>
      </c>
      <c r="H32">
        <v>5.1299999999999998E-2</v>
      </c>
    </row>
    <row r="33" spans="1:8" x14ac:dyDescent="0.3">
      <c r="A33" t="s">
        <v>33</v>
      </c>
      <c r="B33">
        <v>0.38700000000000001</v>
      </c>
      <c r="D33" t="s">
        <v>29</v>
      </c>
      <c r="E33">
        <v>4.6600000000000003E-2</v>
      </c>
      <c r="G33" t="s">
        <v>20</v>
      </c>
      <c r="H33">
        <v>5.0700000000000002E-2</v>
      </c>
    </row>
    <row r="34" spans="1:8" x14ac:dyDescent="0.3">
      <c r="A34" t="s">
        <v>295</v>
      </c>
      <c r="B34">
        <v>0.38</v>
      </c>
      <c r="D34" t="s">
        <v>291</v>
      </c>
      <c r="E34">
        <v>4.5100000000000001E-2</v>
      </c>
      <c r="G34" t="s">
        <v>13</v>
      </c>
      <c r="H34">
        <v>4.0500000000000001E-2</v>
      </c>
    </row>
    <row r="36" spans="1:8" ht="15.6" x14ac:dyDescent="0.3">
      <c r="A36" s="3" t="s">
        <v>296</v>
      </c>
    </row>
    <row r="37" spans="1:8" ht="201.6" x14ac:dyDescent="0.3">
      <c r="A37" s="5" t="s">
        <v>297</v>
      </c>
    </row>
    <row r="39" spans="1:8" ht="15.6" x14ac:dyDescent="0.3">
      <c r="A39" s="3" t="s">
        <v>298</v>
      </c>
    </row>
    <row r="40" spans="1:8" ht="72" x14ac:dyDescent="0.3">
      <c r="A40" s="5" t="s">
        <v>299</v>
      </c>
    </row>
    <row r="41" spans="1:8" ht="57.6" x14ac:dyDescent="0.3">
      <c r="A41" s="5" t="s">
        <v>300</v>
      </c>
    </row>
    <row r="42" spans="1:8" ht="86.4" x14ac:dyDescent="0.3">
      <c r="A42" s="5" t="s">
        <v>301</v>
      </c>
    </row>
    <row r="43" spans="1:8" ht="57.6" x14ac:dyDescent="0.3">
      <c r="A43" s="5" t="s">
        <v>302</v>
      </c>
    </row>
    <row r="44" spans="1:8" ht="72" x14ac:dyDescent="0.3">
      <c r="A44" s="5" t="s">
        <v>303</v>
      </c>
    </row>
    <row r="46" spans="1:8" ht="15.6" x14ac:dyDescent="0.3">
      <c r="A46" s="3" t="s">
        <v>304</v>
      </c>
    </row>
    <row r="47" spans="1:8" ht="400.05" customHeight="1" x14ac:dyDescent="0.3">
      <c r="A47" s="17" t="s">
        <v>305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4044-7DBF-4316-B081-945EC28A3776}">
  <dimension ref="A1:E14"/>
  <sheetViews>
    <sheetView workbookViewId="0"/>
  </sheetViews>
  <sheetFormatPr defaultRowHeight="14.4" x14ac:dyDescent="0.3"/>
  <cols>
    <col min="1" max="1" width="4.6640625" customWidth="1"/>
    <col min="2" max="2" width="42.5546875" customWidth="1"/>
    <col min="3" max="3" width="48.109375" customWidth="1"/>
    <col min="4" max="4" width="42.5546875" customWidth="1"/>
    <col min="5" max="5" width="48.109375" customWidth="1"/>
  </cols>
  <sheetData>
    <row r="1" spans="1:5" ht="21" x14ac:dyDescent="0.4">
      <c r="A1" s="1" t="s">
        <v>306</v>
      </c>
    </row>
    <row r="3" spans="1:5" x14ac:dyDescent="0.3">
      <c r="A3" s="15" t="s">
        <v>128</v>
      </c>
      <c r="B3" s="15" t="s">
        <v>307</v>
      </c>
      <c r="C3" s="15" t="s">
        <v>308</v>
      </c>
      <c r="D3" s="15" t="s">
        <v>309</v>
      </c>
      <c r="E3" s="15" t="s">
        <v>310</v>
      </c>
    </row>
    <row r="4" spans="1:5" ht="43.2" x14ac:dyDescent="0.3">
      <c r="A4" s="16">
        <v>1</v>
      </c>
      <c r="B4" s="16" t="s">
        <v>311</v>
      </c>
      <c r="C4" s="16" t="str">
        <f>"EDA_Summary!B33 = "&amp;TEXT(EDA_Summary!B33,"0.0%")&amp;" (237 of 1,470 employees)"</f>
        <v>EDA_Summary!B33 = 16.1% (237 of 1,470 employees)</v>
      </c>
      <c r="D4" s="16" t="s">
        <v>312</v>
      </c>
      <c r="E4" s="16" t="s">
        <v>313</v>
      </c>
    </row>
    <row r="5" spans="1:5" ht="72" x14ac:dyDescent="0.3">
      <c r="A5" s="16">
        <v>2</v>
      </c>
      <c r="B5" s="16" t="s">
        <v>314</v>
      </c>
      <c r="C5" s="16" t="s">
        <v>315</v>
      </c>
      <c r="D5" s="16" t="s">
        <v>316</v>
      </c>
      <c r="E5" s="16" t="s">
        <v>317</v>
      </c>
    </row>
    <row r="6" spans="1:5" ht="43.2" x14ac:dyDescent="0.3">
      <c r="A6" s="16">
        <v>3</v>
      </c>
      <c r="B6" s="16" t="s">
        <v>318</v>
      </c>
      <c r="C6" s="16" t="s">
        <v>319</v>
      </c>
      <c r="D6" s="16" t="s">
        <v>320</v>
      </c>
      <c r="E6" s="16" t="s">
        <v>321</v>
      </c>
    </row>
    <row r="7" spans="1:5" ht="43.2" x14ac:dyDescent="0.3">
      <c r="A7" s="16">
        <v>4</v>
      </c>
      <c r="B7" s="16" t="s">
        <v>322</v>
      </c>
      <c r="C7" s="16" t="s">
        <v>323</v>
      </c>
      <c r="D7" s="16" t="s">
        <v>324</v>
      </c>
      <c r="E7" s="16" t="s">
        <v>325</v>
      </c>
    </row>
    <row r="8" spans="1:5" ht="43.2" x14ac:dyDescent="0.3">
      <c r="A8" s="16">
        <v>5</v>
      </c>
      <c r="B8" s="16" t="s">
        <v>326</v>
      </c>
      <c r="C8" s="16" t="s">
        <v>327</v>
      </c>
      <c r="D8" s="16" t="s">
        <v>328</v>
      </c>
      <c r="E8" s="16" t="s">
        <v>329</v>
      </c>
    </row>
    <row r="9" spans="1:5" ht="43.2" x14ac:dyDescent="0.3">
      <c r="A9" s="16">
        <v>6</v>
      </c>
      <c r="B9" s="16" t="s">
        <v>330</v>
      </c>
      <c r="C9" s="16" t="s">
        <v>331</v>
      </c>
      <c r="D9" s="16" t="s">
        <v>332</v>
      </c>
      <c r="E9" s="16" t="s">
        <v>333</v>
      </c>
    </row>
    <row r="10" spans="1:5" ht="57.6" x14ac:dyDescent="0.3">
      <c r="A10" s="16">
        <v>7</v>
      </c>
      <c r="B10" s="16" t="s">
        <v>334</v>
      </c>
      <c r="C10" s="16" t="s">
        <v>335</v>
      </c>
      <c r="D10" s="16" t="s">
        <v>336</v>
      </c>
      <c r="E10" s="16" t="s">
        <v>337</v>
      </c>
    </row>
    <row r="11" spans="1:5" ht="43.2" x14ac:dyDescent="0.3">
      <c r="A11" s="16">
        <v>8</v>
      </c>
      <c r="B11" s="16" t="s">
        <v>338</v>
      </c>
      <c r="C11" s="16" t="s">
        <v>339</v>
      </c>
      <c r="D11" s="16" t="s">
        <v>340</v>
      </c>
      <c r="E11" s="16" t="s">
        <v>341</v>
      </c>
    </row>
    <row r="12" spans="1:5" ht="43.2" x14ac:dyDescent="0.3">
      <c r="A12" s="16">
        <v>9</v>
      </c>
      <c r="B12" s="16" t="s">
        <v>342</v>
      </c>
      <c r="C12" s="16" t="s">
        <v>343</v>
      </c>
      <c r="D12" s="16" t="s">
        <v>344</v>
      </c>
      <c r="E12" s="16" t="s">
        <v>345</v>
      </c>
    </row>
    <row r="13" spans="1:5" ht="43.2" x14ac:dyDescent="0.3">
      <c r="A13" s="16">
        <v>10</v>
      </c>
      <c r="B13" s="16" t="s">
        <v>346</v>
      </c>
      <c r="C13" s="16" t="s">
        <v>347</v>
      </c>
      <c r="D13" s="16" t="s">
        <v>348</v>
      </c>
      <c r="E13" s="16" t="s">
        <v>349</v>
      </c>
    </row>
    <row r="14" spans="1:5" ht="43.2" x14ac:dyDescent="0.3">
      <c r="A14" s="16">
        <v>11</v>
      </c>
      <c r="B14" s="16" t="s">
        <v>350</v>
      </c>
      <c r="C14" s="16" t="s">
        <v>351</v>
      </c>
      <c r="D14" s="16" t="s">
        <v>352</v>
      </c>
      <c r="E14" s="16" t="s">
        <v>353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38DC-6CE7-47AB-A066-3709316E5510}">
  <dimension ref="A1:E10"/>
  <sheetViews>
    <sheetView workbookViewId="0"/>
  </sheetViews>
  <sheetFormatPr defaultRowHeight="14.4" x14ac:dyDescent="0.3"/>
  <cols>
    <col min="1" max="1" width="24.109375" customWidth="1"/>
    <col min="2" max="2" width="48.109375" customWidth="1"/>
    <col min="3" max="3" width="44.44140625" customWidth="1"/>
    <col min="4" max="4" width="51.88671875" customWidth="1"/>
    <col min="5" max="5" width="33.33203125" customWidth="1"/>
  </cols>
  <sheetData>
    <row r="1" spans="1:5" ht="21" x14ac:dyDescent="0.4">
      <c r="A1" s="1" t="s">
        <v>354</v>
      </c>
    </row>
    <row r="2" spans="1:5" x14ac:dyDescent="0.3">
      <c r="A2" s="13" t="s">
        <v>355</v>
      </c>
    </row>
    <row r="4" spans="1:5" x14ac:dyDescent="0.3">
      <c r="A4" s="15" t="s">
        <v>356</v>
      </c>
      <c r="B4" s="15" t="s">
        <v>357</v>
      </c>
      <c r="C4" s="15" t="s">
        <v>358</v>
      </c>
      <c r="D4" s="15" t="s">
        <v>359</v>
      </c>
      <c r="E4" s="15" t="s">
        <v>360</v>
      </c>
    </row>
    <row r="5" spans="1:5" ht="43.2" x14ac:dyDescent="0.3">
      <c r="A5" s="16" t="s">
        <v>361</v>
      </c>
      <c r="B5" s="16" t="s">
        <v>362</v>
      </c>
      <c r="C5" s="16" t="s">
        <v>363</v>
      </c>
      <c r="D5" s="16" t="s">
        <v>364</v>
      </c>
      <c r="E5" s="16" t="s">
        <v>365</v>
      </c>
    </row>
    <row r="6" spans="1:5" ht="57.6" x14ac:dyDescent="0.3">
      <c r="A6" s="16" t="s">
        <v>366</v>
      </c>
      <c r="B6" s="16" t="s">
        <v>367</v>
      </c>
      <c r="C6" s="16" t="s">
        <v>368</v>
      </c>
      <c r="D6" s="16" t="s">
        <v>369</v>
      </c>
      <c r="E6" s="16" t="s">
        <v>365</v>
      </c>
    </row>
    <row r="7" spans="1:5" ht="57.6" x14ac:dyDescent="0.3">
      <c r="A7" s="16" t="s">
        <v>366</v>
      </c>
      <c r="B7" s="16" t="s">
        <v>370</v>
      </c>
      <c r="C7" s="16" t="s">
        <v>371</v>
      </c>
      <c r="D7" s="16" t="s">
        <v>372</v>
      </c>
      <c r="E7" s="16" t="s">
        <v>365</v>
      </c>
    </row>
    <row r="8" spans="1:5" ht="72" x14ac:dyDescent="0.3">
      <c r="A8" s="16" t="s">
        <v>373</v>
      </c>
      <c r="B8" s="16" t="s">
        <v>374</v>
      </c>
      <c r="C8" s="16" t="s">
        <v>375</v>
      </c>
      <c r="D8" s="16" t="s">
        <v>376</v>
      </c>
      <c r="E8" s="16" t="s">
        <v>377</v>
      </c>
    </row>
    <row r="9" spans="1:5" ht="72" x14ac:dyDescent="0.3">
      <c r="A9" s="16" t="s">
        <v>378</v>
      </c>
      <c r="B9" s="16" t="s">
        <v>379</v>
      </c>
      <c r="C9" s="16" t="s">
        <v>380</v>
      </c>
      <c r="D9" s="16" t="s">
        <v>381</v>
      </c>
      <c r="E9" s="16" t="s">
        <v>382</v>
      </c>
    </row>
    <row r="10" spans="1:5" ht="72" x14ac:dyDescent="0.3">
      <c r="A10" s="16" t="s">
        <v>383</v>
      </c>
      <c r="B10" s="16" t="s">
        <v>384</v>
      </c>
      <c r="C10" s="16" t="s">
        <v>385</v>
      </c>
      <c r="D10" s="16" t="s">
        <v>386</v>
      </c>
      <c r="E10" s="16" t="s">
        <v>387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A981-818A-43B8-870B-1496135F1D69}">
  <dimension ref="A1:H7"/>
  <sheetViews>
    <sheetView workbookViewId="0"/>
  </sheetViews>
  <sheetFormatPr defaultRowHeight="14.4" x14ac:dyDescent="0.3"/>
  <cols>
    <col min="1" max="1" width="25.88671875" customWidth="1"/>
    <col min="2" max="2" width="42.5546875" customWidth="1"/>
    <col min="3" max="3" width="37" customWidth="1"/>
    <col min="4" max="5" width="13" customWidth="1"/>
    <col min="6" max="6" width="42.5546875" customWidth="1"/>
    <col min="7" max="7" width="20.33203125" customWidth="1"/>
    <col min="8" max="8" width="48.109375" customWidth="1"/>
  </cols>
  <sheetData>
    <row r="1" spans="1:8" ht="21" x14ac:dyDescent="0.4">
      <c r="A1" s="1" t="s">
        <v>388</v>
      </c>
    </row>
    <row r="3" spans="1:8" x14ac:dyDescent="0.3">
      <c r="A3" s="15" t="s">
        <v>389</v>
      </c>
      <c r="B3" s="15" t="s">
        <v>390</v>
      </c>
      <c r="C3" s="15" t="s">
        <v>391</v>
      </c>
      <c r="D3" s="15" t="s">
        <v>392</v>
      </c>
      <c r="E3" s="15" t="s">
        <v>393</v>
      </c>
      <c r="F3" s="15" t="s">
        <v>394</v>
      </c>
      <c r="G3" s="15" t="s">
        <v>244</v>
      </c>
      <c r="H3" s="15" t="s">
        <v>395</v>
      </c>
    </row>
    <row r="4" spans="1:8" ht="43.2" x14ac:dyDescent="0.3">
      <c r="A4" s="28" t="s">
        <v>396</v>
      </c>
      <c r="B4" s="16" t="s">
        <v>397</v>
      </c>
      <c r="C4" s="16" t="s">
        <v>398</v>
      </c>
      <c r="D4" s="29">
        <f>EDA_Summary!B33</f>
        <v>0.16122448979591836</v>
      </c>
      <c r="E4" s="29">
        <v>0.12</v>
      </c>
      <c r="F4" s="16" t="s">
        <v>399</v>
      </c>
      <c r="G4" s="16" t="str">
        <f>IF(D4&lt;=E4,"On/Above Target",IF(D4&lt;=E4*1.15,"Near Target","Below Target"))</f>
        <v>Below Target</v>
      </c>
      <c r="H4" s="16" t="s">
        <v>400</v>
      </c>
    </row>
    <row r="5" spans="1:8" ht="57.6" x14ac:dyDescent="0.3">
      <c r="A5" s="28" t="s">
        <v>401</v>
      </c>
      <c r="B5" s="16" t="s">
        <v>402</v>
      </c>
      <c r="C5" s="16" t="s">
        <v>403</v>
      </c>
      <c r="D5" s="29">
        <f>EDA_Summary!G40</f>
        <v>0.30455635491606714</v>
      </c>
      <c r="E5" s="29">
        <v>0.2</v>
      </c>
      <c r="F5" s="16" t="s">
        <v>404</v>
      </c>
      <c r="G5" s="16" t="str">
        <f>IF(D5&lt;=E5,"On/Above Target",IF(D5&lt;=E5*1.15,"Near Target","Below Target"))</f>
        <v>Below Target</v>
      </c>
      <c r="H5" s="16" t="s">
        <v>405</v>
      </c>
    </row>
    <row r="6" spans="1:8" ht="57.6" x14ac:dyDescent="0.3">
      <c r="A6" s="28" t="s">
        <v>406</v>
      </c>
      <c r="B6" s="16" t="s">
        <v>407</v>
      </c>
      <c r="C6" s="16" t="s">
        <v>408</v>
      </c>
      <c r="D6" s="29">
        <f>EDA_Summary!C89</f>
        <v>0.2982456140350877</v>
      </c>
      <c r="E6" s="29">
        <v>0.2</v>
      </c>
      <c r="F6" s="16" t="s">
        <v>409</v>
      </c>
      <c r="G6" s="16" t="str">
        <f>IF(D6&lt;=E6,"On/Above Target",IF(D6&lt;=E6*1.15,"Near Target","Below Target"))</f>
        <v>Below Target</v>
      </c>
      <c r="H6" s="16" t="s">
        <v>410</v>
      </c>
    </row>
    <row r="7" spans="1:8" ht="57.6" x14ac:dyDescent="0.3">
      <c r="A7" s="28" t="s">
        <v>411</v>
      </c>
      <c r="B7" s="16" t="s">
        <v>412</v>
      </c>
      <c r="C7" s="16" t="s">
        <v>413</v>
      </c>
      <c r="D7" s="29">
        <f>ML_Model!C17</f>
        <v>0.73680000000000001</v>
      </c>
      <c r="E7" s="29">
        <v>0.7</v>
      </c>
      <c r="F7" s="16" t="s">
        <v>414</v>
      </c>
      <c r="G7" s="16" t="str">
        <f>IF(D7&gt;=E7,"On/Above Target",IF(D7&gt;=E7*0.85,"Near Target","Below Target"))</f>
        <v>On/Above Target</v>
      </c>
      <c r="H7" s="16" t="s">
        <v>415</v>
      </c>
    </row>
  </sheetData>
  <conditionalFormatting sqref="G4:G7">
    <cfRule type="expression" priority="1"/>
  </conditionalFormatting>
  <conditionalFormatting sqref="G4:G7">
    <cfRule type="expression" priority="2"/>
  </conditionalFormatting>
  <conditionalFormatting sqref="G4:G7">
    <cfRule type="containsText" dxfId="2" priority="3" operator="containsText" text="On/Above Target">
      <formula>NOT(ISERROR(SEARCH("On/Above Target",G4)))</formula>
    </cfRule>
  </conditionalFormatting>
  <conditionalFormatting sqref="G4:G7">
    <cfRule type="containsText" dxfId="1" priority="4" operator="containsText" text="Near Target">
      <formula>NOT(ISERROR(SEARCH("Near Target",G4)))</formula>
    </cfRule>
  </conditionalFormatting>
  <conditionalFormatting sqref="G4:G7">
    <cfRule type="containsText" dxfId="0" priority="5" operator="containsText" text="Below Target">
      <formula>NOT(ISERROR(SEARCH("Below Target",G4)))</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3FB1-F4B6-40BC-B241-7354FC9ADF14}">
  <dimension ref="A1:A38"/>
  <sheetViews>
    <sheetView tabSelected="1" topLeftCell="A29" workbookViewId="0"/>
  </sheetViews>
  <sheetFormatPr defaultRowHeight="14.4" x14ac:dyDescent="0.3"/>
  <cols>
    <col min="1" max="1" width="166.6640625" customWidth="1"/>
  </cols>
  <sheetData>
    <row r="1" spans="1:1" ht="42" x14ac:dyDescent="0.3">
      <c r="A1" s="30" t="s">
        <v>416</v>
      </c>
    </row>
    <row r="2" spans="1:1" x14ac:dyDescent="0.3">
      <c r="A2" s="31" t="s">
        <v>417</v>
      </c>
    </row>
    <row r="3" spans="1:1" x14ac:dyDescent="0.3">
      <c r="A3" s="16"/>
    </row>
    <row r="4" spans="1:1" ht="17.399999999999999" x14ac:dyDescent="0.3">
      <c r="A4" s="32" t="s">
        <v>418</v>
      </c>
    </row>
    <row r="5" spans="1:1" ht="86.4" x14ac:dyDescent="0.3">
      <c r="A5" s="16" t="s">
        <v>419</v>
      </c>
    </row>
    <row r="6" spans="1:1" x14ac:dyDescent="0.3">
      <c r="A6" s="16"/>
    </row>
    <row r="7" spans="1:1" ht="17.399999999999999" x14ac:dyDescent="0.3">
      <c r="A7" s="32" t="s">
        <v>420</v>
      </c>
    </row>
    <row r="8" spans="1:1" ht="72" x14ac:dyDescent="0.3">
      <c r="A8" s="16" t="s">
        <v>421</v>
      </c>
    </row>
    <row r="9" spans="1:1" x14ac:dyDescent="0.3">
      <c r="A9" s="16"/>
    </row>
    <row r="10" spans="1:1" ht="17.399999999999999" x14ac:dyDescent="0.3">
      <c r="A10" s="32" t="s">
        <v>422</v>
      </c>
    </row>
    <row r="11" spans="1:1" ht="72" x14ac:dyDescent="0.3">
      <c r="A11" s="16" t="s">
        <v>423</v>
      </c>
    </row>
    <row r="12" spans="1:1" x14ac:dyDescent="0.3">
      <c r="A12" s="16"/>
    </row>
    <row r="13" spans="1:1" ht="17.399999999999999" x14ac:dyDescent="0.3">
      <c r="A13" s="32" t="s">
        <v>424</v>
      </c>
    </row>
    <row r="14" spans="1:1" ht="100.8" x14ac:dyDescent="0.3">
      <c r="A14" s="16" t="s">
        <v>425</v>
      </c>
    </row>
    <row r="15" spans="1:1" x14ac:dyDescent="0.3">
      <c r="A15" s="16"/>
    </row>
    <row r="16" spans="1:1" ht="17.399999999999999" x14ac:dyDescent="0.3">
      <c r="A16" s="32" t="s">
        <v>426</v>
      </c>
    </row>
    <row r="17" spans="1:1" ht="72" x14ac:dyDescent="0.3">
      <c r="A17" s="16" t="s">
        <v>427</v>
      </c>
    </row>
    <row r="18" spans="1:1" x14ac:dyDescent="0.3">
      <c r="A18" s="16"/>
    </row>
    <row r="19" spans="1:1" ht="17.399999999999999" x14ac:dyDescent="0.3">
      <c r="A19" s="32" t="s">
        <v>428</v>
      </c>
    </row>
    <row r="20" spans="1:1" ht="86.4" x14ac:dyDescent="0.3">
      <c r="A20" s="16" t="s">
        <v>429</v>
      </c>
    </row>
    <row r="21" spans="1:1" x14ac:dyDescent="0.3">
      <c r="A21" s="16"/>
    </row>
    <row r="22" spans="1:1" ht="17.399999999999999" x14ac:dyDescent="0.3">
      <c r="A22" s="32" t="s">
        <v>430</v>
      </c>
    </row>
    <row r="23" spans="1:1" ht="43.2" x14ac:dyDescent="0.3">
      <c r="A23" s="16" t="s">
        <v>431</v>
      </c>
    </row>
    <row r="24" spans="1:1" x14ac:dyDescent="0.3">
      <c r="A24" s="16"/>
    </row>
    <row r="25" spans="1:1" ht="17.399999999999999" x14ac:dyDescent="0.3">
      <c r="A25" s="32" t="s">
        <v>432</v>
      </c>
    </row>
    <row r="26" spans="1:1" ht="57.6" x14ac:dyDescent="0.3">
      <c r="A26" s="16" t="s">
        <v>433</v>
      </c>
    </row>
    <row r="27" spans="1:1" x14ac:dyDescent="0.3">
      <c r="A27" s="16"/>
    </row>
    <row r="28" spans="1:1" ht="17.399999999999999" x14ac:dyDescent="0.3">
      <c r="A28" s="32" t="s">
        <v>434</v>
      </c>
    </row>
    <row r="29" spans="1:1" ht="43.2" x14ac:dyDescent="0.3">
      <c r="A29" s="16" t="s">
        <v>435</v>
      </c>
    </row>
    <row r="30" spans="1:1" x14ac:dyDescent="0.3">
      <c r="A30" s="16"/>
    </row>
    <row r="31" spans="1:1" ht="17.399999999999999" x14ac:dyDescent="0.3">
      <c r="A31" s="32" t="s">
        <v>436</v>
      </c>
    </row>
    <row r="32" spans="1:1" ht="72" x14ac:dyDescent="0.3">
      <c r="A32" s="16" t="s">
        <v>437</v>
      </c>
    </row>
    <row r="33" spans="1:1" x14ac:dyDescent="0.3">
      <c r="A33" s="16"/>
    </row>
    <row r="34" spans="1:1" ht="17.399999999999999" x14ac:dyDescent="0.3">
      <c r="A34" s="32" t="s">
        <v>438</v>
      </c>
    </row>
    <row r="35" spans="1:1" ht="86.4" x14ac:dyDescent="0.3">
      <c r="A35" s="16" t="s">
        <v>439</v>
      </c>
    </row>
    <row r="36" spans="1:1" x14ac:dyDescent="0.3">
      <c r="A36" s="16"/>
    </row>
    <row r="37" spans="1:1" ht="17.399999999999999" x14ac:dyDescent="0.3">
      <c r="A37" s="32" t="s">
        <v>440</v>
      </c>
    </row>
    <row r="38" spans="1:1" ht="72" x14ac:dyDescent="0.3">
      <c r="A38" s="16"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WA_Fn-UseC_-HR-Employee-Attriti</vt:lpstr>
      <vt:lpstr>Dataset_Overview</vt:lpstr>
      <vt:lpstr>Cleaning_Log</vt:lpstr>
      <vt:lpstr>Data_RawIssues</vt:lpstr>
      <vt:lpstr>Data_Cleaned</vt:lpstr>
      <vt:lpstr>EDA_Summary</vt:lpstr>
      <vt:lpstr>ML_Model</vt:lpstr>
      <vt:lpstr>Business_Insights</vt:lpstr>
      <vt:lpstr>AI_Insights</vt:lpstr>
      <vt:lpstr>KPIs</vt:lpstr>
      <vt:lpstr>Final_Report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dc:creator>
  <cp:lastModifiedBy>ali khamis</cp:lastModifiedBy>
  <dcterms:created xsi:type="dcterms:W3CDTF">2026-07-22T02:33:43Z</dcterms:created>
  <dcterms:modified xsi:type="dcterms:W3CDTF">2026-07-22T03:01:35Z</dcterms:modified>
</cp:coreProperties>
</file>